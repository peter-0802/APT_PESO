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showSheetTabs="0" xWindow="-120" yWindow="-120" windowWidth="21840" windowHeight="13140" tabRatio="0" activeTab="11"/>
  </bookViews>
  <sheets>
    <sheet name="MAIN PAGE" sheetId="35" r:id="rId1"/>
    <sheet name="DATA" sheetId="79" r:id="rId2"/>
    <sheet name="GRAPH" sheetId="80" r:id="rId3"/>
    <sheet name="TARGET" sheetId="78" r:id="rId4"/>
    <sheet name="JANUARY" sheetId="52" r:id="rId5"/>
    <sheet name="FEBRUARY" sheetId="67" r:id="rId6"/>
    <sheet name="MARCH" sheetId="68" r:id="rId7"/>
    <sheet name="APRIL" sheetId="69" r:id="rId8"/>
    <sheet name="MAY" sheetId="70" r:id="rId9"/>
    <sheet name="JUNE" sheetId="71" r:id="rId10"/>
    <sheet name="JULY" sheetId="72" r:id="rId11"/>
    <sheet name="AUGUST" sheetId="73" r:id="rId12"/>
    <sheet name="SEPTEMBER" sheetId="74" r:id="rId13"/>
    <sheet name="OCTOBER" sheetId="75" r:id="rId14"/>
    <sheet name="NOVEMBER" sheetId="76" r:id="rId15"/>
    <sheet name="DECEMBER" sheetId="77" r:id="rId16"/>
    <sheet name="WHOLE YEAR" sheetId="8" r:id="rId17"/>
  </sheets>
  <definedNames>
    <definedName name="class">DATA!$A$33:$A$39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78" l="1"/>
  <c r="I3" i="78" s="1"/>
  <c r="I4" i="78" s="1"/>
  <c r="I7" i="78" s="1"/>
  <c r="I9" i="78" l="1"/>
  <c r="I8" i="78"/>
  <c r="I10" i="78" s="1"/>
  <c r="V10" i="35"/>
  <c r="B322" i="8"/>
  <c r="C322" i="8"/>
  <c r="D322" i="8"/>
  <c r="E322" i="8"/>
  <c r="F322" i="8"/>
  <c r="G322" i="8"/>
  <c r="H322" i="8"/>
  <c r="I322" i="8"/>
  <c r="J322" i="8"/>
  <c r="K322" i="8"/>
  <c r="L322" i="8"/>
  <c r="M322" i="8"/>
  <c r="S322" i="8"/>
  <c r="B323" i="8"/>
  <c r="C323" i="8"/>
  <c r="D323" i="8"/>
  <c r="E323" i="8"/>
  <c r="F323" i="8"/>
  <c r="G323" i="8"/>
  <c r="H323" i="8"/>
  <c r="I323" i="8"/>
  <c r="J323" i="8"/>
  <c r="K323" i="8"/>
  <c r="L323" i="8"/>
  <c r="M323" i="8"/>
  <c r="S323" i="8"/>
  <c r="S321" i="8"/>
  <c r="M321" i="8"/>
  <c r="L321" i="8"/>
  <c r="K321" i="8"/>
  <c r="J321" i="8"/>
  <c r="I321" i="8"/>
  <c r="H321" i="8"/>
  <c r="G321" i="8"/>
  <c r="F321" i="8"/>
  <c r="E321" i="8"/>
  <c r="D321" i="8"/>
  <c r="C321" i="8"/>
  <c r="B321" i="8"/>
  <c r="E195" i="8"/>
  <c r="E194" i="8"/>
  <c r="E193" i="8"/>
  <c r="E191" i="8"/>
  <c r="E190" i="8"/>
  <c r="E189" i="8"/>
  <c r="E187" i="8"/>
  <c r="B192" i="77"/>
  <c r="B188" i="77"/>
  <c r="B186" i="77"/>
  <c r="B192" i="76"/>
  <c r="B188" i="76"/>
  <c r="B186" i="76"/>
  <c r="B192" i="75"/>
  <c r="B188" i="75"/>
  <c r="B186" i="75"/>
  <c r="B192" i="74"/>
  <c r="B188" i="74"/>
  <c r="B186" i="74"/>
  <c r="B192" i="73"/>
  <c r="B188" i="73"/>
  <c r="B186" i="73"/>
  <c r="B192" i="72"/>
  <c r="B188" i="72"/>
  <c r="B186" i="72"/>
  <c r="B192" i="71"/>
  <c r="B188" i="71"/>
  <c r="B186" i="71"/>
  <c r="B192" i="70"/>
  <c r="B188" i="70"/>
  <c r="B186" i="70"/>
  <c r="B192" i="69"/>
  <c r="E192" i="8" s="1"/>
  <c r="B188" i="69"/>
  <c r="E188" i="8" s="1"/>
  <c r="B186" i="69"/>
  <c r="E186" i="8" s="1"/>
  <c r="B186" i="68"/>
  <c r="B186" i="67"/>
  <c r="O323" i="8" l="1"/>
  <c r="Q322" i="8"/>
  <c r="N322" i="8"/>
  <c r="Q323" i="8"/>
  <c r="R322" i="8"/>
  <c r="T322" i="8" s="1"/>
  <c r="P323" i="8"/>
  <c r="P322" i="8"/>
  <c r="O322" i="8"/>
  <c r="Q321" i="8"/>
  <c r="P321" i="8"/>
  <c r="O321" i="8"/>
  <c r="R321" i="8"/>
  <c r="T321" i="8" s="1"/>
  <c r="N323" i="8"/>
  <c r="R323" i="8"/>
  <c r="T323" i="8" s="1"/>
  <c r="N321" i="8"/>
  <c r="S187" i="8"/>
  <c r="B186" i="78"/>
  <c r="S186" i="8" s="1"/>
  <c r="B186" i="52"/>
  <c r="B186" i="8" s="1"/>
  <c r="S185" i="8"/>
  <c r="F186" i="8"/>
  <c r="G186" i="8"/>
  <c r="H186" i="8"/>
  <c r="I186" i="8"/>
  <c r="J186" i="8"/>
  <c r="K186" i="8"/>
  <c r="L186" i="8"/>
  <c r="M186" i="8"/>
  <c r="B187" i="8"/>
  <c r="C187" i="8"/>
  <c r="D187" i="8"/>
  <c r="F187" i="8"/>
  <c r="G187" i="8"/>
  <c r="H187" i="8"/>
  <c r="I187" i="8"/>
  <c r="J187" i="8"/>
  <c r="K187" i="8"/>
  <c r="L187" i="8"/>
  <c r="M187" i="8"/>
  <c r="O187" i="8" l="1"/>
  <c r="P187" i="8"/>
  <c r="P186" i="8"/>
  <c r="Q186" i="8"/>
  <c r="Q187" i="8"/>
  <c r="N187" i="8"/>
  <c r="R187" i="8"/>
  <c r="T187" i="8" s="1"/>
  <c r="V20" i="35"/>
  <c r="V17" i="35"/>
  <c r="V14" i="35"/>
  <c r="V9" i="35" l="1"/>
  <c r="V8" i="35" s="1"/>
  <c r="V3" i="35" s="1"/>
  <c r="A2" i="80"/>
  <c r="A1" i="80"/>
  <c r="H13" i="80"/>
  <c r="E13" i="80"/>
  <c r="A15" i="80"/>
  <c r="D28" i="79"/>
  <c r="D27" i="79"/>
  <c r="A11" i="8" l="1"/>
  <c r="F12" i="78"/>
  <c r="S121" i="8" l="1"/>
  <c r="S189" i="8"/>
  <c r="B18" i="8"/>
  <c r="B19" i="8"/>
  <c r="S29" i="8"/>
  <c r="S32" i="8"/>
  <c r="S318" i="8"/>
  <c r="S319" i="8"/>
  <c r="S316" i="8"/>
  <c r="S299" i="8"/>
  <c r="S300" i="8"/>
  <c r="S302" i="8"/>
  <c r="S303" i="8"/>
  <c r="S305" i="8"/>
  <c r="S306" i="8"/>
  <c r="S308" i="8"/>
  <c r="S309" i="8"/>
  <c r="S310" i="8"/>
  <c r="S312" i="8"/>
  <c r="S313" i="8"/>
  <c r="S314" i="8"/>
  <c r="S296" i="8"/>
  <c r="S279" i="8"/>
  <c r="S280" i="8"/>
  <c r="S282" i="8"/>
  <c r="S283" i="8"/>
  <c r="S286" i="8"/>
  <c r="S287" i="8"/>
  <c r="S289" i="8"/>
  <c r="S290" i="8"/>
  <c r="S272" i="8"/>
  <c r="S273" i="8"/>
  <c r="S274" i="8"/>
  <c r="S275" i="8"/>
  <c r="S271" i="8"/>
  <c r="S265" i="8"/>
  <c r="S266" i="8"/>
  <c r="S267" i="8"/>
  <c r="S268" i="8"/>
  <c r="S269" i="8"/>
  <c r="S18" i="8"/>
  <c r="S19" i="8"/>
  <c r="S21" i="8"/>
  <c r="S22" i="8"/>
  <c r="S25" i="8"/>
  <c r="S26" i="8"/>
  <c r="S28" i="8"/>
  <c r="S31" i="8"/>
  <c r="S35" i="8"/>
  <c r="S36" i="8"/>
  <c r="S38" i="8"/>
  <c r="S39" i="8"/>
  <c r="S41" i="8"/>
  <c r="S42" i="8"/>
  <c r="S44" i="8"/>
  <c r="S45" i="8"/>
  <c r="S46" i="8"/>
  <c r="S50" i="8"/>
  <c r="S51" i="8"/>
  <c r="S53" i="8"/>
  <c r="S54" i="8"/>
  <c r="S56" i="8"/>
  <c r="S57" i="8"/>
  <c r="S59" i="8"/>
  <c r="S60" i="8"/>
  <c r="S63" i="8"/>
  <c r="S64" i="8"/>
  <c r="S66" i="8"/>
  <c r="S67" i="8"/>
  <c r="S69" i="8"/>
  <c r="S70" i="8"/>
  <c r="S72" i="8"/>
  <c r="S73" i="8"/>
  <c r="S75" i="8"/>
  <c r="S76" i="8"/>
  <c r="S78" i="8"/>
  <c r="S79" i="8"/>
  <c r="S81" i="8"/>
  <c r="S82" i="8"/>
  <c r="S86" i="8"/>
  <c r="S87" i="8"/>
  <c r="S89" i="8"/>
  <c r="S90" i="8"/>
  <c r="S92" i="8"/>
  <c r="S93" i="8"/>
  <c r="S95" i="8"/>
  <c r="S96" i="8"/>
  <c r="S98" i="8"/>
  <c r="S99" i="8"/>
  <c r="S101" i="8"/>
  <c r="S102" i="8"/>
  <c r="S105" i="8"/>
  <c r="S106" i="8"/>
  <c r="S108" i="8"/>
  <c r="S109" i="8"/>
  <c r="S111" i="8"/>
  <c r="S112" i="8"/>
  <c r="S114" i="8"/>
  <c r="S115" i="8"/>
  <c r="S117" i="8"/>
  <c r="S118" i="8"/>
  <c r="S120" i="8"/>
  <c r="S122" i="8"/>
  <c r="S127" i="8"/>
  <c r="S128" i="8"/>
  <c r="S130" i="8"/>
  <c r="S131" i="8"/>
  <c r="S133" i="8"/>
  <c r="S134" i="8"/>
  <c r="S136" i="8"/>
  <c r="S137" i="8"/>
  <c r="S138" i="8"/>
  <c r="S141" i="8"/>
  <c r="S142" i="8"/>
  <c r="S144" i="8"/>
  <c r="S145" i="8"/>
  <c r="S148" i="8"/>
  <c r="S149" i="8"/>
  <c r="S151" i="8"/>
  <c r="S152" i="8"/>
  <c r="S154" i="8"/>
  <c r="S155" i="8"/>
  <c r="S158" i="8"/>
  <c r="S159" i="8"/>
  <c r="S161" i="8"/>
  <c r="S162" i="8"/>
  <c r="S164" i="8"/>
  <c r="S165" i="8"/>
  <c r="S167" i="8"/>
  <c r="S168" i="8"/>
  <c r="S170" i="8"/>
  <c r="S171" i="8"/>
  <c r="S173" i="8"/>
  <c r="S174" i="8"/>
  <c r="S175" i="8"/>
  <c r="S177" i="8"/>
  <c r="S178" i="8"/>
  <c r="S179" i="8"/>
  <c r="S181" i="8"/>
  <c r="S182" i="8"/>
  <c r="S183" i="8"/>
  <c r="S184" i="8"/>
  <c r="S190" i="8"/>
  <c r="S191" i="8"/>
  <c r="S193" i="8"/>
  <c r="S194" i="8"/>
  <c r="S195" i="8"/>
  <c r="S196" i="8"/>
  <c r="S198" i="8"/>
  <c r="S199" i="8"/>
  <c r="S200" i="8"/>
  <c r="S202" i="8"/>
  <c r="S203" i="8"/>
  <c r="S204" i="8"/>
  <c r="S205" i="8"/>
  <c r="S207" i="8"/>
  <c r="S208" i="8"/>
  <c r="S209" i="8"/>
  <c r="S210" i="8"/>
  <c r="S213" i="8"/>
  <c r="S214" i="8"/>
  <c r="S216" i="8"/>
  <c r="S217" i="8"/>
  <c r="S219" i="8"/>
  <c r="S220" i="8"/>
  <c r="S222" i="8"/>
  <c r="S223" i="8"/>
  <c r="S226" i="8"/>
  <c r="S227" i="8"/>
  <c r="S229" i="8"/>
  <c r="S230" i="8"/>
  <c r="S232" i="8"/>
  <c r="S233" i="8"/>
  <c r="S236" i="8"/>
  <c r="S237" i="8"/>
  <c r="S239" i="8"/>
  <c r="S240" i="8"/>
  <c r="S242" i="8"/>
  <c r="S243" i="8"/>
  <c r="S244" i="8"/>
  <c r="S246" i="8"/>
  <c r="S247" i="8"/>
  <c r="S249" i="8"/>
  <c r="S250" i="8"/>
  <c r="S251" i="8"/>
  <c r="S252" i="8"/>
  <c r="S254" i="8"/>
  <c r="S255" i="8"/>
  <c r="S256" i="8"/>
  <c r="S257" i="8"/>
  <c r="S258" i="8"/>
  <c r="S259" i="8"/>
  <c r="S260" i="8"/>
  <c r="S261" i="8"/>
  <c r="S262" i="8"/>
  <c r="C286" i="8"/>
  <c r="D286" i="8"/>
  <c r="E286" i="8"/>
  <c r="F286" i="8"/>
  <c r="G286" i="8"/>
  <c r="H286" i="8"/>
  <c r="I286" i="8"/>
  <c r="J286" i="8"/>
  <c r="K286" i="8"/>
  <c r="L286" i="8"/>
  <c r="M286" i="8"/>
  <c r="C259" i="8"/>
  <c r="D259" i="8"/>
  <c r="E259" i="8"/>
  <c r="F259" i="8"/>
  <c r="G259" i="8"/>
  <c r="H259" i="8"/>
  <c r="I259" i="8"/>
  <c r="J259" i="8"/>
  <c r="K259" i="8"/>
  <c r="L259" i="8"/>
  <c r="M259" i="8"/>
  <c r="C251" i="8"/>
  <c r="D251" i="8"/>
  <c r="E251" i="8"/>
  <c r="F251" i="8"/>
  <c r="G251" i="8"/>
  <c r="H251" i="8"/>
  <c r="I251" i="8"/>
  <c r="J251" i="8"/>
  <c r="K251" i="8"/>
  <c r="L251" i="8"/>
  <c r="M251" i="8"/>
  <c r="B318" i="8"/>
  <c r="B319" i="8"/>
  <c r="B316" i="8"/>
  <c r="B312" i="8"/>
  <c r="B313" i="8"/>
  <c r="B314" i="8"/>
  <c r="B299" i="8"/>
  <c r="B300" i="8"/>
  <c r="B302" i="8"/>
  <c r="B303" i="8"/>
  <c r="B305" i="8"/>
  <c r="B306" i="8"/>
  <c r="B308" i="8"/>
  <c r="B309" i="8"/>
  <c r="B310" i="8"/>
  <c r="B296" i="8"/>
  <c r="B279" i="8"/>
  <c r="B280" i="8"/>
  <c r="B282" i="8"/>
  <c r="B283" i="8"/>
  <c r="B286" i="8"/>
  <c r="B287" i="8"/>
  <c r="B289" i="8"/>
  <c r="B290" i="8"/>
  <c r="B272" i="8"/>
  <c r="B273" i="8"/>
  <c r="B274" i="8"/>
  <c r="B275" i="8"/>
  <c r="B271" i="8"/>
  <c r="B265" i="8"/>
  <c r="B266" i="8"/>
  <c r="B267" i="8"/>
  <c r="B268" i="8"/>
  <c r="B269" i="8"/>
  <c r="B21" i="8"/>
  <c r="B22" i="8"/>
  <c r="B25" i="8"/>
  <c r="B26" i="8"/>
  <c r="B28" i="8"/>
  <c r="B29" i="8"/>
  <c r="B31" i="8"/>
  <c r="B32" i="8"/>
  <c r="B35" i="8"/>
  <c r="B36" i="8"/>
  <c r="B38" i="8"/>
  <c r="B39" i="8"/>
  <c r="B41" i="8"/>
  <c r="B42" i="8"/>
  <c r="B44" i="8"/>
  <c r="B45" i="8"/>
  <c r="B46" i="8"/>
  <c r="B50" i="8"/>
  <c r="B51" i="8"/>
  <c r="B53" i="8"/>
  <c r="B54" i="8"/>
  <c r="B56" i="8"/>
  <c r="B57" i="8"/>
  <c r="B59" i="8"/>
  <c r="B60" i="8"/>
  <c r="B63" i="8"/>
  <c r="B64" i="8"/>
  <c r="B66" i="8"/>
  <c r="B67" i="8"/>
  <c r="B69" i="8"/>
  <c r="B70" i="8"/>
  <c r="B72" i="8"/>
  <c r="B73" i="8"/>
  <c r="B75" i="8"/>
  <c r="B76" i="8"/>
  <c r="B78" i="8"/>
  <c r="B79" i="8"/>
  <c r="B81" i="8"/>
  <c r="B82" i="8"/>
  <c r="B86" i="8"/>
  <c r="B87" i="8"/>
  <c r="B89" i="8"/>
  <c r="B90" i="8"/>
  <c r="B92" i="8"/>
  <c r="B93" i="8"/>
  <c r="B95" i="8"/>
  <c r="B96" i="8"/>
  <c r="B98" i="8"/>
  <c r="B99" i="8"/>
  <c r="B101" i="8"/>
  <c r="B102" i="8"/>
  <c r="B105" i="8"/>
  <c r="B106" i="8"/>
  <c r="B108" i="8"/>
  <c r="B109" i="8"/>
  <c r="B111" i="8"/>
  <c r="B112" i="8"/>
  <c r="B114" i="8"/>
  <c r="B115" i="8"/>
  <c r="B117" i="8"/>
  <c r="B118" i="8"/>
  <c r="B120" i="8"/>
  <c r="B121" i="8"/>
  <c r="B122" i="8"/>
  <c r="B127" i="8"/>
  <c r="B128" i="8"/>
  <c r="B130" i="8"/>
  <c r="B131" i="8"/>
  <c r="B133" i="8"/>
  <c r="B134" i="8"/>
  <c r="B136" i="8"/>
  <c r="B137" i="8"/>
  <c r="B138" i="8"/>
  <c r="B141" i="8"/>
  <c r="B142" i="8"/>
  <c r="B144" i="8"/>
  <c r="B145" i="8"/>
  <c r="B148" i="8"/>
  <c r="B149" i="8"/>
  <c r="B151" i="8"/>
  <c r="B152" i="8"/>
  <c r="B154" i="8"/>
  <c r="B155" i="8"/>
  <c r="B158" i="8"/>
  <c r="B159" i="8"/>
  <c r="B161" i="8"/>
  <c r="B162" i="8"/>
  <c r="B164" i="8"/>
  <c r="B165" i="8"/>
  <c r="B167" i="8"/>
  <c r="B168" i="8"/>
  <c r="B170" i="8"/>
  <c r="B171" i="8"/>
  <c r="B173" i="8"/>
  <c r="B174" i="8"/>
  <c r="B175" i="8"/>
  <c r="B177" i="8"/>
  <c r="B178" i="8"/>
  <c r="B179" i="8"/>
  <c r="B181" i="8"/>
  <c r="B182" i="8"/>
  <c r="B183" i="8"/>
  <c r="B184" i="8"/>
  <c r="B185" i="8"/>
  <c r="B189" i="8"/>
  <c r="B190" i="8"/>
  <c r="B191" i="8"/>
  <c r="B193" i="8"/>
  <c r="B194" i="8"/>
  <c r="B195" i="8"/>
  <c r="B196" i="8"/>
  <c r="B198" i="8"/>
  <c r="B199" i="8"/>
  <c r="B200" i="8"/>
  <c r="B202" i="8"/>
  <c r="B203" i="8"/>
  <c r="B204" i="8"/>
  <c r="B205" i="8"/>
  <c r="B207" i="8"/>
  <c r="B208" i="8"/>
  <c r="B209" i="8"/>
  <c r="B210" i="8"/>
  <c r="B213" i="8"/>
  <c r="B214" i="8"/>
  <c r="B216" i="8"/>
  <c r="B217" i="8"/>
  <c r="B219" i="8"/>
  <c r="B220" i="8"/>
  <c r="B222" i="8"/>
  <c r="B223" i="8"/>
  <c r="B226" i="8"/>
  <c r="B227" i="8"/>
  <c r="B229" i="8"/>
  <c r="B230" i="8"/>
  <c r="B232" i="8"/>
  <c r="B233" i="8"/>
  <c r="B236" i="8"/>
  <c r="B237" i="8"/>
  <c r="B239" i="8"/>
  <c r="B240" i="8"/>
  <c r="B242" i="8"/>
  <c r="B243" i="8"/>
  <c r="B244" i="8"/>
  <c r="B246" i="8"/>
  <c r="B247" i="8"/>
  <c r="B249" i="8"/>
  <c r="B250" i="8"/>
  <c r="B251" i="8"/>
  <c r="B252" i="8"/>
  <c r="B254" i="8"/>
  <c r="B255" i="8"/>
  <c r="B256" i="8"/>
  <c r="B257" i="8"/>
  <c r="B258" i="8"/>
  <c r="B259" i="8"/>
  <c r="B260" i="8"/>
  <c r="B261" i="8"/>
  <c r="B262" i="8"/>
  <c r="C310" i="8"/>
  <c r="C309" i="8"/>
  <c r="C308" i="8"/>
  <c r="D308" i="8"/>
  <c r="E308" i="8"/>
  <c r="F308" i="8"/>
  <c r="G308" i="8"/>
  <c r="H308" i="8"/>
  <c r="I308" i="8"/>
  <c r="J308" i="8"/>
  <c r="K308" i="8"/>
  <c r="L308" i="8"/>
  <c r="M308" i="8"/>
  <c r="D309" i="8"/>
  <c r="E309" i="8"/>
  <c r="F309" i="8"/>
  <c r="G309" i="8"/>
  <c r="H309" i="8"/>
  <c r="I309" i="8"/>
  <c r="J309" i="8"/>
  <c r="K309" i="8"/>
  <c r="L309" i="8"/>
  <c r="M309" i="8"/>
  <c r="D310" i="8"/>
  <c r="E310" i="8"/>
  <c r="F310" i="8"/>
  <c r="G310" i="8"/>
  <c r="H310" i="8"/>
  <c r="I310" i="8"/>
  <c r="J310" i="8"/>
  <c r="K310" i="8"/>
  <c r="L310" i="8"/>
  <c r="M310" i="8"/>
  <c r="C312" i="8"/>
  <c r="D312" i="8"/>
  <c r="E312" i="8"/>
  <c r="F312" i="8"/>
  <c r="G312" i="8"/>
  <c r="H312" i="8"/>
  <c r="I312" i="8"/>
  <c r="J312" i="8"/>
  <c r="K312" i="8"/>
  <c r="L312" i="8"/>
  <c r="M312" i="8"/>
  <c r="C319" i="8"/>
  <c r="D319" i="8"/>
  <c r="E319" i="8"/>
  <c r="F319" i="8"/>
  <c r="G319" i="8"/>
  <c r="H319" i="8"/>
  <c r="I319" i="8"/>
  <c r="J319" i="8"/>
  <c r="K319" i="8"/>
  <c r="L319" i="8"/>
  <c r="M319" i="8"/>
  <c r="B317" i="77"/>
  <c r="M317" i="8" s="1"/>
  <c r="B307" i="77"/>
  <c r="M307" i="8" s="1"/>
  <c r="B304" i="77"/>
  <c r="B301" i="77"/>
  <c r="M301" i="8" s="1"/>
  <c r="B298" i="77"/>
  <c r="B288" i="77"/>
  <c r="B285" i="77"/>
  <c r="B281" i="77"/>
  <c r="M281" i="8" s="1"/>
  <c r="B278" i="77"/>
  <c r="B264" i="77"/>
  <c r="M264" i="8" s="1"/>
  <c r="B253" i="77"/>
  <c r="B248" i="77"/>
  <c r="B245" i="77"/>
  <c r="M245" i="8" s="1"/>
  <c r="B241" i="77"/>
  <c r="M241" i="8" s="1"/>
  <c r="B238" i="77"/>
  <c r="B235" i="77"/>
  <c r="B234" i="77" s="1"/>
  <c r="B231" i="77"/>
  <c r="B228" i="77"/>
  <c r="B225" i="77"/>
  <c r="B221" i="77"/>
  <c r="M221" i="8" s="1"/>
  <c r="B218" i="77"/>
  <c r="M218" i="8"/>
  <c r="B215" i="77"/>
  <c r="M215" i="8" s="1"/>
  <c r="B212" i="77"/>
  <c r="M212" i="8" s="1"/>
  <c r="B206" i="77"/>
  <c r="B201" i="77"/>
  <c r="B197" i="77"/>
  <c r="M197" i="8" s="1"/>
  <c r="M188" i="8"/>
  <c r="B180" i="77"/>
  <c r="B176" i="77"/>
  <c r="M176" i="8" s="1"/>
  <c r="B172" i="77"/>
  <c r="B169" i="77"/>
  <c r="B166" i="77"/>
  <c r="B163" i="77"/>
  <c r="B160" i="77"/>
  <c r="M160" i="8" s="1"/>
  <c r="B157" i="77"/>
  <c r="B156" i="77" s="1"/>
  <c r="M156" i="8" s="1"/>
  <c r="B153" i="77"/>
  <c r="M153" i="8"/>
  <c r="B150" i="77"/>
  <c r="B147" i="77"/>
  <c r="B143" i="77"/>
  <c r="B140" i="77"/>
  <c r="B135" i="77"/>
  <c r="B132" i="77"/>
  <c r="M132" i="8" s="1"/>
  <c r="B129" i="77"/>
  <c r="B126" i="77"/>
  <c r="B119" i="77"/>
  <c r="B116" i="77"/>
  <c r="B113" i="77"/>
  <c r="M113" i="8"/>
  <c r="B110" i="77"/>
  <c r="M110" i="8" s="1"/>
  <c r="B107" i="77"/>
  <c r="B103" i="77" s="1"/>
  <c r="M103" i="8" s="1"/>
  <c r="B104" i="77"/>
  <c r="B100" i="77"/>
  <c r="B97" i="77"/>
  <c r="M97" i="8" s="1"/>
  <c r="B94" i="77"/>
  <c r="B91" i="77"/>
  <c r="M91" i="8"/>
  <c r="B88" i="77"/>
  <c r="B85" i="77"/>
  <c r="B80" i="77"/>
  <c r="M80" i="8"/>
  <c r="B77" i="77"/>
  <c r="B74" i="77"/>
  <c r="B71" i="77"/>
  <c r="M71" i="8"/>
  <c r="B68" i="77"/>
  <c r="M68" i="8" s="1"/>
  <c r="B65" i="77"/>
  <c r="B62" i="77"/>
  <c r="B61" i="77"/>
  <c r="M61" i="8" s="1"/>
  <c r="B58" i="77"/>
  <c r="B55" i="77"/>
  <c r="B52" i="77"/>
  <c r="B49" i="77"/>
  <c r="B43" i="77"/>
  <c r="B40" i="77"/>
  <c r="M40" i="8" s="1"/>
  <c r="B37" i="77"/>
  <c r="B34" i="77"/>
  <c r="B30" i="77"/>
  <c r="B27" i="77"/>
  <c r="M27" i="8" s="1"/>
  <c r="B24" i="77"/>
  <c r="B20" i="77"/>
  <c r="M20" i="8" s="1"/>
  <c r="B17" i="77"/>
  <c r="B16" i="77" s="1"/>
  <c r="B317" i="76"/>
  <c r="B307" i="76"/>
  <c r="L307" i="8" s="1"/>
  <c r="B304" i="76"/>
  <c r="B301" i="76"/>
  <c r="B298" i="76"/>
  <c r="B288" i="76"/>
  <c r="B285" i="76"/>
  <c r="L285" i="8" s="1"/>
  <c r="B281" i="76"/>
  <c r="B278" i="76"/>
  <c r="B264" i="76"/>
  <c r="L264" i="8" s="1"/>
  <c r="B253" i="76"/>
  <c r="B248" i="76"/>
  <c r="B245" i="76"/>
  <c r="B241" i="76"/>
  <c r="L241" i="8" s="1"/>
  <c r="B238" i="76"/>
  <c r="B234" i="76" s="1"/>
  <c r="L234" i="8" s="1"/>
  <c r="B235" i="76"/>
  <c r="B231" i="76"/>
  <c r="B228" i="76"/>
  <c r="L228" i="8" s="1"/>
  <c r="B225" i="76"/>
  <c r="B221" i="76"/>
  <c r="L221" i="8" s="1"/>
  <c r="B218" i="76"/>
  <c r="B215" i="76"/>
  <c r="B212" i="76"/>
  <c r="B206" i="76"/>
  <c r="B201" i="76"/>
  <c r="B197" i="76"/>
  <c r="L192" i="8"/>
  <c r="L188" i="8"/>
  <c r="B180" i="76"/>
  <c r="B176" i="76"/>
  <c r="B172" i="76"/>
  <c r="L172" i="8" s="1"/>
  <c r="B169" i="76"/>
  <c r="L169" i="8" s="1"/>
  <c r="B166" i="76"/>
  <c r="B163" i="76"/>
  <c r="B160" i="76"/>
  <c r="L160" i="8" s="1"/>
  <c r="B157" i="76"/>
  <c r="B156" i="76"/>
  <c r="L156" i="8" s="1"/>
  <c r="B153" i="76"/>
  <c r="B150" i="76"/>
  <c r="B147" i="76"/>
  <c r="B143" i="76"/>
  <c r="B140" i="76"/>
  <c r="B135" i="76"/>
  <c r="B132" i="76"/>
  <c r="B129" i="76"/>
  <c r="B126" i="76"/>
  <c r="B119" i="76"/>
  <c r="B116" i="76"/>
  <c r="B113" i="76"/>
  <c r="L113" i="8" s="1"/>
  <c r="B110" i="76"/>
  <c r="B107" i="76"/>
  <c r="B104" i="76"/>
  <c r="B100" i="76"/>
  <c r="L100" i="8" s="1"/>
  <c r="B97" i="76"/>
  <c r="L97" i="8" s="1"/>
  <c r="B94" i="76"/>
  <c r="B91" i="76"/>
  <c r="B88" i="76"/>
  <c r="B85" i="76"/>
  <c r="B80" i="76"/>
  <c r="L80" i="8" s="1"/>
  <c r="B77" i="76"/>
  <c r="L77" i="8" s="1"/>
  <c r="B74" i="76"/>
  <c r="L74" i="8"/>
  <c r="B71" i="76"/>
  <c r="B68" i="76"/>
  <c r="L68" i="8" s="1"/>
  <c r="B65" i="76"/>
  <c r="B62" i="76"/>
  <c r="B61" i="76" s="1"/>
  <c r="L61" i="8" s="1"/>
  <c r="B58" i="76"/>
  <c r="L58" i="8"/>
  <c r="B55" i="76"/>
  <c r="B52" i="76"/>
  <c r="B49" i="76"/>
  <c r="B48" i="76"/>
  <c r="B43" i="76"/>
  <c r="L43" i="8" s="1"/>
  <c r="B40" i="76"/>
  <c r="B37" i="76"/>
  <c r="L37" i="8" s="1"/>
  <c r="B34" i="76"/>
  <c r="L34" i="8" s="1"/>
  <c r="B30" i="76"/>
  <c r="B27" i="76"/>
  <c r="L27" i="8" s="1"/>
  <c r="B24" i="76"/>
  <c r="B20" i="76"/>
  <c r="B17" i="76"/>
  <c r="L17" i="8" s="1"/>
  <c r="B317" i="75"/>
  <c r="B307" i="75"/>
  <c r="K307" i="8" s="1"/>
  <c r="B304" i="75"/>
  <c r="K304" i="8" s="1"/>
  <c r="B301" i="75"/>
  <c r="B298" i="75"/>
  <c r="K298" i="8" s="1"/>
  <c r="B288" i="75"/>
  <c r="B285" i="75"/>
  <c r="B281" i="75"/>
  <c r="B278" i="75"/>
  <c r="B264" i="75"/>
  <c r="K264" i="8" s="1"/>
  <c r="B253" i="75"/>
  <c r="B248" i="75"/>
  <c r="B245" i="75"/>
  <c r="B241" i="75"/>
  <c r="K241" i="8" s="1"/>
  <c r="B238" i="75"/>
  <c r="B234" i="75" s="1"/>
  <c r="K234" i="8" s="1"/>
  <c r="B235" i="75"/>
  <c r="B231" i="75"/>
  <c r="K231" i="8" s="1"/>
  <c r="B228" i="75"/>
  <c r="B225" i="75"/>
  <c r="B221" i="75"/>
  <c r="B218" i="75"/>
  <c r="K218" i="8" s="1"/>
  <c r="B215" i="75"/>
  <c r="B212" i="75"/>
  <c r="B206" i="75"/>
  <c r="B201" i="75"/>
  <c r="B197" i="75"/>
  <c r="K192" i="8"/>
  <c r="K188" i="8"/>
  <c r="B180" i="75"/>
  <c r="B176" i="75"/>
  <c r="B172" i="75"/>
  <c r="K172" i="8" s="1"/>
  <c r="B169" i="75"/>
  <c r="B166" i="75"/>
  <c r="B163" i="75"/>
  <c r="K163" i="8" s="1"/>
  <c r="B160" i="75"/>
  <c r="K160" i="8" s="1"/>
  <c r="B157" i="75"/>
  <c r="K157" i="8" s="1"/>
  <c r="B153" i="75"/>
  <c r="B150" i="75"/>
  <c r="K150" i="8" s="1"/>
  <c r="B147" i="75"/>
  <c r="B143" i="75"/>
  <c r="B140" i="75"/>
  <c r="K140" i="8" s="1"/>
  <c r="B135" i="75"/>
  <c r="B132" i="75"/>
  <c r="B129" i="75"/>
  <c r="K129" i="8" s="1"/>
  <c r="B126" i="75"/>
  <c r="B119" i="75"/>
  <c r="B116" i="75"/>
  <c r="K116" i="8"/>
  <c r="B113" i="75"/>
  <c r="B110" i="75"/>
  <c r="K110" i="8" s="1"/>
  <c r="B107" i="75"/>
  <c r="B104" i="75"/>
  <c r="B100" i="75"/>
  <c r="K100" i="8" s="1"/>
  <c r="B97" i="75"/>
  <c r="B94" i="75"/>
  <c r="B91" i="75"/>
  <c r="B88" i="75"/>
  <c r="K88" i="8" s="1"/>
  <c r="B85" i="75"/>
  <c r="B80" i="75"/>
  <c r="K80" i="8" s="1"/>
  <c r="B77" i="75"/>
  <c r="K77" i="8" s="1"/>
  <c r="B74" i="75"/>
  <c r="B71" i="75"/>
  <c r="B68" i="75"/>
  <c r="K68" i="8" s="1"/>
  <c r="Q68" i="8" s="1"/>
  <c r="B65" i="75"/>
  <c r="B62" i="75"/>
  <c r="B58" i="75"/>
  <c r="B55" i="75"/>
  <c r="B52" i="75"/>
  <c r="B49" i="75"/>
  <c r="B43" i="75"/>
  <c r="B40" i="75"/>
  <c r="B37" i="75"/>
  <c r="B34" i="75"/>
  <c r="B30" i="75"/>
  <c r="B27" i="75"/>
  <c r="K27" i="8" s="1"/>
  <c r="B24" i="75"/>
  <c r="B20" i="75"/>
  <c r="B17" i="75"/>
  <c r="B317" i="74"/>
  <c r="B307" i="74"/>
  <c r="J307" i="8" s="1"/>
  <c r="B304" i="74"/>
  <c r="B301" i="74"/>
  <c r="B298" i="74"/>
  <c r="J298" i="8" s="1"/>
  <c r="B288" i="74"/>
  <c r="J288" i="8"/>
  <c r="B285" i="74"/>
  <c r="J285" i="8" s="1"/>
  <c r="B281" i="74"/>
  <c r="J281" i="8" s="1"/>
  <c r="B278" i="74"/>
  <c r="B264" i="74"/>
  <c r="J264" i="8" s="1"/>
  <c r="B253" i="74"/>
  <c r="B248" i="74"/>
  <c r="B245" i="74"/>
  <c r="B241" i="74"/>
  <c r="B238" i="74"/>
  <c r="B235" i="74"/>
  <c r="B231" i="74"/>
  <c r="B228" i="74"/>
  <c r="B225" i="74"/>
  <c r="J225" i="8" s="1"/>
  <c r="B221" i="74"/>
  <c r="J221" i="8"/>
  <c r="B218" i="74"/>
  <c r="B215" i="74"/>
  <c r="J215" i="8" s="1"/>
  <c r="B212" i="74"/>
  <c r="B206" i="74"/>
  <c r="J206" i="8" s="1"/>
  <c r="B201" i="74"/>
  <c r="J201" i="8" s="1"/>
  <c r="B197" i="74"/>
  <c r="J192" i="8"/>
  <c r="J188" i="8"/>
  <c r="B180" i="74"/>
  <c r="B176" i="74"/>
  <c r="J176" i="8" s="1"/>
  <c r="B172" i="74"/>
  <c r="J172" i="8"/>
  <c r="B169" i="74"/>
  <c r="B166" i="74"/>
  <c r="B163" i="74"/>
  <c r="J163" i="8"/>
  <c r="B160" i="74"/>
  <c r="B157" i="74"/>
  <c r="B156" i="74" s="1"/>
  <c r="J156" i="8" s="1"/>
  <c r="B153" i="74"/>
  <c r="B150" i="74"/>
  <c r="J150" i="8" s="1"/>
  <c r="B147" i="74"/>
  <c r="B143" i="74"/>
  <c r="B140" i="74"/>
  <c r="B135" i="74"/>
  <c r="B132" i="74"/>
  <c r="B129" i="74"/>
  <c r="B126" i="74"/>
  <c r="B119" i="74"/>
  <c r="J119" i="8" s="1"/>
  <c r="B116" i="74"/>
  <c r="B113" i="74"/>
  <c r="B110" i="74"/>
  <c r="J110" i="8" s="1"/>
  <c r="B107" i="74"/>
  <c r="B104" i="74"/>
  <c r="B100" i="74"/>
  <c r="B97" i="74"/>
  <c r="J97" i="8" s="1"/>
  <c r="B94" i="74"/>
  <c r="J94" i="8" s="1"/>
  <c r="B91" i="74"/>
  <c r="J91" i="8" s="1"/>
  <c r="B88" i="74"/>
  <c r="B85" i="74"/>
  <c r="B80" i="74"/>
  <c r="J80" i="8" s="1"/>
  <c r="B77" i="74"/>
  <c r="J77" i="8" s="1"/>
  <c r="B74" i="74"/>
  <c r="B71" i="74"/>
  <c r="J71" i="8" s="1"/>
  <c r="B68" i="74"/>
  <c r="B65" i="74"/>
  <c r="B62" i="74"/>
  <c r="B61" i="74" s="1"/>
  <c r="J61" i="8" s="1"/>
  <c r="B58" i="74"/>
  <c r="J58" i="8" s="1"/>
  <c r="B55" i="74"/>
  <c r="B52" i="74"/>
  <c r="B49" i="74"/>
  <c r="B43" i="74"/>
  <c r="B40" i="74"/>
  <c r="B37" i="74"/>
  <c r="J37" i="8"/>
  <c r="B34" i="74"/>
  <c r="J34" i="8" s="1"/>
  <c r="B30" i="74"/>
  <c r="B27" i="74"/>
  <c r="B24" i="74"/>
  <c r="B20" i="74"/>
  <c r="B17" i="74"/>
  <c r="J17" i="8" s="1"/>
  <c r="B317" i="73"/>
  <c r="I317" i="8" s="1"/>
  <c r="B307" i="73"/>
  <c r="I307" i="8" s="1"/>
  <c r="B304" i="73"/>
  <c r="B301" i="73"/>
  <c r="B298" i="73"/>
  <c r="B288" i="73"/>
  <c r="B285" i="73"/>
  <c r="I285" i="8" s="1"/>
  <c r="B281" i="73"/>
  <c r="B278" i="73"/>
  <c r="B277" i="73" s="1"/>
  <c r="I277" i="8" s="1"/>
  <c r="B264" i="73"/>
  <c r="I264" i="8" s="1"/>
  <c r="B253" i="73"/>
  <c r="B248" i="73"/>
  <c r="B245" i="73"/>
  <c r="B241" i="73"/>
  <c r="B238" i="73"/>
  <c r="B235" i="73"/>
  <c r="B231" i="73"/>
  <c r="I231" i="8" s="1"/>
  <c r="B228" i="73"/>
  <c r="B225" i="73"/>
  <c r="B221" i="73"/>
  <c r="B218" i="73"/>
  <c r="B215" i="73"/>
  <c r="B212" i="73"/>
  <c r="B206" i="73"/>
  <c r="I206" i="8" s="1"/>
  <c r="B201" i="73"/>
  <c r="B197" i="73"/>
  <c r="I188" i="8"/>
  <c r="B180" i="73"/>
  <c r="B176" i="73"/>
  <c r="B172" i="73"/>
  <c r="I172" i="8" s="1"/>
  <c r="B169" i="73"/>
  <c r="I169" i="8" s="1"/>
  <c r="B166" i="73"/>
  <c r="I166" i="8" s="1"/>
  <c r="B163" i="73"/>
  <c r="I163" i="8" s="1"/>
  <c r="B160" i="73"/>
  <c r="I160" i="8" s="1"/>
  <c r="B157" i="73"/>
  <c r="B156" i="73"/>
  <c r="I156" i="8" s="1"/>
  <c r="B153" i="73"/>
  <c r="B150" i="73"/>
  <c r="I150" i="8" s="1"/>
  <c r="B147" i="73"/>
  <c r="B146" i="73" s="1"/>
  <c r="I146" i="8" s="1"/>
  <c r="B143" i="73"/>
  <c r="B140" i="73"/>
  <c r="B135" i="73"/>
  <c r="B132" i="73"/>
  <c r="B129" i="73"/>
  <c r="I129" i="8" s="1"/>
  <c r="B126" i="73"/>
  <c r="B119" i="73"/>
  <c r="B116" i="73"/>
  <c r="B113" i="73"/>
  <c r="B110" i="73"/>
  <c r="I110" i="8" s="1"/>
  <c r="B107" i="73"/>
  <c r="B104" i="73"/>
  <c r="B103" i="73" s="1"/>
  <c r="I103" i="8" s="1"/>
  <c r="B100" i="73"/>
  <c r="B97" i="73"/>
  <c r="I97" i="8" s="1"/>
  <c r="B94" i="73"/>
  <c r="B91" i="73"/>
  <c r="B88" i="73"/>
  <c r="I88" i="8" s="1"/>
  <c r="B85" i="73"/>
  <c r="B80" i="73"/>
  <c r="I80" i="8"/>
  <c r="B77" i="73"/>
  <c r="I77" i="8" s="1"/>
  <c r="B74" i="73"/>
  <c r="B71" i="73"/>
  <c r="B68" i="73"/>
  <c r="I68" i="8" s="1"/>
  <c r="B65" i="73"/>
  <c r="B61" i="73"/>
  <c r="I61" i="8" s="1"/>
  <c r="B62" i="73"/>
  <c r="B58" i="73"/>
  <c r="I58" i="8" s="1"/>
  <c r="B55" i="73"/>
  <c r="I55" i="8" s="1"/>
  <c r="B52" i="73"/>
  <c r="B49" i="73"/>
  <c r="B43" i="73"/>
  <c r="B40" i="73"/>
  <c r="B37" i="73"/>
  <c r="B34" i="73"/>
  <c r="B30" i="73"/>
  <c r="B27" i="73"/>
  <c r="B24" i="73"/>
  <c r="B20" i="73"/>
  <c r="B17" i="73"/>
  <c r="I17" i="8" s="1"/>
  <c r="B317" i="72"/>
  <c r="H317" i="8" s="1"/>
  <c r="B307" i="72"/>
  <c r="H307" i="8" s="1"/>
  <c r="B304" i="72"/>
  <c r="B301" i="72"/>
  <c r="B298" i="72"/>
  <c r="H298" i="8" s="1"/>
  <c r="B288" i="72"/>
  <c r="H288" i="8" s="1"/>
  <c r="B285" i="72"/>
  <c r="B281" i="72"/>
  <c r="B278" i="72"/>
  <c r="B264" i="72"/>
  <c r="H264" i="8" s="1"/>
  <c r="B253" i="72"/>
  <c r="B248" i="72"/>
  <c r="B245" i="72"/>
  <c r="H245" i="8" s="1"/>
  <c r="B241" i="72"/>
  <c r="B238" i="72"/>
  <c r="B235" i="72"/>
  <c r="B231" i="72"/>
  <c r="H231" i="8" s="1"/>
  <c r="B228" i="72"/>
  <c r="B225" i="72"/>
  <c r="H225" i="8" s="1"/>
  <c r="B221" i="72"/>
  <c r="H221" i="8" s="1"/>
  <c r="B218" i="72"/>
  <c r="B215" i="72"/>
  <c r="B212" i="72"/>
  <c r="B206" i="72"/>
  <c r="H206" i="8" s="1"/>
  <c r="B201" i="72"/>
  <c r="B197" i="72"/>
  <c r="H192" i="8"/>
  <c r="B180" i="72"/>
  <c r="B176" i="72"/>
  <c r="B172" i="72"/>
  <c r="B169" i="72"/>
  <c r="B166" i="72"/>
  <c r="B163" i="72"/>
  <c r="B160" i="72"/>
  <c r="H160" i="8" s="1"/>
  <c r="B157" i="72"/>
  <c r="B156" i="72" s="1"/>
  <c r="H156" i="8" s="1"/>
  <c r="B153" i="72"/>
  <c r="B150" i="72"/>
  <c r="H150" i="8" s="1"/>
  <c r="B147" i="72"/>
  <c r="B143" i="72"/>
  <c r="B140" i="72"/>
  <c r="H140" i="8" s="1"/>
  <c r="B135" i="72"/>
  <c r="B132" i="72"/>
  <c r="B129" i="72"/>
  <c r="B126" i="72"/>
  <c r="B119" i="72"/>
  <c r="B116" i="72"/>
  <c r="B113" i="72"/>
  <c r="B110" i="72"/>
  <c r="H110" i="8" s="1"/>
  <c r="B107" i="72"/>
  <c r="B104" i="72"/>
  <c r="B100" i="72"/>
  <c r="B97" i="72"/>
  <c r="H97" i="8" s="1"/>
  <c r="B94" i="72"/>
  <c r="B91" i="72"/>
  <c r="B88" i="72"/>
  <c r="H88" i="8" s="1"/>
  <c r="B85" i="72"/>
  <c r="B80" i="72"/>
  <c r="H80" i="8" s="1"/>
  <c r="B77" i="72"/>
  <c r="H77" i="8" s="1"/>
  <c r="B74" i="72"/>
  <c r="B71" i="72"/>
  <c r="B68" i="72"/>
  <c r="H68" i="8" s="1"/>
  <c r="B65" i="72"/>
  <c r="B62" i="72"/>
  <c r="B61" i="72" s="1"/>
  <c r="H61" i="8" s="1"/>
  <c r="B58" i="72"/>
  <c r="H58" i="8" s="1"/>
  <c r="B55" i="72"/>
  <c r="H55" i="8" s="1"/>
  <c r="B52" i="72"/>
  <c r="B49" i="72"/>
  <c r="B43" i="72"/>
  <c r="B40" i="72"/>
  <c r="B37" i="72"/>
  <c r="B34" i="72"/>
  <c r="B30" i="72"/>
  <c r="B27" i="72"/>
  <c r="B24" i="72"/>
  <c r="B20" i="72"/>
  <c r="B17" i="72"/>
  <c r="H17" i="8" s="1"/>
  <c r="B317" i="71"/>
  <c r="B307" i="71"/>
  <c r="G307" i="8" s="1"/>
  <c r="B304" i="71"/>
  <c r="B301" i="71"/>
  <c r="B298" i="71"/>
  <c r="B288" i="71"/>
  <c r="B285" i="71"/>
  <c r="B281" i="71"/>
  <c r="B277" i="71" s="1"/>
  <c r="G277" i="8" s="1"/>
  <c r="B278" i="71"/>
  <c r="B264" i="71"/>
  <c r="G264" i="8" s="1"/>
  <c r="B253" i="71"/>
  <c r="B248" i="71"/>
  <c r="G248" i="8" s="1"/>
  <c r="B245" i="71"/>
  <c r="B241" i="71"/>
  <c r="G241" i="8" s="1"/>
  <c r="B238" i="71"/>
  <c r="G238" i="8" s="1"/>
  <c r="B235" i="71"/>
  <c r="B231" i="71"/>
  <c r="B228" i="71"/>
  <c r="B225" i="71"/>
  <c r="B221" i="71"/>
  <c r="G221" i="8" s="1"/>
  <c r="B218" i="71"/>
  <c r="B215" i="71"/>
  <c r="B212" i="71"/>
  <c r="B206" i="71"/>
  <c r="G206" i="8" s="1"/>
  <c r="B201" i="71"/>
  <c r="G201" i="8" s="1"/>
  <c r="B197" i="71"/>
  <c r="G192" i="8"/>
  <c r="G188" i="8"/>
  <c r="B180" i="71"/>
  <c r="B176" i="71"/>
  <c r="B172" i="71"/>
  <c r="G172" i="8" s="1"/>
  <c r="B169" i="71"/>
  <c r="G169" i="8" s="1"/>
  <c r="B166" i="71"/>
  <c r="B163" i="71"/>
  <c r="G163" i="8" s="1"/>
  <c r="B160" i="71"/>
  <c r="G160" i="8" s="1"/>
  <c r="B157" i="71"/>
  <c r="G157" i="8" s="1"/>
  <c r="B153" i="71"/>
  <c r="B150" i="71"/>
  <c r="B147" i="71"/>
  <c r="G147" i="8" s="1"/>
  <c r="B143" i="71"/>
  <c r="B140" i="71"/>
  <c r="G140" i="8" s="1"/>
  <c r="B135" i="71"/>
  <c r="B132" i="71"/>
  <c r="G132" i="8" s="1"/>
  <c r="B129" i="71"/>
  <c r="G129" i="8" s="1"/>
  <c r="B126" i="71"/>
  <c r="G126" i="8" s="1"/>
  <c r="B119" i="71"/>
  <c r="G119" i="8" s="1"/>
  <c r="B116" i="71"/>
  <c r="B113" i="71"/>
  <c r="G113" i="8" s="1"/>
  <c r="B110" i="71"/>
  <c r="G110" i="8" s="1"/>
  <c r="B107" i="71"/>
  <c r="B104" i="71"/>
  <c r="B100" i="71"/>
  <c r="G100" i="8" s="1"/>
  <c r="B97" i="71"/>
  <c r="G97" i="8" s="1"/>
  <c r="B94" i="71"/>
  <c r="B91" i="71"/>
  <c r="B88" i="71"/>
  <c r="B85" i="71"/>
  <c r="B80" i="71"/>
  <c r="G80" i="8" s="1"/>
  <c r="B77" i="71"/>
  <c r="G77" i="8" s="1"/>
  <c r="B74" i="71"/>
  <c r="G74" i="8" s="1"/>
  <c r="B71" i="71"/>
  <c r="B68" i="71"/>
  <c r="G68" i="8" s="1"/>
  <c r="B65" i="71"/>
  <c r="B62" i="71"/>
  <c r="B58" i="71"/>
  <c r="G58" i="8" s="1"/>
  <c r="B55" i="71"/>
  <c r="B52" i="71"/>
  <c r="G52" i="8" s="1"/>
  <c r="B49" i="71"/>
  <c r="B43" i="71"/>
  <c r="B40" i="71"/>
  <c r="B37" i="71"/>
  <c r="G37" i="8" s="1"/>
  <c r="B34" i="71"/>
  <c r="B30" i="71"/>
  <c r="B27" i="71"/>
  <c r="B24" i="71"/>
  <c r="B20" i="71"/>
  <c r="B17" i="71"/>
  <c r="G17" i="8" s="1"/>
  <c r="B317" i="70"/>
  <c r="B307" i="70"/>
  <c r="F307" i="8" s="1"/>
  <c r="B304" i="70"/>
  <c r="B301" i="70"/>
  <c r="F301" i="8" s="1"/>
  <c r="B298" i="70"/>
  <c r="F298" i="8" s="1"/>
  <c r="B288" i="70"/>
  <c r="F288" i="8" s="1"/>
  <c r="B285" i="70"/>
  <c r="B281" i="70"/>
  <c r="B278" i="70"/>
  <c r="B264" i="70"/>
  <c r="F264" i="8" s="1"/>
  <c r="B253" i="70"/>
  <c r="B248" i="70"/>
  <c r="B245" i="70"/>
  <c r="B241" i="70"/>
  <c r="F241" i="8" s="1"/>
  <c r="B238" i="70"/>
  <c r="B235" i="70"/>
  <c r="B231" i="70"/>
  <c r="B228" i="70"/>
  <c r="B225" i="70"/>
  <c r="B221" i="70"/>
  <c r="F221" i="8" s="1"/>
  <c r="B218" i="70"/>
  <c r="F218" i="8" s="1"/>
  <c r="B215" i="70"/>
  <c r="B212" i="70"/>
  <c r="B206" i="70"/>
  <c r="F206" i="8" s="1"/>
  <c r="B201" i="70"/>
  <c r="B197" i="70"/>
  <c r="F192" i="8"/>
  <c r="F188" i="8"/>
  <c r="B180" i="70"/>
  <c r="B176" i="70"/>
  <c r="F176" i="8" s="1"/>
  <c r="B172" i="70"/>
  <c r="F172" i="8" s="1"/>
  <c r="B169" i="70"/>
  <c r="F169" i="8" s="1"/>
  <c r="B166" i="70"/>
  <c r="B163" i="70"/>
  <c r="B160" i="70"/>
  <c r="F160" i="8" s="1"/>
  <c r="B157" i="70"/>
  <c r="B156" i="70" s="1"/>
  <c r="F156" i="8" s="1"/>
  <c r="B153" i="70"/>
  <c r="F153" i="8" s="1"/>
  <c r="B150" i="70"/>
  <c r="F150" i="8" s="1"/>
  <c r="B147" i="70"/>
  <c r="B143" i="70"/>
  <c r="B140" i="70"/>
  <c r="B135" i="70"/>
  <c r="B132" i="70"/>
  <c r="B129" i="70"/>
  <c r="B126" i="70"/>
  <c r="B119" i="70"/>
  <c r="F119" i="8" s="1"/>
  <c r="B116" i="70"/>
  <c r="B113" i="70"/>
  <c r="B110" i="70"/>
  <c r="B107" i="70"/>
  <c r="B104" i="70"/>
  <c r="B100" i="70"/>
  <c r="F100" i="8" s="1"/>
  <c r="B97" i="70"/>
  <c r="B94" i="70"/>
  <c r="F94" i="8" s="1"/>
  <c r="B91" i="70"/>
  <c r="B88" i="70"/>
  <c r="B85" i="70"/>
  <c r="F85" i="8" s="1"/>
  <c r="B80" i="70"/>
  <c r="F80" i="8" s="1"/>
  <c r="B77" i="70"/>
  <c r="B74" i="70"/>
  <c r="B71" i="70"/>
  <c r="B68" i="70"/>
  <c r="F68" i="8" s="1"/>
  <c r="B65" i="70"/>
  <c r="B62" i="70"/>
  <c r="B58" i="70"/>
  <c r="F58" i="8" s="1"/>
  <c r="B55" i="70"/>
  <c r="B52" i="70"/>
  <c r="B49" i="70"/>
  <c r="B43" i="70"/>
  <c r="B40" i="70"/>
  <c r="F40" i="8" s="1"/>
  <c r="B37" i="70"/>
  <c r="F37" i="8" s="1"/>
  <c r="B34" i="70"/>
  <c r="B33" i="70" s="1"/>
  <c r="F33" i="8" s="1"/>
  <c r="B30" i="70"/>
  <c r="B27" i="70"/>
  <c r="F27" i="8" s="1"/>
  <c r="B24" i="70"/>
  <c r="F24" i="8" s="1"/>
  <c r="B20" i="70"/>
  <c r="B17" i="70"/>
  <c r="B317" i="69"/>
  <c r="E317" i="8" s="1"/>
  <c r="B307" i="69"/>
  <c r="E307" i="8" s="1"/>
  <c r="B304" i="69"/>
  <c r="B301" i="69"/>
  <c r="E301" i="8" s="1"/>
  <c r="B298" i="69"/>
  <c r="E298" i="8" s="1"/>
  <c r="B288" i="69"/>
  <c r="B285" i="69"/>
  <c r="E285" i="8" s="1"/>
  <c r="B281" i="69"/>
  <c r="E281" i="8" s="1"/>
  <c r="B278" i="69"/>
  <c r="B264" i="69"/>
  <c r="E264" i="8" s="1"/>
  <c r="B253" i="69"/>
  <c r="B248" i="69"/>
  <c r="E248" i="8" s="1"/>
  <c r="B245" i="69"/>
  <c r="E245" i="8" s="1"/>
  <c r="B241" i="69"/>
  <c r="E241" i="8"/>
  <c r="B238" i="69"/>
  <c r="E238" i="8" s="1"/>
  <c r="B235" i="69"/>
  <c r="B231" i="69"/>
  <c r="B228" i="69"/>
  <c r="B225" i="69"/>
  <c r="B221" i="69"/>
  <c r="E221" i="8" s="1"/>
  <c r="B218" i="69"/>
  <c r="B215" i="69"/>
  <c r="E215" i="8" s="1"/>
  <c r="B212" i="69"/>
  <c r="E212" i="8" s="1"/>
  <c r="B206" i="69"/>
  <c r="E206" i="8" s="1"/>
  <c r="B201" i="69"/>
  <c r="B197" i="69"/>
  <c r="E197" i="8" s="1"/>
  <c r="B180" i="69"/>
  <c r="E180" i="8" s="1"/>
  <c r="B176" i="69"/>
  <c r="E176" i="8" s="1"/>
  <c r="B172" i="69"/>
  <c r="E172" i="8" s="1"/>
  <c r="B169" i="69"/>
  <c r="B166" i="69"/>
  <c r="B163" i="69"/>
  <c r="B160" i="69"/>
  <c r="E160" i="8" s="1"/>
  <c r="B157" i="69"/>
  <c r="B156" i="69" s="1"/>
  <c r="E156" i="8" s="1"/>
  <c r="B153" i="69"/>
  <c r="B150" i="69"/>
  <c r="E150" i="8" s="1"/>
  <c r="B147" i="69"/>
  <c r="B143" i="69"/>
  <c r="B140" i="69"/>
  <c r="B135" i="69"/>
  <c r="E135" i="8" s="1"/>
  <c r="B132" i="69"/>
  <c r="E132" i="8" s="1"/>
  <c r="B129" i="69"/>
  <c r="E129" i="8" s="1"/>
  <c r="B126" i="69"/>
  <c r="E126" i="8" s="1"/>
  <c r="B119" i="69"/>
  <c r="E119" i="8" s="1"/>
  <c r="B116" i="69"/>
  <c r="E116" i="8" s="1"/>
  <c r="B113" i="69"/>
  <c r="E113" i="8" s="1"/>
  <c r="B110" i="69"/>
  <c r="E110" i="8" s="1"/>
  <c r="B107" i="69"/>
  <c r="B104" i="69"/>
  <c r="B100" i="69"/>
  <c r="E100" i="8" s="1"/>
  <c r="B97" i="69"/>
  <c r="E97" i="8" s="1"/>
  <c r="B94" i="69"/>
  <c r="E94" i="8" s="1"/>
  <c r="B91" i="69"/>
  <c r="E91" i="8" s="1"/>
  <c r="B88" i="69"/>
  <c r="E88" i="8" s="1"/>
  <c r="B85" i="69"/>
  <c r="B80" i="69"/>
  <c r="E80" i="8" s="1"/>
  <c r="B77" i="69"/>
  <c r="E77" i="8" s="1"/>
  <c r="B74" i="69"/>
  <c r="B71" i="69"/>
  <c r="E71" i="8" s="1"/>
  <c r="B68" i="69"/>
  <c r="E68" i="8" s="1"/>
  <c r="B65" i="69"/>
  <c r="B62" i="69"/>
  <c r="B58" i="69"/>
  <c r="E58" i="8" s="1"/>
  <c r="B55" i="69"/>
  <c r="E55" i="8" s="1"/>
  <c r="B52" i="69"/>
  <c r="B49" i="69"/>
  <c r="B43" i="69"/>
  <c r="B40" i="69"/>
  <c r="E40" i="8" s="1"/>
  <c r="B37" i="69"/>
  <c r="E37" i="8" s="1"/>
  <c r="B34" i="69"/>
  <c r="E34" i="8" s="1"/>
  <c r="B30" i="69"/>
  <c r="B27" i="69"/>
  <c r="E27" i="8" s="1"/>
  <c r="B24" i="69"/>
  <c r="B20" i="69"/>
  <c r="E20" i="8" s="1"/>
  <c r="B17" i="69"/>
  <c r="E17" i="8" s="1"/>
  <c r="B317" i="68"/>
  <c r="D317" i="8" s="1"/>
  <c r="B307" i="68"/>
  <c r="D307" i="8" s="1"/>
  <c r="B304" i="68"/>
  <c r="B301" i="68"/>
  <c r="B298" i="68"/>
  <c r="B288" i="68"/>
  <c r="B285" i="68"/>
  <c r="B281" i="68"/>
  <c r="D281" i="8" s="1"/>
  <c r="B278" i="68"/>
  <c r="B264" i="68"/>
  <c r="D264" i="8" s="1"/>
  <c r="B253" i="68"/>
  <c r="D253" i="8" s="1"/>
  <c r="B248" i="68"/>
  <c r="B245" i="68"/>
  <c r="D245" i="8" s="1"/>
  <c r="B241" i="68"/>
  <c r="B238" i="68"/>
  <c r="B235" i="68"/>
  <c r="B231" i="68"/>
  <c r="D231" i="8" s="1"/>
  <c r="B228" i="68"/>
  <c r="D228" i="8" s="1"/>
  <c r="B225" i="68"/>
  <c r="B221" i="68"/>
  <c r="D221" i="8" s="1"/>
  <c r="B218" i="68"/>
  <c r="D218" i="8" s="1"/>
  <c r="B215" i="68"/>
  <c r="B212" i="68"/>
  <c r="B206" i="68"/>
  <c r="D206" i="8" s="1"/>
  <c r="B201" i="68"/>
  <c r="B197" i="68"/>
  <c r="D197" i="8" s="1"/>
  <c r="B192" i="68"/>
  <c r="D192" i="8" s="1"/>
  <c r="B188" i="68"/>
  <c r="D186" i="8" s="1"/>
  <c r="B180" i="68"/>
  <c r="B176" i="68"/>
  <c r="B172" i="68"/>
  <c r="D172" i="8" s="1"/>
  <c r="B169" i="68"/>
  <c r="D169" i="8" s="1"/>
  <c r="B166" i="68"/>
  <c r="B163" i="68"/>
  <c r="D163" i="8" s="1"/>
  <c r="B160" i="68"/>
  <c r="D160" i="8" s="1"/>
  <c r="B157" i="68"/>
  <c r="B156" i="68" s="1"/>
  <c r="D156" i="8" s="1"/>
  <c r="B153" i="68"/>
  <c r="D153" i="8" s="1"/>
  <c r="B150" i="68"/>
  <c r="B147" i="68"/>
  <c r="B143" i="68"/>
  <c r="D143" i="8" s="1"/>
  <c r="B140" i="68"/>
  <c r="B135" i="68"/>
  <c r="B132" i="68"/>
  <c r="B129" i="68"/>
  <c r="B126" i="68"/>
  <c r="B119" i="68"/>
  <c r="B116" i="68"/>
  <c r="D116" i="8" s="1"/>
  <c r="B113" i="68"/>
  <c r="B110" i="68"/>
  <c r="B107" i="68"/>
  <c r="B104" i="68"/>
  <c r="B103" i="68" s="1"/>
  <c r="D103" i="8" s="1"/>
  <c r="B100" i="68"/>
  <c r="B97" i="68"/>
  <c r="D97" i="8" s="1"/>
  <c r="B94" i="68"/>
  <c r="B91" i="68"/>
  <c r="B88" i="68"/>
  <c r="D88" i="8" s="1"/>
  <c r="B85" i="68"/>
  <c r="B80" i="68"/>
  <c r="D80" i="8"/>
  <c r="B77" i="68"/>
  <c r="D77" i="8" s="1"/>
  <c r="B74" i="68"/>
  <c r="B71" i="68"/>
  <c r="B68" i="68"/>
  <c r="D68" i="8" s="1"/>
  <c r="B65" i="68"/>
  <c r="B62" i="68"/>
  <c r="B58" i="68"/>
  <c r="D58" i="8"/>
  <c r="B55" i="68"/>
  <c r="D55" i="8" s="1"/>
  <c r="B52" i="68"/>
  <c r="B49" i="68"/>
  <c r="B43" i="68"/>
  <c r="B40" i="68"/>
  <c r="B37" i="68"/>
  <c r="B34" i="68"/>
  <c r="D34" i="8" s="1"/>
  <c r="B30" i="68"/>
  <c r="B27" i="68"/>
  <c r="B24" i="68"/>
  <c r="D24" i="8" s="1"/>
  <c r="B20" i="68"/>
  <c r="D20" i="8" s="1"/>
  <c r="B17" i="68"/>
  <c r="B317" i="67"/>
  <c r="C317" i="8" s="1"/>
  <c r="B307" i="67"/>
  <c r="C307" i="8" s="1"/>
  <c r="B304" i="67"/>
  <c r="B301" i="67"/>
  <c r="B298" i="67"/>
  <c r="C298" i="8" s="1"/>
  <c r="B288" i="67"/>
  <c r="C288" i="8" s="1"/>
  <c r="B285" i="67"/>
  <c r="C285" i="8" s="1"/>
  <c r="B281" i="67"/>
  <c r="C281" i="8"/>
  <c r="B278" i="67"/>
  <c r="C278" i="8" s="1"/>
  <c r="B264" i="67"/>
  <c r="C264" i="8" s="1"/>
  <c r="B253" i="67"/>
  <c r="C253" i="8" s="1"/>
  <c r="B248" i="67"/>
  <c r="B245" i="67"/>
  <c r="B241" i="67"/>
  <c r="C241" i="8" s="1"/>
  <c r="B238" i="67"/>
  <c r="B235" i="67"/>
  <c r="B231" i="67"/>
  <c r="C231" i="8" s="1"/>
  <c r="B228" i="67"/>
  <c r="B225" i="67"/>
  <c r="B221" i="67"/>
  <c r="C221" i="8" s="1"/>
  <c r="B218" i="67"/>
  <c r="B215" i="67"/>
  <c r="B212" i="67"/>
  <c r="B206" i="67"/>
  <c r="B201" i="67"/>
  <c r="C201" i="8" s="1"/>
  <c r="B197" i="67"/>
  <c r="C197" i="8" s="1"/>
  <c r="B192" i="67"/>
  <c r="C192" i="8"/>
  <c r="B188" i="67"/>
  <c r="C186" i="8" s="1"/>
  <c r="N186" i="8" s="1"/>
  <c r="B180" i="67"/>
  <c r="C180" i="8" s="1"/>
  <c r="B176" i="67"/>
  <c r="C176" i="8" s="1"/>
  <c r="B172" i="67"/>
  <c r="B169" i="67"/>
  <c r="B166" i="67"/>
  <c r="C166" i="8"/>
  <c r="B163" i="67"/>
  <c r="C163" i="8" s="1"/>
  <c r="B160" i="67"/>
  <c r="C160" i="8" s="1"/>
  <c r="B157" i="67"/>
  <c r="B153" i="67"/>
  <c r="C153" i="8" s="1"/>
  <c r="B150" i="67"/>
  <c r="B147" i="67"/>
  <c r="B143" i="67"/>
  <c r="B140" i="67"/>
  <c r="C140" i="8" s="1"/>
  <c r="B135" i="67"/>
  <c r="C135" i="8" s="1"/>
  <c r="B132" i="67"/>
  <c r="C132" i="8" s="1"/>
  <c r="B129" i="67"/>
  <c r="C129" i="8" s="1"/>
  <c r="B126" i="67"/>
  <c r="C126" i="8" s="1"/>
  <c r="B119" i="67"/>
  <c r="C119" i="8" s="1"/>
  <c r="B116" i="67"/>
  <c r="C116" i="8" s="1"/>
  <c r="B113" i="67"/>
  <c r="C113" i="8" s="1"/>
  <c r="B110" i="67"/>
  <c r="B107" i="67"/>
  <c r="B104" i="67"/>
  <c r="B100" i="67"/>
  <c r="C100" i="8" s="1"/>
  <c r="B97" i="67"/>
  <c r="C97" i="8" s="1"/>
  <c r="B94" i="67"/>
  <c r="C94" i="8" s="1"/>
  <c r="B91" i="67"/>
  <c r="B88" i="67"/>
  <c r="C88" i="8" s="1"/>
  <c r="B85" i="67"/>
  <c r="B80" i="67"/>
  <c r="C80" i="8" s="1"/>
  <c r="B77" i="67"/>
  <c r="C77" i="8"/>
  <c r="B74" i="67"/>
  <c r="C74" i="8" s="1"/>
  <c r="B71" i="67"/>
  <c r="C71" i="8" s="1"/>
  <c r="B68" i="67"/>
  <c r="C68" i="8" s="1"/>
  <c r="B65" i="67"/>
  <c r="B62" i="67"/>
  <c r="C62" i="8" s="1"/>
  <c r="B58" i="67"/>
  <c r="B55" i="67"/>
  <c r="B52" i="67"/>
  <c r="C52" i="8" s="1"/>
  <c r="B49" i="67"/>
  <c r="B43" i="67"/>
  <c r="C43" i="8" s="1"/>
  <c r="B40" i="67"/>
  <c r="C40" i="8" s="1"/>
  <c r="B37" i="67"/>
  <c r="B34" i="67"/>
  <c r="B30" i="67"/>
  <c r="B27" i="67"/>
  <c r="B24" i="67"/>
  <c r="B20" i="67"/>
  <c r="B17" i="67"/>
  <c r="C17" i="8" s="1"/>
  <c r="C245" i="8"/>
  <c r="C235" i="8"/>
  <c r="C215" i="8"/>
  <c r="C143" i="8"/>
  <c r="C104" i="8"/>
  <c r="B317" i="52"/>
  <c r="B317" i="8" s="1"/>
  <c r="B307" i="52"/>
  <c r="B307" i="8" s="1"/>
  <c r="B304" i="52"/>
  <c r="B301" i="52"/>
  <c r="B301" i="8" s="1"/>
  <c r="B298" i="52"/>
  <c r="B298" i="8" s="1"/>
  <c r="B288" i="52"/>
  <c r="B288" i="8" s="1"/>
  <c r="B285" i="52"/>
  <c r="B285" i="8" s="1"/>
  <c r="B281" i="52"/>
  <c r="B281" i="8" s="1"/>
  <c r="B278" i="52"/>
  <c r="B278" i="8" s="1"/>
  <c r="B264" i="52"/>
  <c r="B264" i="8" s="1"/>
  <c r="B253" i="52"/>
  <c r="B253" i="8" s="1"/>
  <c r="B248" i="52"/>
  <c r="B248" i="8" s="1"/>
  <c r="B245" i="52"/>
  <c r="B245" i="8" s="1"/>
  <c r="B241" i="52"/>
  <c r="B241" i="8" s="1"/>
  <c r="B238" i="52"/>
  <c r="B238" i="8" s="1"/>
  <c r="B235" i="52"/>
  <c r="B235" i="8" s="1"/>
  <c r="B231" i="52"/>
  <c r="B231" i="8" s="1"/>
  <c r="B228" i="52"/>
  <c r="B228" i="8" s="1"/>
  <c r="B225" i="52"/>
  <c r="B225" i="8" s="1"/>
  <c r="B221" i="52"/>
  <c r="B221" i="8"/>
  <c r="B218" i="52"/>
  <c r="B218" i="8" s="1"/>
  <c r="B215" i="52"/>
  <c r="B215" i="8" s="1"/>
  <c r="B212" i="52"/>
  <c r="B212" i="8" s="1"/>
  <c r="B206" i="52"/>
  <c r="B206" i="8" s="1"/>
  <c r="B201" i="52"/>
  <c r="B201" i="8" s="1"/>
  <c r="B197" i="52"/>
  <c r="B197" i="8" s="1"/>
  <c r="B192" i="52"/>
  <c r="B192" i="8" s="1"/>
  <c r="B188" i="52"/>
  <c r="B188" i="8" s="1"/>
  <c r="B180" i="52"/>
  <c r="B180" i="8" s="1"/>
  <c r="B176" i="52"/>
  <c r="B176" i="8" s="1"/>
  <c r="B172" i="52"/>
  <c r="B172" i="8" s="1"/>
  <c r="B169" i="52"/>
  <c r="B169" i="8" s="1"/>
  <c r="B166" i="52"/>
  <c r="B166" i="8" s="1"/>
  <c r="B163" i="52"/>
  <c r="B163" i="8" s="1"/>
  <c r="B160" i="52"/>
  <c r="B160" i="8" s="1"/>
  <c r="B157" i="52"/>
  <c r="B156" i="52" s="1"/>
  <c r="B156" i="8" s="1"/>
  <c r="B153" i="52"/>
  <c r="B153" i="8" s="1"/>
  <c r="B150" i="52"/>
  <c r="B150" i="8" s="1"/>
  <c r="B147" i="52"/>
  <c r="B147" i="8" s="1"/>
  <c r="B143" i="52"/>
  <c r="B143" i="8" s="1"/>
  <c r="B140" i="52"/>
  <c r="B135" i="52"/>
  <c r="B135" i="8" s="1"/>
  <c r="B132" i="52"/>
  <c r="B132" i="8" s="1"/>
  <c r="B129" i="52"/>
  <c r="B129" i="8" s="1"/>
  <c r="B126" i="52"/>
  <c r="B126" i="8" s="1"/>
  <c r="B119" i="52"/>
  <c r="B119" i="8" s="1"/>
  <c r="B116" i="52"/>
  <c r="B116" i="8" s="1"/>
  <c r="N116" i="8" s="1"/>
  <c r="B113" i="52"/>
  <c r="B113" i="8" s="1"/>
  <c r="B110" i="52"/>
  <c r="B110" i="8" s="1"/>
  <c r="B107" i="52"/>
  <c r="B107" i="8" s="1"/>
  <c r="B104" i="52"/>
  <c r="B104" i="8"/>
  <c r="B100" i="52"/>
  <c r="B100" i="8" s="1"/>
  <c r="B97" i="52"/>
  <c r="B97" i="8" s="1"/>
  <c r="B94" i="52"/>
  <c r="B94" i="8" s="1"/>
  <c r="B91" i="52"/>
  <c r="B91" i="8" s="1"/>
  <c r="B88" i="52"/>
  <c r="B88" i="8" s="1"/>
  <c r="B85" i="52"/>
  <c r="B85" i="8" s="1"/>
  <c r="B80" i="52"/>
  <c r="B80" i="8" s="1"/>
  <c r="B77" i="52"/>
  <c r="B77" i="8" s="1"/>
  <c r="B74" i="52"/>
  <c r="B74" i="8" s="1"/>
  <c r="B71" i="52"/>
  <c r="B71" i="8" s="1"/>
  <c r="B68" i="52"/>
  <c r="B68" i="8" s="1"/>
  <c r="B65" i="52"/>
  <c r="B65" i="8" s="1"/>
  <c r="B62" i="52"/>
  <c r="B62" i="8" s="1"/>
  <c r="B58" i="52"/>
  <c r="B58" i="8" s="1"/>
  <c r="B55" i="52"/>
  <c r="B55" i="8" s="1"/>
  <c r="B52" i="52"/>
  <c r="B52" i="8" s="1"/>
  <c r="B49" i="52"/>
  <c r="B49" i="8" s="1"/>
  <c r="B43" i="52"/>
  <c r="B43" i="8" s="1"/>
  <c r="B40" i="52"/>
  <c r="B40" i="8" s="1"/>
  <c r="B37" i="52"/>
  <c r="B37" i="8" s="1"/>
  <c r="B34" i="52"/>
  <c r="B34" i="8" s="1"/>
  <c r="N34" i="8" s="1"/>
  <c r="B30" i="52"/>
  <c r="B30" i="8" s="1"/>
  <c r="B27" i="52"/>
  <c r="B27" i="8" s="1"/>
  <c r="B24" i="52"/>
  <c r="B24" i="8" s="1"/>
  <c r="B20" i="52"/>
  <c r="B20" i="8" s="1"/>
  <c r="B17" i="52"/>
  <c r="B17" i="8" s="1"/>
  <c r="B317" i="78"/>
  <c r="S317" i="8" s="1"/>
  <c r="B288" i="78"/>
  <c r="S288" i="8"/>
  <c r="B285" i="78"/>
  <c r="S285" i="8" s="1"/>
  <c r="B281" i="78"/>
  <c r="S281" i="8" s="1"/>
  <c r="B278" i="78"/>
  <c r="S278" i="8" s="1"/>
  <c r="B253" i="78"/>
  <c r="S253" i="8" s="1"/>
  <c r="B176" i="78"/>
  <c r="S176" i="8" s="1"/>
  <c r="B43" i="78"/>
  <c r="S43" i="8" s="1"/>
  <c r="B307" i="78"/>
  <c r="S307" i="8" s="1"/>
  <c r="B304" i="78"/>
  <c r="S304" i="8" s="1"/>
  <c r="B301" i="78"/>
  <c r="S301" i="8"/>
  <c r="B298" i="78"/>
  <c r="S298" i="8" s="1"/>
  <c r="B264" i="78"/>
  <c r="S264" i="8" s="1"/>
  <c r="B248" i="78"/>
  <c r="S248" i="8"/>
  <c r="B245" i="78"/>
  <c r="S245" i="8" s="1"/>
  <c r="B241" i="78"/>
  <c r="S241" i="8" s="1"/>
  <c r="B238" i="78"/>
  <c r="S238" i="8" s="1"/>
  <c r="B235" i="78"/>
  <c r="S235" i="8" s="1"/>
  <c r="B231" i="78"/>
  <c r="S231" i="8" s="1"/>
  <c r="B228" i="78"/>
  <c r="S228" i="8" s="1"/>
  <c r="B225" i="78"/>
  <c r="S225" i="8" s="1"/>
  <c r="B221" i="78"/>
  <c r="S221" i="8"/>
  <c r="B218" i="78"/>
  <c r="S218" i="8" s="1"/>
  <c r="B215" i="78"/>
  <c r="S215" i="8" s="1"/>
  <c r="B212" i="78"/>
  <c r="S212" i="8" s="1"/>
  <c r="B206" i="78"/>
  <c r="S206" i="8" s="1"/>
  <c r="B201" i="78"/>
  <c r="S201" i="8" s="1"/>
  <c r="B197" i="78"/>
  <c r="S197" i="8" s="1"/>
  <c r="B192" i="78"/>
  <c r="S192" i="8" s="1"/>
  <c r="B188" i="78"/>
  <c r="S188" i="8" s="1"/>
  <c r="B180" i="78"/>
  <c r="S180" i="8" s="1"/>
  <c r="B172" i="78"/>
  <c r="S172" i="8" s="1"/>
  <c r="B169" i="78"/>
  <c r="S169" i="8" s="1"/>
  <c r="B166" i="78"/>
  <c r="S166" i="8" s="1"/>
  <c r="B163" i="78"/>
  <c r="S163" i="8" s="1"/>
  <c r="B160" i="78"/>
  <c r="S160" i="8" s="1"/>
  <c r="B157" i="78"/>
  <c r="S157" i="8" s="1"/>
  <c r="B153" i="78"/>
  <c r="S153" i="8" s="1"/>
  <c r="B150" i="78"/>
  <c r="S150" i="8"/>
  <c r="B147" i="78"/>
  <c r="S147" i="8" s="1"/>
  <c r="B143" i="78"/>
  <c r="S143" i="8" s="1"/>
  <c r="B140" i="78"/>
  <c r="S140" i="8" s="1"/>
  <c r="B135" i="78"/>
  <c r="S135" i="8" s="1"/>
  <c r="B132" i="78"/>
  <c r="S132" i="8" s="1"/>
  <c r="B129" i="78"/>
  <c r="S129" i="8" s="1"/>
  <c r="B126" i="78"/>
  <c r="S126" i="8" s="1"/>
  <c r="B116" i="78"/>
  <c r="S116" i="8"/>
  <c r="B113" i="78"/>
  <c r="S113" i="8" s="1"/>
  <c r="B110" i="78"/>
  <c r="S110" i="8" s="1"/>
  <c r="B107" i="78"/>
  <c r="S107" i="8" s="1"/>
  <c r="B104" i="78"/>
  <c r="S104" i="8" s="1"/>
  <c r="B100" i="78"/>
  <c r="S100" i="8" s="1"/>
  <c r="B97" i="78"/>
  <c r="S97" i="8" s="1"/>
  <c r="B94" i="78"/>
  <c r="S94" i="8" s="1"/>
  <c r="B91" i="78"/>
  <c r="S91" i="8"/>
  <c r="B88" i="78"/>
  <c r="S88" i="8" s="1"/>
  <c r="B85" i="78"/>
  <c r="B80" i="78"/>
  <c r="S80" i="8" s="1"/>
  <c r="B77" i="78"/>
  <c r="S77" i="8" s="1"/>
  <c r="B74" i="78"/>
  <c r="S74" i="8"/>
  <c r="B71" i="78"/>
  <c r="S71" i="8" s="1"/>
  <c r="B68" i="78"/>
  <c r="S68" i="8" s="1"/>
  <c r="B65" i="78"/>
  <c r="S65" i="8" s="1"/>
  <c r="B62" i="78"/>
  <c r="S62" i="8" s="1"/>
  <c r="B58" i="78"/>
  <c r="S58" i="8"/>
  <c r="B55" i="78"/>
  <c r="S55" i="8" s="1"/>
  <c r="B52" i="78"/>
  <c r="S52" i="8" s="1"/>
  <c r="B49" i="78"/>
  <c r="B40" i="78"/>
  <c r="S40" i="8" s="1"/>
  <c r="B37" i="78"/>
  <c r="B34" i="78"/>
  <c r="S34" i="8" s="1"/>
  <c r="B30" i="78"/>
  <c r="S30" i="8" s="1"/>
  <c r="B27" i="78"/>
  <c r="S27" i="8"/>
  <c r="B24" i="78"/>
  <c r="S24" i="8" s="1"/>
  <c r="B20" i="78"/>
  <c r="S20" i="8" s="1"/>
  <c r="B17" i="78"/>
  <c r="M314" i="8"/>
  <c r="M282" i="8"/>
  <c r="M268" i="8"/>
  <c r="M233" i="8"/>
  <c r="M196" i="8"/>
  <c r="M171" i="8"/>
  <c r="M159" i="8"/>
  <c r="M149" i="8"/>
  <c r="M100" i="8"/>
  <c r="M81" i="8"/>
  <c r="M58" i="8"/>
  <c r="L223" i="8"/>
  <c r="L191" i="8"/>
  <c r="L107" i="8"/>
  <c r="L65" i="8"/>
  <c r="L55" i="8"/>
  <c r="K205" i="8"/>
  <c r="K135" i="8"/>
  <c r="K94" i="8"/>
  <c r="K74" i="8"/>
  <c r="K52" i="8"/>
  <c r="J233" i="8"/>
  <c r="J132" i="8"/>
  <c r="J49" i="8"/>
  <c r="J40" i="8"/>
  <c r="I282" i="8"/>
  <c r="I268" i="8"/>
  <c r="I244" i="8"/>
  <c r="I149" i="8"/>
  <c r="I135" i="8"/>
  <c r="H314" i="8"/>
  <c r="H279" i="8"/>
  <c r="H191" i="8"/>
  <c r="H126" i="8"/>
  <c r="H107" i="8"/>
  <c r="H65" i="8"/>
  <c r="H44" i="8"/>
  <c r="G252" i="8"/>
  <c r="G233" i="8"/>
  <c r="G227" i="8"/>
  <c r="G205" i="8"/>
  <c r="G185" i="8"/>
  <c r="G152" i="8"/>
  <c r="G135" i="8"/>
  <c r="G94" i="8"/>
  <c r="F289" i="8"/>
  <c r="F271" i="8"/>
  <c r="F247" i="8"/>
  <c r="F233" i="8"/>
  <c r="F214" i="8"/>
  <c r="F162" i="8"/>
  <c r="F113" i="8"/>
  <c r="F91" i="8"/>
  <c r="F30" i="8"/>
  <c r="E314" i="8"/>
  <c r="E282" i="8"/>
  <c r="E268" i="8"/>
  <c r="E244" i="8"/>
  <c r="E233" i="8"/>
  <c r="E223" i="8"/>
  <c r="E210" i="8"/>
  <c r="E171" i="8"/>
  <c r="E159" i="8"/>
  <c r="E149" i="8"/>
  <c r="D191" i="8"/>
  <c r="D152" i="8"/>
  <c r="D107" i="8"/>
  <c r="C233" i="8"/>
  <c r="C227" i="8"/>
  <c r="C165" i="8"/>
  <c r="C316" i="8"/>
  <c r="D316" i="8"/>
  <c r="E316" i="8"/>
  <c r="F316" i="8"/>
  <c r="G316" i="8"/>
  <c r="H316" i="8"/>
  <c r="I316" i="8"/>
  <c r="J316" i="8"/>
  <c r="K316" i="8"/>
  <c r="L316" i="8"/>
  <c r="M316" i="8"/>
  <c r="F317" i="8"/>
  <c r="G317" i="8"/>
  <c r="J317" i="8"/>
  <c r="K317" i="8"/>
  <c r="L317" i="8"/>
  <c r="M313" i="8"/>
  <c r="L313" i="8"/>
  <c r="K313" i="8"/>
  <c r="J313" i="8"/>
  <c r="I313" i="8"/>
  <c r="H313" i="8"/>
  <c r="G313" i="8"/>
  <c r="F313" i="8"/>
  <c r="E313" i="8"/>
  <c r="D313" i="8"/>
  <c r="C313" i="8"/>
  <c r="C301" i="8"/>
  <c r="D301" i="8"/>
  <c r="G301" i="8"/>
  <c r="H301" i="8"/>
  <c r="I301" i="8"/>
  <c r="J301" i="8"/>
  <c r="K301" i="8"/>
  <c r="L301" i="8"/>
  <c r="C302" i="8"/>
  <c r="D302" i="8"/>
  <c r="E302" i="8"/>
  <c r="F302" i="8"/>
  <c r="G302" i="8"/>
  <c r="H302" i="8"/>
  <c r="I302" i="8"/>
  <c r="J302" i="8"/>
  <c r="K302" i="8"/>
  <c r="L302" i="8"/>
  <c r="M302" i="8"/>
  <c r="C303" i="8"/>
  <c r="D303" i="8"/>
  <c r="E303" i="8"/>
  <c r="F303" i="8"/>
  <c r="G303" i="8"/>
  <c r="H303" i="8"/>
  <c r="I303" i="8"/>
  <c r="J303" i="8"/>
  <c r="K303" i="8"/>
  <c r="L303" i="8"/>
  <c r="M303" i="8"/>
  <c r="D304" i="8"/>
  <c r="F304" i="8"/>
  <c r="G304" i="8"/>
  <c r="I304" i="8"/>
  <c r="J304" i="8"/>
  <c r="L304" i="8"/>
  <c r="M304" i="8"/>
  <c r="C305" i="8"/>
  <c r="D305" i="8"/>
  <c r="E305" i="8"/>
  <c r="F305" i="8"/>
  <c r="G305" i="8"/>
  <c r="H305" i="8"/>
  <c r="I305" i="8"/>
  <c r="J305" i="8"/>
  <c r="K305" i="8"/>
  <c r="L305" i="8"/>
  <c r="M305" i="8"/>
  <c r="C306" i="8"/>
  <c r="D306" i="8"/>
  <c r="E306" i="8"/>
  <c r="F306" i="8"/>
  <c r="G306" i="8"/>
  <c r="H306" i="8"/>
  <c r="I306" i="8"/>
  <c r="J306" i="8"/>
  <c r="K306" i="8"/>
  <c r="L306" i="8"/>
  <c r="M306" i="8"/>
  <c r="M299" i="8"/>
  <c r="L299" i="8"/>
  <c r="K299" i="8"/>
  <c r="J299" i="8"/>
  <c r="I299" i="8"/>
  <c r="H299" i="8"/>
  <c r="G299" i="8"/>
  <c r="F299" i="8"/>
  <c r="E299" i="8"/>
  <c r="D299" i="8"/>
  <c r="C299" i="8"/>
  <c r="D288" i="8"/>
  <c r="G288" i="8"/>
  <c r="I288" i="8"/>
  <c r="K288" i="8"/>
  <c r="L288" i="8"/>
  <c r="M288" i="8"/>
  <c r="C290" i="8"/>
  <c r="D290" i="8"/>
  <c r="E290" i="8"/>
  <c r="F290" i="8"/>
  <c r="G290" i="8"/>
  <c r="H290" i="8"/>
  <c r="I290" i="8"/>
  <c r="J290" i="8"/>
  <c r="K290" i="8"/>
  <c r="L290" i="8"/>
  <c r="M290" i="8"/>
  <c r="C296" i="8"/>
  <c r="D296" i="8"/>
  <c r="E296" i="8"/>
  <c r="F296" i="8"/>
  <c r="G296" i="8"/>
  <c r="H296" i="8"/>
  <c r="I296" i="8"/>
  <c r="J296" i="8"/>
  <c r="K296" i="8"/>
  <c r="L296" i="8"/>
  <c r="M296" i="8"/>
  <c r="M287" i="8"/>
  <c r="L287" i="8"/>
  <c r="K287" i="8"/>
  <c r="J287" i="8"/>
  <c r="I287" i="8"/>
  <c r="H287" i="8"/>
  <c r="G287" i="8"/>
  <c r="F287" i="8"/>
  <c r="E287" i="8"/>
  <c r="D287" i="8"/>
  <c r="C287" i="8"/>
  <c r="C266" i="8"/>
  <c r="D266" i="8"/>
  <c r="E266" i="8"/>
  <c r="F266" i="8"/>
  <c r="G266" i="8"/>
  <c r="H266" i="8"/>
  <c r="I266" i="8"/>
  <c r="J266" i="8"/>
  <c r="K266" i="8"/>
  <c r="L266" i="8"/>
  <c r="M266" i="8"/>
  <c r="C267" i="8"/>
  <c r="D267" i="8"/>
  <c r="E267" i="8"/>
  <c r="F267" i="8"/>
  <c r="G267" i="8"/>
  <c r="H267" i="8"/>
  <c r="I267" i="8"/>
  <c r="J267" i="8"/>
  <c r="K267" i="8"/>
  <c r="L267" i="8"/>
  <c r="M267" i="8"/>
  <c r="C269" i="8"/>
  <c r="D269" i="8"/>
  <c r="E269" i="8"/>
  <c r="F269" i="8"/>
  <c r="G269" i="8"/>
  <c r="H269" i="8"/>
  <c r="I269" i="8"/>
  <c r="J269" i="8"/>
  <c r="K269" i="8"/>
  <c r="L269" i="8"/>
  <c r="M269" i="8"/>
  <c r="C272" i="8"/>
  <c r="D272" i="8"/>
  <c r="E272" i="8"/>
  <c r="F272" i="8"/>
  <c r="G272" i="8"/>
  <c r="H272" i="8"/>
  <c r="I272" i="8"/>
  <c r="J272" i="8"/>
  <c r="K272" i="8"/>
  <c r="L272" i="8"/>
  <c r="M272" i="8"/>
  <c r="C273" i="8"/>
  <c r="D273" i="8"/>
  <c r="E273" i="8"/>
  <c r="F273" i="8"/>
  <c r="G273" i="8"/>
  <c r="H273" i="8"/>
  <c r="I273" i="8"/>
  <c r="J273" i="8"/>
  <c r="K273" i="8"/>
  <c r="L273" i="8"/>
  <c r="M273" i="8"/>
  <c r="C274" i="8"/>
  <c r="D274" i="8"/>
  <c r="E274" i="8"/>
  <c r="F274" i="8"/>
  <c r="G274" i="8"/>
  <c r="H274" i="8"/>
  <c r="I274" i="8"/>
  <c r="J274" i="8"/>
  <c r="K274" i="8"/>
  <c r="L274" i="8"/>
  <c r="M274" i="8"/>
  <c r="C275" i="8"/>
  <c r="D275" i="8"/>
  <c r="E275" i="8"/>
  <c r="F275" i="8"/>
  <c r="G275" i="8"/>
  <c r="H275" i="8"/>
  <c r="I275" i="8"/>
  <c r="J275" i="8"/>
  <c r="K275" i="8"/>
  <c r="L275" i="8"/>
  <c r="M275" i="8"/>
  <c r="F278" i="8"/>
  <c r="G278" i="8"/>
  <c r="H278" i="8"/>
  <c r="I278" i="8"/>
  <c r="J278" i="8"/>
  <c r="K278" i="8"/>
  <c r="M278" i="8"/>
  <c r="C280" i="8"/>
  <c r="D280" i="8"/>
  <c r="E280" i="8"/>
  <c r="F280" i="8"/>
  <c r="G280" i="8"/>
  <c r="H280" i="8"/>
  <c r="I280" i="8"/>
  <c r="J280" i="8"/>
  <c r="K280" i="8"/>
  <c r="L280" i="8"/>
  <c r="M280" i="8"/>
  <c r="H281" i="8"/>
  <c r="L281" i="8"/>
  <c r="C283" i="8"/>
  <c r="D283" i="8"/>
  <c r="E283" i="8"/>
  <c r="F283" i="8"/>
  <c r="G283" i="8"/>
  <c r="H283" i="8"/>
  <c r="I283" i="8"/>
  <c r="J283" i="8"/>
  <c r="K283" i="8"/>
  <c r="L283" i="8"/>
  <c r="M283" i="8"/>
  <c r="C261" i="8"/>
  <c r="D261" i="8"/>
  <c r="E261" i="8"/>
  <c r="F261" i="8"/>
  <c r="G261" i="8"/>
  <c r="H261" i="8"/>
  <c r="I261" i="8"/>
  <c r="J261" i="8"/>
  <c r="K261" i="8"/>
  <c r="L261" i="8"/>
  <c r="M261" i="8"/>
  <c r="C262" i="8"/>
  <c r="D262" i="8"/>
  <c r="E262" i="8"/>
  <c r="F262" i="8"/>
  <c r="G262" i="8"/>
  <c r="H262" i="8"/>
  <c r="I262" i="8"/>
  <c r="J262" i="8"/>
  <c r="K262" i="8"/>
  <c r="L262" i="8"/>
  <c r="M262" i="8"/>
  <c r="M260" i="8"/>
  <c r="L260" i="8"/>
  <c r="K260" i="8"/>
  <c r="J260" i="8"/>
  <c r="I260" i="8"/>
  <c r="H260" i="8"/>
  <c r="G260" i="8"/>
  <c r="F260" i="8"/>
  <c r="E260" i="8"/>
  <c r="D260" i="8"/>
  <c r="C260" i="8"/>
  <c r="E253" i="8"/>
  <c r="F253" i="8"/>
  <c r="G253" i="8"/>
  <c r="H253" i="8"/>
  <c r="I253" i="8"/>
  <c r="J253" i="8"/>
  <c r="K253" i="8"/>
  <c r="L253" i="8"/>
  <c r="M253" i="8"/>
  <c r="C254" i="8"/>
  <c r="D254" i="8"/>
  <c r="E254" i="8"/>
  <c r="F254" i="8"/>
  <c r="G254" i="8"/>
  <c r="H254" i="8"/>
  <c r="I254" i="8"/>
  <c r="J254" i="8"/>
  <c r="K254" i="8"/>
  <c r="L254" i="8"/>
  <c r="M254" i="8"/>
  <c r="C255" i="8"/>
  <c r="D255" i="8"/>
  <c r="E255" i="8"/>
  <c r="F255" i="8"/>
  <c r="G255" i="8"/>
  <c r="H255" i="8"/>
  <c r="I255" i="8"/>
  <c r="J255" i="8"/>
  <c r="K255" i="8"/>
  <c r="L255" i="8"/>
  <c r="M255" i="8"/>
  <c r="C256" i="8"/>
  <c r="D256" i="8"/>
  <c r="E256" i="8"/>
  <c r="F256" i="8"/>
  <c r="G256" i="8"/>
  <c r="H256" i="8"/>
  <c r="I256" i="8"/>
  <c r="J256" i="8"/>
  <c r="K256" i="8"/>
  <c r="L256" i="8"/>
  <c r="M256" i="8"/>
  <c r="C257" i="8"/>
  <c r="D257" i="8"/>
  <c r="E257" i="8"/>
  <c r="F257" i="8"/>
  <c r="G257" i="8"/>
  <c r="H257" i="8"/>
  <c r="I257" i="8"/>
  <c r="J257" i="8"/>
  <c r="K257" i="8"/>
  <c r="L257" i="8"/>
  <c r="M257" i="8"/>
  <c r="C258" i="8"/>
  <c r="D258" i="8"/>
  <c r="E258" i="8"/>
  <c r="F258" i="8"/>
  <c r="G258" i="8"/>
  <c r="H258" i="8"/>
  <c r="I258" i="8"/>
  <c r="J258" i="8"/>
  <c r="K258" i="8"/>
  <c r="L258" i="8"/>
  <c r="M258" i="8"/>
  <c r="C18" i="8"/>
  <c r="D18" i="8"/>
  <c r="E18" i="8"/>
  <c r="F18" i="8"/>
  <c r="G18" i="8"/>
  <c r="H18" i="8"/>
  <c r="I18" i="8"/>
  <c r="J18" i="8"/>
  <c r="K18" i="8"/>
  <c r="L18" i="8"/>
  <c r="M18" i="8"/>
  <c r="C19" i="8"/>
  <c r="D19" i="8"/>
  <c r="E19" i="8"/>
  <c r="F19" i="8"/>
  <c r="G19" i="8"/>
  <c r="H19" i="8"/>
  <c r="I19" i="8"/>
  <c r="J19" i="8"/>
  <c r="K19" i="8"/>
  <c r="L19" i="8"/>
  <c r="M19" i="8"/>
  <c r="C21" i="8"/>
  <c r="D21" i="8"/>
  <c r="E21" i="8"/>
  <c r="F21" i="8"/>
  <c r="G21" i="8"/>
  <c r="H21" i="8"/>
  <c r="I21" i="8"/>
  <c r="J21" i="8"/>
  <c r="K21" i="8"/>
  <c r="L21" i="8"/>
  <c r="M21" i="8"/>
  <c r="C22" i="8"/>
  <c r="D22" i="8"/>
  <c r="E22" i="8"/>
  <c r="F22" i="8"/>
  <c r="G22" i="8"/>
  <c r="H22" i="8"/>
  <c r="I22" i="8"/>
  <c r="J22" i="8"/>
  <c r="K22" i="8"/>
  <c r="L22" i="8"/>
  <c r="M22" i="8"/>
  <c r="C25" i="8"/>
  <c r="D25" i="8"/>
  <c r="E25" i="8"/>
  <c r="F25" i="8"/>
  <c r="G25" i="8"/>
  <c r="H25" i="8"/>
  <c r="I25" i="8"/>
  <c r="J25" i="8"/>
  <c r="K25" i="8"/>
  <c r="L25" i="8"/>
  <c r="M25" i="8"/>
  <c r="C26" i="8"/>
  <c r="D26" i="8"/>
  <c r="E26" i="8"/>
  <c r="F26" i="8"/>
  <c r="G26" i="8"/>
  <c r="H26" i="8"/>
  <c r="I26" i="8"/>
  <c r="J26" i="8"/>
  <c r="K26" i="8"/>
  <c r="L26" i="8"/>
  <c r="M26" i="8"/>
  <c r="C28" i="8"/>
  <c r="D28" i="8"/>
  <c r="E28" i="8"/>
  <c r="F28" i="8"/>
  <c r="G28" i="8"/>
  <c r="H28" i="8"/>
  <c r="I28" i="8"/>
  <c r="J28" i="8"/>
  <c r="K28" i="8"/>
  <c r="L28" i="8"/>
  <c r="M28" i="8"/>
  <c r="C29" i="8"/>
  <c r="D29" i="8"/>
  <c r="E29" i="8"/>
  <c r="F29" i="8"/>
  <c r="G29" i="8"/>
  <c r="H29" i="8"/>
  <c r="I29" i="8"/>
  <c r="J29" i="8"/>
  <c r="K29" i="8"/>
  <c r="L29" i="8"/>
  <c r="M29" i="8"/>
  <c r="C31" i="8"/>
  <c r="D31" i="8"/>
  <c r="E31" i="8"/>
  <c r="F31" i="8"/>
  <c r="G31" i="8"/>
  <c r="H31" i="8"/>
  <c r="I31" i="8"/>
  <c r="J31" i="8"/>
  <c r="K31" i="8"/>
  <c r="L31" i="8"/>
  <c r="M31" i="8"/>
  <c r="C32" i="8"/>
  <c r="D32" i="8"/>
  <c r="E32" i="8"/>
  <c r="F32" i="8"/>
  <c r="G32" i="8"/>
  <c r="H32" i="8"/>
  <c r="I32" i="8"/>
  <c r="J32" i="8"/>
  <c r="K32" i="8"/>
  <c r="L32" i="8"/>
  <c r="M32" i="8"/>
  <c r="C35" i="8"/>
  <c r="D35" i="8"/>
  <c r="E35" i="8"/>
  <c r="F35" i="8"/>
  <c r="G35" i="8"/>
  <c r="H35" i="8"/>
  <c r="I35" i="8"/>
  <c r="J35" i="8"/>
  <c r="K35" i="8"/>
  <c r="L35" i="8"/>
  <c r="M35" i="8"/>
  <c r="C36" i="8"/>
  <c r="D36" i="8"/>
  <c r="E36" i="8"/>
  <c r="F36" i="8"/>
  <c r="G36" i="8"/>
  <c r="H36" i="8"/>
  <c r="I36" i="8"/>
  <c r="J36" i="8"/>
  <c r="K36" i="8"/>
  <c r="L36" i="8"/>
  <c r="M36" i="8"/>
  <c r="C38" i="8"/>
  <c r="D38" i="8"/>
  <c r="E38" i="8"/>
  <c r="F38" i="8"/>
  <c r="G38" i="8"/>
  <c r="H38" i="8"/>
  <c r="I38" i="8"/>
  <c r="J38" i="8"/>
  <c r="K38" i="8"/>
  <c r="L38" i="8"/>
  <c r="M38" i="8"/>
  <c r="C39" i="8"/>
  <c r="D39" i="8"/>
  <c r="E39" i="8"/>
  <c r="F39" i="8"/>
  <c r="G39" i="8"/>
  <c r="H39" i="8"/>
  <c r="I39" i="8"/>
  <c r="J39" i="8"/>
  <c r="K39" i="8"/>
  <c r="L39" i="8"/>
  <c r="M39" i="8"/>
  <c r="C41" i="8"/>
  <c r="D41" i="8"/>
  <c r="E41" i="8"/>
  <c r="F41" i="8"/>
  <c r="G41" i="8"/>
  <c r="H41" i="8"/>
  <c r="I41" i="8"/>
  <c r="J41" i="8"/>
  <c r="K41" i="8"/>
  <c r="L41" i="8"/>
  <c r="M41" i="8"/>
  <c r="C42" i="8"/>
  <c r="D42" i="8"/>
  <c r="E42" i="8"/>
  <c r="F42" i="8"/>
  <c r="G42" i="8"/>
  <c r="H42" i="8"/>
  <c r="I42" i="8"/>
  <c r="J42" i="8"/>
  <c r="K42" i="8"/>
  <c r="L42" i="8"/>
  <c r="M42" i="8"/>
  <c r="D43" i="8"/>
  <c r="E43" i="8"/>
  <c r="F43" i="8"/>
  <c r="G43" i="8"/>
  <c r="H43" i="8"/>
  <c r="I43" i="8"/>
  <c r="J43" i="8"/>
  <c r="K43" i="8"/>
  <c r="M43" i="8"/>
  <c r="C50" i="8"/>
  <c r="D50" i="8"/>
  <c r="E50" i="8"/>
  <c r="F50" i="8"/>
  <c r="G50" i="8"/>
  <c r="H50" i="8"/>
  <c r="I50" i="8"/>
  <c r="J50" i="8"/>
  <c r="K50" i="8"/>
  <c r="L50" i="8"/>
  <c r="M50" i="8"/>
  <c r="C51" i="8"/>
  <c r="D51" i="8"/>
  <c r="E51" i="8"/>
  <c r="F51" i="8"/>
  <c r="G51" i="8"/>
  <c r="H51" i="8"/>
  <c r="I51" i="8"/>
  <c r="J51" i="8"/>
  <c r="K51" i="8"/>
  <c r="L51" i="8"/>
  <c r="M51" i="8"/>
  <c r="C53" i="8"/>
  <c r="D53" i="8"/>
  <c r="E53" i="8"/>
  <c r="F53" i="8"/>
  <c r="G53" i="8"/>
  <c r="H53" i="8"/>
  <c r="I53" i="8"/>
  <c r="J53" i="8"/>
  <c r="K53" i="8"/>
  <c r="L53" i="8"/>
  <c r="M53" i="8"/>
  <c r="C54" i="8"/>
  <c r="D54" i="8"/>
  <c r="E54" i="8"/>
  <c r="F54" i="8"/>
  <c r="G54" i="8"/>
  <c r="H54" i="8"/>
  <c r="I54" i="8"/>
  <c r="J54" i="8"/>
  <c r="K54" i="8"/>
  <c r="L54" i="8"/>
  <c r="M54" i="8"/>
  <c r="C56" i="8"/>
  <c r="D56" i="8"/>
  <c r="E56" i="8"/>
  <c r="F56" i="8"/>
  <c r="G56" i="8"/>
  <c r="H56" i="8"/>
  <c r="I56" i="8"/>
  <c r="J56" i="8"/>
  <c r="K56" i="8"/>
  <c r="L56" i="8"/>
  <c r="M56" i="8"/>
  <c r="C57" i="8"/>
  <c r="D57" i="8"/>
  <c r="E57" i="8"/>
  <c r="F57" i="8"/>
  <c r="G57" i="8"/>
  <c r="H57" i="8"/>
  <c r="I57" i="8"/>
  <c r="J57" i="8"/>
  <c r="K57" i="8"/>
  <c r="L57" i="8"/>
  <c r="M57" i="8"/>
  <c r="C60" i="8"/>
  <c r="D60" i="8"/>
  <c r="E60" i="8"/>
  <c r="F60" i="8"/>
  <c r="G60" i="8"/>
  <c r="H60" i="8"/>
  <c r="I60" i="8"/>
  <c r="J60" i="8"/>
  <c r="K60" i="8"/>
  <c r="L60" i="8"/>
  <c r="M60" i="8"/>
  <c r="C63" i="8"/>
  <c r="D63" i="8"/>
  <c r="E63" i="8"/>
  <c r="F63" i="8"/>
  <c r="G63" i="8"/>
  <c r="H63" i="8"/>
  <c r="I63" i="8"/>
  <c r="J63" i="8"/>
  <c r="K63" i="8"/>
  <c r="L63" i="8"/>
  <c r="M63" i="8"/>
  <c r="C64" i="8"/>
  <c r="D64" i="8"/>
  <c r="E64" i="8"/>
  <c r="F64" i="8"/>
  <c r="G64" i="8"/>
  <c r="H64" i="8"/>
  <c r="I64" i="8"/>
  <c r="J64" i="8"/>
  <c r="K64" i="8"/>
  <c r="L64" i="8"/>
  <c r="M64" i="8"/>
  <c r="C66" i="8"/>
  <c r="D66" i="8"/>
  <c r="E66" i="8"/>
  <c r="F66" i="8"/>
  <c r="G66" i="8"/>
  <c r="H66" i="8"/>
  <c r="I66" i="8"/>
  <c r="J66" i="8"/>
  <c r="K66" i="8"/>
  <c r="L66" i="8"/>
  <c r="M66" i="8"/>
  <c r="C67" i="8"/>
  <c r="D67" i="8"/>
  <c r="E67" i="8"/>
  <c r="F67" i="8"/>
  <c r="G67" i="8"/>
  <c r="H67" i="8"/>
  <c r="I67" i="8"/>
  <c r="J67" i="8"/>
  <c r="K67" i="8"/>
  <c r="L67" i="8"/>
  <c r="M67" i="8"/>
  <c r="C69" i="8"/>
  <c r="D69" i="8"/>
  <c r="E69" i="8"/>
  <c r="F69" i="8"/>
  <c r="G69" i="8"/>
  <c r="H69" i="8"/>
  <c r="I69" i="8"/>
  <c r="J69" i="8"/>
  <c r="K69" i="8"/>
  <c r="L69" i="8"/>
  <c r="M69" i="8"/>
  <c r="C70" i="8"/>
  <c r="D70" i="8"/>
  <c r="E70" i="8"/>
  <c r="F70" i="8"/>
  <c r="G70" i="8"/>
  <c r="H70" i="8"/>
  <c r="I70" i="8"/>
  <c r="J70" i="8"/>
  <c r="K70" i="8"/>
  <c r="L70" i="8"/>
  <c r="M70" i="8"/>
  <c r="C72" i="8"/>
  <c r="D72" i="8"/>
  <c r="E72" i="8"/>
  <c r="F72" i="8"/>
  <c r="G72" i="8"/>
  <c r="H72" i="8"/>
  <c r="I72" i="8"/>
  <c r="J72" i="8"/>
  <c r="K72" i="8"/>
  <c r="L72" i="8"/>
  <c r="M72" i="8"/>
  <c r="C73" i="8"/>
  <c r="D73" i="8"/>
  <c r="E73" i="8"/>
  <c r="F73" i="8"/>
  <c r="G73" i="8"/>
  <c r="H73" i="8"/>
  <c r="I73" i="8"/>
  <c r="J73" i="8"/>
  <c r="K73" i="8"/>
  <c r="L73" i="8"/>
  <c r="M73" i="8"/>
  <c r="C75" i="8"/>
  <c r="D75" i="8"/>
  <c r="E75" i="8"/>
  <c r="F75" i="8"/>
  <c r="G75" i="8"/>
  <c r="H75" i="8"/>
  <c r="I75" i="8"/>
  <c r="J75" i="8"/>
  <c r="K75" i="8"/>
  <c r="L75" i="8"/>
  <c r="M75" i="8"/>
  <c r="C76" i="8"/>
  <c r="D76" i="8"/>
  <c r="E76" i="8"/>
  <c r="F76" i="8"/>
  <c r="G76" i="8"/>
  <c r="H76" i="8"/>
  <c r="I76" i="8"/>
  <c r="J76" i="8"/>
  <c r="K76" i="8"/>
  <c r="L76" i="8"/>
  <c r="M76" i="8"/>
  <c r="C78" i="8"/>
  <c r="D78" i="8"/>
  <c r="E78" i="8"/>
  <c r="F78" i="8"/>
  <c r="G78" i="8"/>
  <c r="H78" i="8"/>
  <c r="I78" i="8"/>
  <c r="J78" i="8"/>
  <c r="K78" i="8"/>
  <c r="L78" i="8"/>
  <c r="M78" i="8"/>
  <c r="C79" i="8"/>
  <c r="D79" i="8"/>
  <c r="E79" i="8"/>
  <c r="F79" i="8"/>
  <c r="G79" i="8"/>
  <c r="H79" i="8"/>
  <c r="I79" i="8"/>
  <c r="J79" i="8"/>
  <c r="K79" i="8"/>
  <c r="L79" i="8"/>
  <c r="M79" i="8"/>
  <c r="C86" i="8"/>
  <c r="D86" i="8"/>
  <c r="E86" i="8"/>
  <c r="F86" i="8"/>
  <c r="G86" i="8"/>
  <c r="H86" i="8"/>
  <c r="I86" i="8"/>
  <c r="J86" i="8"/>
  <c r="K86" i="8"/>
  <c r="L86" i="8"/>
  <c r="M86" i="8"/>
  <c r="C87" i="8"/>
  <c r="D87" i="8"/>
  <c r="E87" i="8"/>
  <c r="F87" i="8"/>
  <c r="G87" i="8"/>
  <c r="H87" i="8"/>
  <c r="I87" i="8"/>
  <c r="J87" i="8"/>
  <c r="K87" i="8"/>
  <c r="L87" i="8"/>
  <c r="M87" i="8"/>
  <c r="C89" i="8"/>
  <c r="D89" i="8"/>
  <c r="E89" i="8"/>
  <c r="F89" i="8"/>
  <c r="G89" i="8"/>
  <c r="H89" i="8"/>
  <c r="I89" i="8"/>
  <c r="J89" i="8"/>
  <c r="K89" i="8"/>
  <c r="L89" i="8"/>
  <c r="M89" i="8"/>
  <c r="C90" i="8"/>
  <c r="D90" i="8"/>
  <c r="E90" i="8"/>
  <c r="F90" i="8"/>
  <c r="G90" i="8"/>
  <c r="H90" i="8"/>
  <c r="I90" i="8"/>
  <c r="J90" i="8"/>
  <c r="K90" i="8"/>
  <c r="L90" i="8"/>
  <c r="M90" i="8"/>
  <c r="C92" i="8"/>
  <c r="D92" i="8"/>
  <c r="E92" i="8"/>
  <c r="F92" i="8"/>
  <c r="G92" i="8"/>
  <c r="H92" i="8"/>
  <c r="I92" i="8"/>
  <c r="J92" i="8"/>
  <c r="K92" i="8"/>
  <c r="L92" i="8"/>
  <c r="M92" i="8"/>
  <c r="C93" i="8"/>
  <c r="D93" i="8"/>
  <c r="E93" i="8"/>
  <c r="F93" i="8"/>
  <c r="G93" i="8"/>
  <c r="H93" i="8"/>
  <c r="I93" i="8"/>
  <c r="J93" i="8"/>
  <c r="K93" i="8"/>
  <c r="L93" i="8"/>
  <c r="M93" i="8"/>
  <c r="C95" i="8"/>
  <c r="D95" i="8"/>
  <c r="E95" i="8"/>
  <c r="F95" i="8"/>
  <c r="G95" i="8"/>
  <c r="H95" i="8"/>
  <c r="I95" i="8"/>
  <c r="J95" i="8"/>
  <c r="K95" i="8"/>
  <c r="L95" i="8"/>
  <c r="M95" i="8"/>
  <c r="C96" i="8"/>
  <c r="D96" i="8"/>
  <c r="E96" i="8"/>
  <c r="F96" i="8"/>
  <c r="G96" i="8"/>
  <c r="H96" i="8"/>
  <c r="I96" i="8"/>
  <c r="J96" i="8"/>
  <c r="K96" i="8"/>
  <c r="L96" i="8"/>
  <c r="M96" i="8"/>
  <c r="C98" i="8"/>
  <c r="D98" i="8"/>
  <c r="E98" i="8"/>
  <c r="F98" i="8"/>
  <c r="G98" i="8"/>
  <c r="H98" i="8"/>
  <c r="I98" i="8"/>
  <c r="J98" i="8"/>
  <c r="K98" i="8"/>
  <c r="L98" i="8"/>
  <c r="M98" i="8"/>
  <c r="C99" i="8"/>
  <c r="D99" i="8"/>
  <c r="E99" i="8"/>
  <c r="F99" i="8"/>
  <c r="G99" i="8"/>
  <c r="H99" i="8"/>
  <c r="I99" i="8"/>
  <c r="J99" i="8"/>
  <c r="K99" i="8"/>
  <c r="L99" i="8"/>
  <c r="M99" i="8"/>
  <c r="C102" i="8"/>
  <c r="D102" i="8"/>
  <c r="E102" i="8"/>
  <c r="F102" i="8"/>
  <c r="G102" i="8"/>
  <c r="H102" i="8"/>
  <c r="I102" i="8"/>
  <c r="J102" i="8"/>
  <c r="K102" i="8"/>
  <c r="L102" i="8"/>
  <c r="M102" i="8"/>
  <c r="C105" i="8"/>
  <c r="D105" i="8"/>
  <c r="E105" i="8"/>
  <c r="F105" i="8"/>
  <c r="G105" i="8"/>
  <c r="H105" i="8"/>
  <c r="I105" i="8"/>
  <c r="J105" i="8"/>
  <c r="K105" i="8"/>
  <c r="L105" i="8"/>
  <c r="M105" i="8"/>
  <c r="C106" i="8"/>
  <c r="D106" i="8"/>
  <c r="E106" i="8"/>
  <c r="F106" i="8"/>
  <c r="G106" i="8"/>
  <c r="H106" i="8"/>
  <c r="I106" i="8"/>
  <c r="J106" i="8"/>
  <c r="K106" i="8"/>
  <c r="L106" i="8"/>
  <c r="M106" i="8"/>
  <c r="C108" i="8"/>
  <c r="D108" i="8"/>
  <c r="E108" i="8"/>
  <c r="F108" i="8"/>
  <c r="G108" i="8"/>
  <c r="H108" i="8"/>
  <c r="I108" i="8"/>
  <c r="J108" i="8"/>
  <c r="K108" i="8"/>
  <c r="L108" i="8"/>
  <c r="M108" i="8"/>
  <c r="C109" i="8"/>
  <c r="D109" i="8"/>
  <c r="E109" i="8"/>
  <c r="F109" i="8"/>
  <c r="G109" i="8"/>
  <c r="H109" i="8"/>
  <c r="I109" i="8"/>
  <c r="J109" i="8"/>
  <c r="K109" i="8"/>
  <c r="L109" i="8"/>
  <c r="M109" i="8"/>
  <c r="C111" i="8"/>
  <c r="D111" i="8"/>
  <c r="E111" i="8"/>
  <c r="F111" i="8"/>
  <c r="G111" i="8"/>
  <c r="H111" i="8"/>
  <c r="I111" i="8"/>
  <c r="J111" i="8"/>
  <c r="K111" i="8"/>
  <c r="L111" i="8"/>
  <c r="M111" i="8"/>
  <c r="C112" i="8"/>
  <c r="D112" i="8"/>
  <c r="E112" i="8"/>
  <c r="F112" i="8"/>
  <c r="G112" i="8"/>
  <c r="H112" i="8"/>
  <c r="I112" i="8"/>
  <c r="J112" i="8"/>
  <c r="K112" i="8"/>
  <c r="L112" i="8"/>
  <c r="M112" i="8"/>
  <c r="C114" i="8"/>
  <c r="D114" i="8"/>
  <c r="E114" i="8"/>
  <c r="F114" i="8"/>
  <c r="G114" i="8"/>
  <c r="H114" i="8"/>
  <c r="I114" i="8"/>
  <c r="J114" i="8"/>
  <c r="K114" i="8"/>
  <c r="L114" i="8"/>
  <c r="M114" i="8"/>
  <c r="C115" i="8"/>
  <c r="D115" i="8"/>
  <c r="E115" i="8"/>
  <c r="F115" i="8"/>
  <c r="G115" i="8"/>
  <c r="H115" i="8"/>
  <c r="I115" i="8"/>
  <c r="J115" i="8"/>
  <c r="K115" i="8"/>
  <c r="L115" i="8"/>
  <c r="M115" i="8"/>
  <c r="C117" i="8"/>
  <c r="D117" i="8"/>
  <c r="E117" i="8"/>
  <c r="F117" i="8"/>
  <c r="G117" i="8"/>
  <c r="H117" i="8"/>
  <c r="I117" i="8"/>
  <c r="J117" i="8"/>
  <c r="K117" i="8"/>
  <c r="L117" i="8"/>
  <c r="M117" i="8"/>
  <c r="C118" i="8"/>
  <c r="D118" i="8"/>
  <c r="E118" i="8"/>
  <c r="F118" i="8"/>
  <c r="G118" i="8"/>
  <c r="H118" i="8"/>
  <c r="I118" i="8"/>
  <c r="J118" i="8"/>
  <c r="K118" i="8"/>
  <c r="L118" i="8"/>
  <c r="M118" i="8"/>
  <c r="D119" i="8"/>
  <c r="H119" i="8"/>
  <c r="I119" i="8"/>
  <c r="K119" i="8"/>
  <c r="L119" i="8"/>
  <c r="M119" i="8"/>
  <c r="C127" i="8"/>
  <c r="D127" i="8"/>
  <c r="E127" i="8"/>
  <c r="F127" i="8"/>
  <c r="G127" i="8"/>
  <c r="H127" i="8"/>
  <c r="I127" i="8"/>
  <c r="J127" i="8"/>
  <c r="K127" i="8"/>
  <c r="L127" i="8"/>
  <c r="M127" i="8"/>
  <c r="C128" i="8"/>
  <c r="D128" i="8"/>
  <c r="E128" i="8"/>
  <c r="F128" i="8"/>
  <c r="G128" i="8"/>
  <c r="H128" i="8"/>
  <c r="I128" i="8"/>
  <c r="J128" i="8"/>
  <c r="K128" i="8"/>
  <c r="L128" i="8"/>
  <c r="M128" i="8"/>
  <c r="C130" i="8"/>
  <c r="D130" i="8"/>
  <c r="E130" i="8"/>
  <c r="F130" i="8"/>
  <c r="G130" i="8"/>
  <c r="H130" i="8"/>
  <c r="I130" i="8"/>
  <c r="J130" i="8"/>
  <c r="K130" i="8"/>
  <c r="L130" i="8"/>
  <c r="M130" i="8"/>
  <c r="C131" i="8"/>
  <c r="D131" i="8"/>
  <c r="E131" i="8"/>
  <c r="F131" i="8"/>
  <c r="G131" i="8"/>
  <c r="H131" i="8"/>
  <c r="I131" i="8"/>
  <c r="J131" i="8"/>
  <c r="K131" i="8"/>
  <c r="L131" i="8"/>
  <c r="M131" i="8"/>
  <c r="L132" i="8"/>
  <c r="C133" i="8"/>
  <c r="D133" i="8"/>
  <c r="E133" i="8"/>
  <c r="F133" i="8"/>
  <c r="G133" i="8"/>
  <c r="H133" i="8"/>
  <c r="I133" i="8"/>
  <c r="J133" i="8"/>
  <c r="K133" i="8"/>
  <c r="L133" i="8"/>
  <c r="M133" i="8"/>
  <c r="C134" i="8"/>
  <c r="D134" i="8"/>
  <c r="E134" i="8"/>
  <c r="F134" i="8"/>
  <c r="G134" i="8"/>
  <c r="H134" i="8"/>
  <c r="I134" i="8"/>
  <c r="J134" i="8"/>
  <c r="K134" i="8"/>
  <c r="L134" i="8"/>
  <c r="M134" i="8"/>
  <c r="M136" i="8"/>
  <c r="C137" i="8"/>
  <c r="D137" i="8"/>
  <c r="E137" i="8"/>
  <c r="F137" i="8"/>
  <c r="G137" i="8"/>
  <c r="H137" i="8"/>
  <c r="I137" i="8"/>
  <c r="J137" i="8"/>
  <c r="K137" i="8"/>
  <c r="L137" i="8"/>
  <c r="M137" i="8"/>
  <c r="C138" i="8"/>
  <c r="D138" i="8"/>
  <c r="E138" i="8"/>
  <c r="F138" i="8"/>
  <c r="G138" i="8"/>
  <c r="H138" i="8"/>
  <c r="I138" i="8"/>
  <c r="J138" i="8"/>
  <c r="K138" i="8"/>
  <c r="L138" i="8"/>
  <c r="M138" i="8"/>
  <c r="D140" i="8"/>
  <c r="L140" i="8"/>
  <c r="C141" i="8"/>
  <c r="D141" i="8"/>
  <c r="E141" i="8"/>
  <c r="F141" i="8"/>
  <c r="G141" i="8"/>
  <c r="H141" i="8"/>
  <c r="I141" i="8"/>
  <c r="J141" i="8"/>
  <c r="K141" i="8"/>
  <c r="L141" i="8"/>
  <c r="M141" i="8"/>
  <c r="C144" i="8"/>
  <c r="D144" i="8"/>
  <c r="E144" i="8"/>
  <c r="F144" i="8"/>
  <c r="G144" i="8"/>
  <c r="H144" i="8"/>
  <c r="I144" i="8"/>
  <c r="J144" i="8"/>
  <c r="K144" i="8"/>
  <c r="L144" i="8"/>
  <c r="M144" i="8"/>
  <c r="C145" i="8"/>
  <c r="D145" i="8"/>
  <c r="E145" i="8"/>
  <c r="F145" i="8"/>
  <c r="G145" i="8"/>
  <c r="H145" i="8"/>
  <c r="I145" i="8"/>
  <c r="J145" i="8"/>
  <c r="K145" i="8"/>
  <c r="L145" i="8"/>
  <c r="M145" i="8"/>
  <c r="F147" i="8"/>
  <c r="I147" i="8"/>
  <c r="K147" i="8"/>
  <c r="L147" i="8"/>
  <c r="M147" i="8"/>
  <c r="C148" i="8"/>
  <c r="D148" i="8"/>
  <c r="E148" i="8"/>
  <c r="F148" i="8"/>
  <c r="G148" i="8"/>
  <c r="H148" i="8"/>
  <c r="I148" i="8"/>
  <c r="J148" i="8"/>
  <c r="K148" i="8"/>
  <c r="L148" i="8"/>
  <c r="M148" i="8"/>
  <c r="D149" i="8"/>
  <c r="D150" i="8"/>
  <c r="G150" i="8"/>
  <c r="C151" i="8"/>
  <c r="D151" i="8"/>
  <c r="E151" i="8"/>
  <c r="F151" i="8"/>
  <c r="G151" i="8"/>
  <c r="H151" i="8"/>
  <c r="I151" i="8"/>
  <c r="J151" i="8"/>
  <c r="K151" i="8"/>
  <c r="L151" i="8"/>
  <c r="M151" i="8"/>
  <c r="C154" i="8"/>
  <c r="D154" i="8"/>
  <c r="E154" i="8"/>
  <c r="F154" i="8"/>
  <c r="G154" i="8"/>
  <c r="H154" i="8"/>
  <c r="I154" i="8"/>
  <c r="J154" i="8"/>
  <c r="K154" i="8"/>
  <c r="L154" i="8"/>
  <c r="M154" i="8"/>
  <c r="C155" i="8"/>
  <c r="D155" i="8"/>
  <c r="E155" i="8"/>
  <c r="F155" i="8"/>
  <c r="G155" i="8"/>
  <c r="H155" i="8"/>
  <c r="I155" i="8"/>
  <c r="J155" i="8"/>
  <c r="K155" i="8"/>
  <c r="L155" i="8"/>
  <c r="M155" i="8"/>
  <c r="D157" i="8"/>
  <c r="E157" i="8"/>
  <c r="F157" i="8"/>
  <c r="H157" i="8"/>
  <c r="J157" i="8"/>
  <c r="L157" i="8"/>
  <c r="M157" i="8"/>
  <c r="C158" i="8"/>
  <c r="D158" i="8"/>
  <c r="E158" i="8"/>
  <c r="F158" i="8"/>
  <c r="G158" i="8"/>
  <c r="H158" i="8"/>
  <c r="I158" i="8"/>
  <c r="J158" i="8"/>
  <c r="K158" i="8"/>
  <c r="L158" i="8"/>
  <c r="M158" i="8"/>
  <c r="J160" i="8"/>
  <c r="C161" i="8"/>
  <c r="D161" i="8"/>
  <c r="E161" i="8"/>
  <c r="F161" i="8"/>
  <c r="G161" i="8"/>
  <c r="H161" i="8"/>
  <c r="I161" i="8"/>
  <c r="J161" i="8"/>
  <c r="K161" i="8"/>
  <c r="L161" i="8"/>
  <c r="M161" i="8"/>
  <c r="D162" i="8"/>
  <c r="E163" i="8"/>
  <c r="F163" i="8"/>
  <c r="H163" i="8"/>
  <c r="L163" i="8"/>
  <c r="M163" i="8"/>
  <c r="C164" i="8"/>
  <c r="D164" i="8"/>
  <c r="E164" i="8"/>
  <c r="F164" i="8"/>
  <c r="G164" i="8"/>
  <c r="H164" i="8"/>
  <c r="I164" i="8"/>
  <c r="J164" i="8"/>
  <c r="K164" i="8"/>
  <c r="L164" i="8"/>
  <c r="M164" i="8"/>
  <c r="D166" i="8"/>
  <c r="E166" i="8"/>
  <c r="F166" i="8"/>
  <c r="G166" i="8"/>
  <c r="H166" i="8"/>
  <c r="J166" i="8"/>
  <c r="K166" i="8"/>
  <c r="L166" i="8"/>
  <c r="M166" i="8"/>
  <c r="C167" i="8"/>
  <c r="D167" i="8"/>
  <c r="E167" i="8"/>
  <c r="F167" i="8"/>
  <c r="G167" i="8"/>
  <c r="H167" i="8"/>
  <c r="I167" i="8"/>
  <c r="J167" i="8"/>
  <c r="K167" i="8"/>
  <c r="L167" i="8"/>
  <c r="M167" i="8"/>
  <c r="K168" i="8"/>
  <c r="C169" i="8"/>
  <c r="E169" i="8"/>
  <c r="O169" i="8" s="1"/>
  <c r="H169" i="8"/>
  <c r="J169" i="8"/>
  <c r="K169" i="8"/>
  <c r="M169" i="8"/>
  <c r="C170" i="8"/>
  <c r="D170" i="8"/>
  <c r="E170" i="8"/>
  <c r="F170" i="8"/>
  <c r="G170" i="8"/>
  <c r="H170" i="8"/>
  <c r="I170" i="8"/>
  <c r="J170" i="8"/>
  <c r="K170" i="8"/>
  <c r="L170" i="8"/>
  <c r="M170" i="8"/>
  <c r="C172" i="8"/>
  <c r="H172" i="8"/>
  <c r="M172" i="8"/>
  <c r="C173" i="8"/>
  <c r="D173" i="8"/>
  <c r="E173" i="8"/>
  <c r="F173" i="8"/>
  <c r="G173" i="8"/>
  <c r="H173" i="8"/>
  <c r="I173" i="8"/>
  <c r="J173" i="8"/>
  <c r="K173" i="8"/>
  <c r="L173" i="8"/>
  <c r="M173" i="8"/>
  <c r="C174" i="8"/>
  <c r="D174" i="8"/>
  <c r="E174" i="8"/>
  <c r="F174" i="8"/>
  <c r="G174" i="8"/>
  <c r="H174" i="8"/>
  <c r="I174" i="8"/>
  <c r="J174" i="8"/>
  <c r="K174" i="8"/>
  <c r="L174" i="8"/>
  <c r="M174" i="8"/>
  <c r="D176" i="8"/>
  <c r="G176" i="8"/>
  <c r="H176" i="8"/>
  <c r="I176" i="8"/>
  <c r="K176" i="8"/>
  <c r="L176" i="8"/>
  <c r="C177" i="8"/>
  <c r="D177" i="8"/>
  <c r="E177" i="8"/>
  <c r="F177" i="8"/>
  <c r="G177" i="8"/>
  <c r="H177" i="8"/>
  <c r="I177" i="8"/>
  <c r="J177" i="8"/>
  <c r="K177" i="8"/>
  <c r="L177" i="8"/>
  <c r="M177" i="8"/>
  <c r="C178" i="8"/>
  <c r="D178" i="8"/>
  <c r="E178" i="8"/>
  <c r="F178" i="8"/>
  <c r="G178" i="8"/>
  <c r="H178" i="8"/>
  <c r="I178" i="8"/>
  <c r="J178" i="8"/>
  <c r="K178" i="8"/>
  <c r="L178" i="8"/>
  <c r="M178" i="8"/>
  <c r="H179" i="8"/>
  <c r="D180" i="8"/>
  <c r="F180" i="8"/>
  <c r="G180" i="8"/>
  <c r="H180" i="8"/>
  <c r="I180" i="8"/>
  <c r="J180" i="8"/>
  <c r="K180" i="8"/>
  <c r="L180" i="8"/>
  <c r="M180" i="8"/>
  <c r="C181" i="8"/>
  <c r="D181" i="8"/>
  <c r="E181" i="8"/>
  <c r="F181" i="8"/>
  <c r="G181" i="8"/>
  <c r="H181" i="8"/>
  <c r="I181" i="8"/>
  <c r="J181" i="8"/>
  <c r="K181" i="8"/>
  <c r="L181" i="8"/>
  <c r="M181" i="8"/>
  <c r="C182" i="8"/>
  <c r="D182" i="8"/>
  <c r="E182" i="8"/>
  <c r="F182" i="8"/>
  <c r="G182" i="8"/>
  <c r="H182" i="8"/>
  <c r="I182" i="8"/>
  <c r="J182" i="8"/>
  <c r="K182" i="8"/>
  <c r="L182" i="8"/>
  <c r="M182" i="8"/>
  <c r="C183" i="8"/>
  <c r="D183" i="8"/>
  <c r="E183" i="8"/>
  <c r="F183" i="8"/>
  <c r="G183" i="8"/>
  <c r="H183" i="8"/>
  <c r="I183" i="8"/>
  <c r="J183" i="8"/>
  <c r="K183" i="8"/>
  <c r="L183" i="8"/>
  <c r="M183" i="8"/>
  <c r="C184" i="8"/>
  <c r="D184" i="8"/>
  <c r="E184" i="8"/>
  <c r="F184" i="8"/>
  <c r="G184" i="8"/>
  <c r="H184" i="8"/>
  <c r="I184" i="8"/>
  <c r="J184" i="8"/>
  <c r="K184" i="8"/>
  <c r="L184" i="8"/>
  <c r="M184" i="8"/>
  <c r="C188" i="8"/>
  <c r="D188" i="8"/>
  <c r="O188" i="8"/>
  <c r="H188" i="8"/>
  <c r="C189" i="8"/>
  <c r="D189" i="8"/>
  <c r="F189" i="8"/>
  <c r="G189" i="8"/>
  <c r="H189" i="8"/>
  <c r="I189" i="8"/>
  <c r="J189" i="8"/>
  <c r="K189" i="8"/>
  <c r="L189" i="8"/>
  <c r="M189" i="8"/>
  <c r="C190" i="8"/>
  <c r="D190" i="8"/>
  <c r="F190" i="8"/>
  <c r="G190" i="8"/>
  <c r="H190" i="8"/>
  <c r="I190" i="8"/>
  <c r="J190" i="8"/>
  <c r="K190" i="8"/>
  <c r="L190" i="8"/>
  <c r="M190" i="8"/>
  <c r="I192" i="8"/>
  <c r="M192" i="8"/>
  <c r="C193" i="8"/>
  <c r="D193" i="8"/>
  <c r="F193" i="8"/>
  <c r="G193" i="8"/>
  <c r="H193" i="8"/>
  <c r="I193" i="8"/>
  <c r="J193" i="8"/>
  <c r="K193" i="8"/>
  <c r="L193" i="8"/>
  <c r="M193" i="8"/>
  <c r="C194" i="8"/>
  <c r="D194" i="8"/>
  <c r="F194" i="8"/>
  <c r="G194" i="8"/>
  <c r="H194" i="8"/>
  <c r="I194" i="8"/>
  <c r="J194" i="8"/>
  <c r="K194" i="8"/>
  <c r="L194" i="8"/>
  <c r="M194" i="8"/>
  <c r="C195" i="8"/>
  <c r="D195" i="8"/>
  <c r="F195" i="8"/>
  <c r="G195" i="8"/>
  <c r="H195" i="8"/>
  <c r="I195" i="8"/>
  <c r="J195" i="8"/>
  <c r="K195" i="8"/>
  <c r="L195" i="8"/>
  <c r="M195" i="8"/>
  <c r="E196" i="8"/>
  <c r="F197" i="8"/>
  <c r="G197" i="8"/>
  <c r="H197" i="8"/>
  <c r="I197" i="8"/>
  <c r="J197" i="8"/>
  <c r="K197" i="8"/>
  <c r="L197" i="8"/>
  <c r="C198" i="8"/>
  <c r="D198" i="8"/>
  <c r="E198" i="8"/>
  <c r="F198" i="8"/>
  <c r="G198" i="8"/>
  <c r="H198" i="8"/>
  <c r="I198" i="8"/>
  <c r="J198" i="8"/>
  <c r="K198" i="8"/>
  <c r="L198" i="8"/>
  <c r="M198" i="8"/>
  <c r="C199" i="8"/>
  <c r="D199" i="8"/>
  <c r="E199" i="8"/>
  <c r="F199" i="8"/>
  <c r="G199" i="8"/>
  <c r="H199" i="8"/>
  <c r="I199" i="8"/>
  <c r="J199" i="8"/>
  <c r="K199" i="8"/>
  <c r="L199" i="8"/>
  <c r="M199" i="8"/>
  <c r="D201" i="8"/>
  <c r="E201" i="8"/>
  <c r="F201" i="8"/>
  <c r="H201" i="8"/>
  <c r="I201" i="8"/>
  <c r="K201" i="8"/>
  <c r="L201" i="8"/>
  <c r="M201" i="8"/>
  <c r="C202" i="8"/>
  <c r="D202" i="8"/>
  <c r="E202" i="8"/>
  <c r="F202" i="8"/>
  <c r="G202" i="8"/>
  <c r="H202" i="8"/>
  <c r="I202" i="8"/>
  <c r="J202" i="8"/>
  <c r="K202" i="8"/>
  <c r="L202" i="8"/>
  <c r="M202" i="8"/>
  <c r="C203" i="8"/>
  <c r="D203" i="8"/>
  <c r="E203" i="8"/>
  <c r="F203" i="8"/>
  <c r="G203" i="8"/>
  <c r="H203" i="8"/>
  <c r="I203" i="8"/>
  <c r="J203" i="8"/>
  <c r="K203" i="8"/>
  <c r="L203" i="8"/>
  <c r="M203" i="8"/>
  <c r="C204" i="8"/>
  <c r="D204" i="8"/>
  <c r="E204" i="8"/>
  <c r="F204" i="8"/>
  <c r="G204" i="8"/>
  <c r="H204" i="8"/>
  <c r="I204" i="8"/>
  <c r="J204" i="8"/>
  <c r="K204" i="8"/>
  <c r="L204" i="8"/>
  <c r="M204" i="8"/>
  <c r="C206" i="8"/>
  <c r="N206" i="8" s="1"/>
  <c r="K206" i="8"/>
  <c r="L206" i="8"/>
  <c r="M206" i="8"/>
  <c r="C207" i="8"/>
  <c r="D207" i="8"/>
  <c r="E207" i="8"/>
  <c r="F207" i="8"/>
  <c r="G207" i="8"/>
  <c r="H207" i="8"/>
  <c r="I207" i="8"/>
  <c r="J207" i="8"/>
  <c r="K207" i="8"/>
  <c r="L207" i="8"/>
  <c r="M207" i="8"/>
  <c r="C208" i="8"/>
  <c r="D208" i="8"/>
  <c r="E208" i="8"/>
  <c r="F208" i="8"/>
  <c r="G208" i="8"/>
  <c r="H208" i="8"/>
  <c r="I208" i="8"/>
  <c r="J208" i="8"/>
  <c r="K208" i="8"/>
  <c r="L208" i="8"/>
  <c r="M208" i="8"/>
  <c r="C209" i="8"/>
  <c r="D209" i="8"/>
  <c r="E209" i="8"/>
  <c r="F209" i="8"/>
  <c r="G209" i="8"/>
  <c r="H209" i="8"/>
  <c r="I209" i="8"/>
  <c r="J209" i="8"/>
  <c r="K209" i="8"/>
  <c r="L209" i="8"/>
  <c r="M209" i="8"/>
  <c r="D212" i="8"/>
  <c r="F212" i="8"/>
  <c r="G212" i="8"/>
  <c r="H212" i="8"/>
  <c r="J212" i="8"/>
  <c r="K212" i="8"/>
  <c r="L212" i="8"/>
  <c r="C213" i="8"/>
  <c r="D213" i="8"/>
  <c r="E213" i="8"/>
  <c r="F213" i="8"/>
  <c r="G213" i="8"/>
  <c r="H213" i="8"/>
  <c r="I213" i="8"/>
  <c r="J213" i="8"/>
  <c r="K213" i="8"/>
  <c r="L213" i="8"/>
  <c r="M213" i="8"/>
  <c r="D215" i="8"/>
  <c r="F215" i="8"/>
  <c r="G215" i="8"/>
  <c r="H215" i="8"/>
  <c r="I215" i="8"/>
  <c r="K215" i="8"/>
  <c r="L215" i="8"/>
  <c r="C216" i="8"/>
  <c r="D216" i="8"/>
  <c r="E216" i="8"/>
  <c r="F216" i="8"/>
  <c r="G216" i="8"/>
  <c r="H216" i="8"/>
  <c r="I216" i="8"/>
  <c r="J216" i="8"/>
  <c r="K216" i="8"/>
  <c r="L216" i="8"/>
  <c r="M216" i="8"/>
  <c r="E217" i="8"/>
  <c r="K217" i="8"/>
  <c r="C218" i="8"/>
  <c r="N218" i="8" s="1"/>
  <c r="E218" i="8"/>
  <c r="H218" i="8"/>
  <c r="I218" i="8"/>
  <c r="L218" i="8"/>
  <c r="C219" i="8"/>
  <c r="D219" i="8"/>
  <c r="E219" i="8"/>
  <c r="F219" i="8"/>
  <c r="G219" i="8"/>
  <c r="H219" i="8"/>
  <c r="I219" i="8"/>
  <c r="J219" i="8"/>
  <c r="K219" i="8"/>
  <c r="L219" i="8"/>
  <c r="M219" i="8"/>
  <c r="M220" i="8"/>
  <c r="I221" i="8"/>
  <c r="K221" i="8"/>
  <c r="C222" i="8"/>
  <c r="D222" i="8"/>
  <c r="E222" i="8"/>
  <c r="F222" i="8"/>
  <c r="G222" i="8"/>
  <c r="H222" i="8"/>
  <c r="I222" i="8"/>
  <c r="J222" i="8"/>
  <c r="K222" i="8"/>
  <c r="L222" i="8"/>
  <c r="M222" i="8"/>
  <c r="C225" i="8"/>
  <c r="F225" i="8"/>
  <c r="G225" i="8"/>
  <c r="I225" i="8"/>
  <c r="K225" i="8"/>
  <c r="L225" i="8"/>
  <c r="C226" i="8"/>
  <c r="D226" i="8"/>
  <c r="E226" i="8"/>
  <c r="F226" i="8"/>
  <c r="G226" i="8"/>
  <c r="H226" i="8"/>
  <c r="I226" i="8"/>
  <c r="J226" i="8"/>
  <c r="K226" i="8"/>
  <c r="L226" i="8"/>
  <c r="M226" i="8"/>
  <c r="M227" i="8"/>
  <c r="G228" i="8"/>
  <c r="J228" i="8"/>
  <c r="K228" i="8"/>
  <c r="M228" i="8"/>
  <c r="C229" i="8"/>
  <c r="D229" i="8"/>
  <c r="E229" i="8"/>
  <c r="F229" i="8"/>
  <c r="G229" i="8"/>
  <c r="H229" i="8"/>
  <c r="I229" i="8"/>
  <c r="J229" i="8"/>
  <c r="K229" i="8"/>
  <c r="L229" i="8"/>
  <c r="M229" i="8"/>
  <c r="I230" i="8"/>
  <c r="E231" i="8"/>
  <c r="F231" i="8"/>
  <c r="L231" i="8"/>
  <c r="M231" i="8"/>
  <c r="C232" i="8"/>
  <c r="D232" i="8"/>
  <c r="E232" i="8"/>
  <c r="F232" i="8"/>
  <c r="G232" i="8"/>
  <c r="H232" i="8"/>
  <c r="I232" i="8"/>
  <c r="J232" i="8"/>
  <c r="K232" i="8"/>
  <c r="L232" i="8"/>
  <c r="M232" i="8"/>
  <c r="M234" i="8"/>
  <c r="D235" i="8"/>
  <c r="E235" i="8"/>
  <c r="G235" i="8"/>
  <c r="H235" i="8"/>
  <c r="I235" i="8"/>
  <c r="J235" i="8"/>
  <c r="K235" i="8"/>
  <c r="L235" i="8"/>
  <c r="M235" i="8"/>
  <c r="C236" i="8"/>
  <c r="D236" i="8"/>
  <c r="E236" i="8"/>
  <c r="F236" i="8"/>
  <c r="G236" i="8"/>
  <c r="H236" i="8"/>
  <c r="I236" i="8"/>
  <c r="J236" i="8"/>
  <c r="K236" i="8"/>
  <c r="L236" i="8"/>
  <c r="M236" i="8"/>
  <c r="M237" i="8"/>
  <c r="D238" i="8"/>
  <c r="H238" i="8"/>
  <c r="K238" i="8"/>
  <c r="L238" i="8"/>
  <c r="M238" i="8"/>
  <c r="C239" i="8"/>
  <c r="D239" i="8"/>
  <c r="E239" i="8"/>
  <c r="F239" i="8"/>
  <c r="G239" i="8"/>
  <c r="H239" i="8"/>
  <c r="I239" i="8"/>
  <c r="J239" i="8"/>
  <c r="K239" i="8"/>
  <c r="L239" i="8"/>
  <c r="M239" i="8"/>
  <c r="D241" i="8"/>
  <c r="J241" i="8"/>
  <c r="C242" i="8"/>
  <c r="D242" i="8"/>
  <c r="E242" i="8"/>
  <c r="F242" i="8"/>
  <c r="G242" i="8"/>
  <c r="H242" i="8"/>
  <c r="I242" i="8"/>
  <c r="J242" i="8"/>
  <c r="K242" i="8"/>
  <c r="L242" i="8"/>
  <c r="M242" i="8"/>
  <c r="H244" i="8"/>
  <c r="L244" i="8"/>
  <c r="F245" i="8"/>
  <c r="G245" i="8"/>
  <c r="I245" i="8"/>
  <c r="J245" i="8"/>
  <c r="K245" i="8"/>
  <c r="L245" i="8"/>
  <c r="C246" i="8"/>
  <c r="D246" i="8"/>
  <c r="E246" i="8"/>
  <c r="F246" i="8"/>
  <c r="G246" i="8"/>
  <c r="H246" i="8"/>
  <c r="I246" i="8"/>
  <c r="J246" i="8"/>
  <c r="K246" i="8"/>
  <c r="L246" i="8"/>
  <c r="M246" i="8"/>
  <c r="H247" i="8"/>
  <c r="C248" i="8"/>
  <c r="D248" i="8"/>
  <c r="F248" i="8"/>
  <c r="H248" i="8"/>
  <c r="I248" i="8"/>
  <c r="J248" i="8"/>
  <c r="K248" i="8"/>
  <c r="L248" i="8"/>
  <c r="M248" i="8"/>
  <c r="C249" i="8"/>
  <c r="D249" i="8"/>
  <c r="E249" i="8"/>
  <c r="F249" i="8"/>
  <c r="G249" i="8"/>
  <c r="H249" i="8"/>
  <c r="I249" i="8"/>
  <c r="J249" i="8"/>
  <c r="K249" i="8"/>
  <c r="L249" i="8"/>
  <c r="M249" i="8"/>
  <c r="C250" i="8"/>
  <c r="D250" i="8"/>
  <c r="E250" i="8"/>
  <c r="F250" i="8"/>
  <c r="G250" i="8"/>
  <c r="H250" i="8"/>
  <c r="I250" i="8"/>
  <c r="J250" i="8"/>
  <c r="K250" i="8"/>
  <c r="L250" i="8"/>
  <c r="M250" i="8"/>
  <c r="M318" i="8"/>
  <c r="M300" i="8"/>
  <c r="M289" i="8"/>
  <c r="M279" i="8"/>
  <c r="M271" i="8"/>
  <c r="M265" i="8"/>
  <c r="M252" i="8"/>
  <c r="M247" i="8"/>
  <c r="M243" i="8"/>
  <c r="M240" i="8"/>
  <c r="M230" i="8"/>
  <c r="M223" i="8"/>
  <c r="M217" i="8"/>
  <c r="M214" i="8"/>
  <c r="M205" i="8"/>
  <c r="M200" i="8"/>
  <c r="M191" i="8"/>
  <c r="M185" i="8"/>
  <c r="M179" i="8"/>
  <c r="M175" i="8"/>
  <c r="M168" i="8"/>
  <c r="M165" i="8"/>
  <c r="M162" i="8"/>
  <c r="M152" i="8"/>
  <c r="M116" i="8"/>
  <c r="M107" i="8"/>
  <c r="M104" i="8"/>
  <c r="M101" i="8"/>
  <c r="M94" i="8"/>
  <c r="M82" i="8"/>
  <c r="M77" i="8"/>
  <c r="M74" i="8"/>
  <c r="M65" i="8"/>
  <c r="M62" i="8"/>
  <c r="M55" i="8"/>
  <c r="M52" i="8"/>
  <c r="M49" i="8"/>
  <c r="M46" i="8"/>
  <c r="M30" i="8"/>
  <c r="M24" i="8"/>
  <c r="L318" i="8"/>
  <c r="L300" i="8"/>
  <c r="L289" i="8"/>
  <c r="L282" i="8"/>
  <c r="L279" i="8"/>
  <c r="L271" i="8"/>
  <c r="L268" i="8"/>
  <c r="L265" i="8"/>
  <c r="L252" i="8"/>
  <c r="L247" i="8"/>
  <c r="L237" i="8"/>
  <c r="L230" i="8"/>
  <c r="L227" i="8"/>
  <c r="L220" i="8"/>
  <c r="L217" i="8"/>
  <c r="L214" i="8"/>
  <c r="L205" i="8"/>
  <c r="L200" i="8"/>
  <c r="L196" i="8"/>
  <c r="L185" i="8"/>
  <c r="L179" i="8"/>
  <c r="L175" i="8"/>
  <c r="L171" i="8"/>
  <c r="L168" i="8"/>
  <c r="L165" i="8"/>
  <c r="L162" i="8"/>
  <c r="L159" i="8"/>
  <c r="L149" i="8"/>
  <c r="L136" i="8"/>
  <c r="L135" i="8"/>
  <c r="L129" i="8"/>
  <c r="L116" i="8"/>
  <c r="L110" i="8"/>
  <c r="L104" i="8"/>
  <c r="L101" i="8"/>
  <c r="L94" i="8"/>
  <c r="L91" i="8"/>
  <c r="L82" i="8"/>
  <c r="L71" i="8"/>
  <c r="L62" i="8"/>
  <c r="L52" i="8"/>
  <c r="L49" i="8"/>
  <c r="L46" i="8"/>
  <c r="L40" i="8"/>
  <c r="L30" i="8"/>
  <c r="L20" i="8"/>
  <c r="K300" i="8"/>
  <c r="K289" i="8"/>
  <c r="K282" i="8"/>
  <c r="K279" i="8"/>
  <c r="K271" i="8"/>
  <c r="K268" i="8"/>
  <c r="K265" i="8"/>
  <c r="K252" i="8"/>
  <c r="K247" i="8"/>
  <c r="K244" i="8"/>
  <c r="K243" i="8"/>
  <c r="K240" i="8"/>
  <c r="K230" i="8"/>
  <c r="Q230" i="8" s="1"/>
  <c r="K220" i="8"/>
  <c r="K214" i="8"/>
  <c r="K200" i="8"/>
  <c r="K196" i="8"/>
  <c r="Q196" i="8" s="1"/>
  <c r="K191" i="8"/>
  <c r="K185" i="8"/>
  <c r="K179" i="8"/>
  <c r="K175" i="8"/>
  <c r="K171" i="8"/>
  <c r="K165" i="8"/>
  <c r="K162" i="8"/>
  <c r="K159" i="8"/>
  <c r="Q159" i="8" s="1"/>
  <c r="K149" i="8"/>
  <c r="K143" i="8"/>
  <c r="K132" i="8"/>
  <c r="K113" i="8"/>
  <c r="K101" i="8"/>
  <c r="K97" i="8"/>
  <c r="Q97" i="8" s="1"/>
  <c r="K91" i="8"/>
  <c r="K85" i="8"/>
  <c r="K71" i="8"/>
  <c r="K59" i="8"/>
  <c r="K55" i="8"/>
  <c r="K46" i="8"/>
  <c r="K45" i="8"/>
  <c r="K40" i="8"/>
  <c r="K34" i="8"/>
  <c r="K30" i="8"/>
  <c r="J318" i="8"/>
  <c r="J314" i="8"/>
  <c r="J300" i="8"/>
  <c r="J289" i="8"/>
  <c r="J282" i="8"/>
  <c r="J279" i="8"/>
  <c r="J271" i="8"/>
  <c r="J268" i="8"/>
  <c r="J265" i="8"/>
  <c r="J252" i="8"/>
  <c r="J247" i="8"/>
  <c r="J240" i="8"/>
  <c r="J237" i="8"/>
  <c r="J230" i="8"/>
  <c r="J227" i="8"/>
  <c r="J220" i="8"/>
  <c r="J217" i="8"/>
  <c r="J205" i="8"/>
  <c r="J200" i="8"/>
  <c r="J196" i="8"/>
  <c r="J191" i="8"/>
  <c r="J185" i="8"/>
  <c r="J179" i="8"/>
  <c r="J175" i="8"/>
  <c r="J171" i="8"/>
  <c r="J168" i="8"/>
  <c r="J165" i="8"/>
  <c r="J162" i="8"/>
  <c r="J159" i="8"/>
  <c r="J153" i="8"/>
  <c r="J149" i="8"/>
  <c r="J143" i="8"/>
  <c r="J142" i="8"/>
  <c r="J136" i="8"/>
  <c r="J129" i="8"/>
  <c r="J122" i="8"/>
  <c r="J116" i="8"/>
  <c r="J113" i="8"/>
  <c r="J104" i="8"/>
  <c r="J100" i="8"/>
  <c r="J101" i="8"/>
  <c r="J88" i="8"/>
  <c r="J85" i="8"/>
  <c r="J82" i="8"/>
  <c r="J74" i="8"/>
  <c r="J62" i="8"/>
  <c r="J55" i="8"/>
  <c r="P55" i="8" s="1"/>
  <c r="J52" i="8"/>
  <c r="J30" i="8"/>
  <c r="I318" i="8"/>
  <c r="I300" i="8"/>
  <c r="I289" i="8"/>
  <c r="I279" i="8"/>
  <c r="I271" i="8"/>
  <c r="I265" i="8"/>
  <c r="I252" i="8"/>
  <c r="I247" i="8"/>
  <c r="I240" i="8"/>
  <c r="I237" i="8"/>
  <c r="I227" i="8"/>
  <c r="I220" i="8"/>
  <c r="I217" i="8"/>
  <c r="I214" i="8"/>
  <c r="I205" i="8"/>
  <c r="I200" i="8"/>
  <c r="I196" i="8"/>
  <c r="I191" i="8"/>
  <c r="I185" i="8"/>
  <c r="I179" i="8"/>
  <c r="I175" i="8"/>
  <c r="I171" i="8"/>
  <c r="I168" i="8"/>
  <c r="I165" i="8"/>
  <c r="I162" i="8"/>
  <c r="I159" i="8"/>
  <c r="I136" i="8"/>
  <c r="I132" i="8"/>
  <c r="I126" i="8"/>
  <c r="I116" i="8"/>
  <c r="I113" i="8"/>
  <c r="I107" i="8"/>
  <c r="I104" i="8"/>
  <c r="I94" i="8"/>
  <c r="I91" i="8"/>
  <c r="I85" i="8"/>
  <c r="I82" i="8"/>
  <c r="I74" i="8"/>
  <c r="I71" i="8"/>
  <c r="I62" i="8"/>
  <c r="I59" i="8"/>
  <c r="I52" i="8"/>
  <c r="I40" i="8"/>
  <c r="I30" i="8"/>
  <c r="I27" i="8"/>
  <c r="I24" i="8"/>
  <c r="I20" i="8"/>
  <c r="H318" i="8"/>
  <c r="H300" i="8"/>
  <c r="H289" i="8"/>
  <c r="H282" i="8"/>
  <c r="H271" i="8"/>
  <c r="H268" i="8"/>
  <c r="H265" i="8"/>
  <c r="H252" i="8"/>
  <c r="H243" i="8"/>
  <c r="H240" i="8"/>
  <c r="H237" i="8"/>
  <c r="H233" i="8"/>
  <c r="H227" i="8"/>
  <c r="H220" i="8"/>
  <c r="H217" i="8"/>
  <c r="H214" i="8"/>
  <c r="H205" i="8"/>
  <c r="H200" i="8"/>
  <c r="H196" i="8"/>
  <c r="H185" i="8"/>
  <c r="H175" i="8"/>
  <c r="H171" i="8"/>
  <c r="H168" i="8"/>
  <c r="H165" i="8"/>
  <c r="H162" i="8"/>
  <c r="H159" i="8"/>
  <c r="H152" i="8"/>
  <c r="H149" i="8"/>
  <c r="H136" i="8"/>
  <c r="H132" i="8"/>
  <c r="H116" i="8"/>
  <c r="H113" i="8"/>
  <c r="H104" i="8"/>
  <c r="H101" i="8"/>
  <c r="H94" i="8"/>
  <c r="H91" i="8"/>
  <c r="H74" i="8"/>
  <c r="H71" i="8"/>
  <c r="H62" i="8"/>
  <c r="H59" i="8"/>
  <c r="H52" i="8"/>
  <c r="H46" i="8"/>
  <c r="H40" i="8"/>
  <c r="H30" i="8"/>
  <c r="H20" i="8"/>
  <c r="G318" i="8"/>
  <c r="G300" i="8"/>
  <c r="G289" i="8"/>
  <c r="G282" i="8"/>
  <c r="G279" i="8"/>
  <c r="G271" i="8"/>
  <c r="G268" i="8"/>
  <c r="G265" i="8"/>
  <c r="G247" i="8"/>
  <c r="G244" i="8"/>
  <c r="G243" i="8"/>
  <c r="G240" i="8"/>
  <c r="G237" i="8"/>
  <c r="G230" i="8"/>
  <c r="G220" i="8"/>
  <c r="G217" i="8"/>
  <c r="G214" i="8"/>
  <c r="G210" i="8"/>
  <c r="G200" i="8"/>
  <c r="G196" i="8"/>
  <c r="G191" i="8"/>
  <c r="G179" i="8"/>
  <c r="G175" i="8"/>
  <c r="G171" i="8"/>
  <c r="G168" i="8"/>
  <c r="G165" i="8"/>
  <c r="G162" i="8"/>
  <c r="G159" i="8"/>
  <c r="G153" i="8"/>
  <c r="G149" i="8"/>
  <c r="G143" i="8"/>
  <c r="G142" i="8"/>
  <c r="G136" i="8"/>
  <c r="G116" i="8"/>
  <c r="G104" i="8"/>
  <c r="G101" i="8"/>
  <c r="G91" i="8"/>
  <c r="G88" i="8"/>
  <c r="G85" i="8"/>
  <c r="G71" i="8"/>
  <c r="G62" i="8"/>
  <c r="G59" i="8"/>
  <c r="G55" i="8"/>
  <c r="G46" i="8"/>
  <c r="G40" i="8"/>
  <c r="G30" i="8"/>
  <c r="G27" i="8"/>
  <c r="G20" i="8"/>
  <c r="E300" i="8"/>
  <c r="E289" i="8"/>
  <c r="E279" i="8"/>
  <c r="E271" i="8"/>
  <c r="E265" i="8"/>
  <c r="E252" i="8"/>
  <c r="E247" i="8"/>
  <c r="E243" i="8"/>
  <c r="E237" i="8"/>
  <c r="E227" i="8"/>
  <c r="E220" i="8"/>
  <c r="E214" i="8"/>
  <c r="E205" i="8"/>
  <c r="E200" i="8"/>
  <c r="E185" i="8"/>
  <c r="E179" i="8"/>
  <c r="E175" i="8"/>
  <c r="E168" i="8"/>
  <c r="E165" i="8"/>
  <c r="E162" i="8"/>
  <c r="E153" i="8"/>
  <c r="E152" i="8"/>
  <c r="E143" i="8"/>
  <c r="E136" i="8"/>
  <c r="E104" i="8"/>
  <c r="E85" i="8"/>
  <c r="E82" i="8"/>
  <c r="E74" i="8"/>
  <c r="E59" i="8"/>
  <c r="E52" i="8"/>
  <c r="E30" i="8"/>
  <c r="D318" i="8"/>
  <c r="D300" i="8"/>
  <c r="D289" i="8"/>
  <c r="D282" i="8"/>
  <c r="D279" i="8"/>
  <c r="D271" i="8"/>
  <c r="D268" i="8"/>
  <c r="D265" i="8"/>
  <c r="D252" i="8"/>
  <c r="D244" i="8"/>
  <c r="D237" i="8"/>
  <c r="D227" i="8"/>
  <c r="D220" i="8"/>
  <c r="D217" i="8"/>
  <c r="D214" i="8"/>
  <c r="D205" i="8"/>
  <c r="D200" i="8"/>
  <c r="D196" i="8"/>
  <c r="D185" i="8"/>
  <c r="D179" i="8"/>
  <c r="D175" i="8"/>
  <c r="D171" i="8"/>
  <c r="D168" i="8"/>
  <c r="D165" i="8"/>
  <c r="D159" i="8"/>
  <c r="D132" i="8"/>
  <c r="D129" i="8"/>
  <c r="N129" i="8" s="1"/>
  <c r="D113" i="8"/>
  <c r="N113" i="8" s="1"/>
  <c r="D110" i="8"/>
  <c r="D104" i="8"/>
  <c r="D101" i="8"/>
  <c r="D94" i="8"/>
  <c r="D91" i="8"/>
  <c r="D82" i="8"/>
  <c r="D74" i="8"/>
  <c r="D71" i="8"/>
  <c r="D62" i="8"/>
  <c r="D59" i="8"/>
  <c r="D52" i="8"/>
  <c r="D49" i="8"/>
  <c r="D46" i="8"/>
  <c r="D40" i="8"/>
  <c r="D30" i="8"/>
  <c r="F318" i="8"/>
  <c r="F300" i="8"/>
  <c r="F282" i="8"/>
  <c r="O282" i="8" s="1"/>
  <c r="F279" i="8"/>
  <c r="F268" i="8"/>
  <c r="F265" i="8"/>
  <c r="F252" i="8"/>
  <c r="F244" i="8"/>
  <c r="F240" i="8"/>
  <c r="F237" i="8"/>
  <c r="F230" i="8"/>
  <c r="F227" i="8"/>
  <c r="F220" i="8"/>
  <c r="F217" i="8"/>
  <c r="F205" i="8"/>
  <c r="F200" i="8"/>
  <c r="F196" i="8"/>
  <c r="F191" i="8"/>
  <c r="F185" i="8"/>
  <c r="F179" i="8"/>
  <c r="F175" i="8"/>
  <c r="F171" i="8"/>
  <c r="F168" i="8"/>
  <c r="F165" i="8"/>
  <c r="F159" i="8"/>
  <c r="F149" i="8"/>
  <c r="F143" i="8"/>
  <c r="F136" i="8"/>
  <c r="F135" i="8"/>
  <c r="F132" i="8"/>
  <c r="F126" i="8"/>
  <c r="F116" i="8"/>
  <c r="F110" i="8"/>
  <c r="F104" i="8"/>
  <c r="F101" i="8"/>
  <c r="F97" i="8"/>
  <c r="F82" i="8"/>
  <c r="F77" i="8"/>
  <c r="F74" i="8"/>
  <c r="F71" i="8"/>
  <c r="F62" i="8"/>
  <c r="F55" i="8"/>
  <c r="F52" i="8"/>
  <c r="F46" i="8"/>
  <c r="F34" i="8"/>
  <c r="C300" i="8"/>
  <c r="C289" i="8"/>
  <c r="C282" i="8"/>
  <c r="C279" i="8"/>
  <c r="C271" i="8"/>
  <c r="C268" i="8"/>
  <c r="N268" i="8" s="1"/>
  <c r="C265" i="8"/>
  <c r="C252" i="8"/>
  <c r="C247" i="8"/>
  <c r="C244" i="8"/>
  <c r="C240" i="8"/>
  <c r="C237" i="8"/>
  <c r="C230" i="8"/>
  <c r="C220" i="8"/>
  <c r="C217" i="8"/>
  <c r="C214" i="8"/>
  <c r="C205" i="8"/>
  <c r="C200" i="8"/>
  <c r="C196" i="8"/>
  <c r="C191" i="8"/>
  <c r="C185" i="8"/>
  <c r="C179" i="8"/>
  <c r="N179" i="8" s="1"/>
  <c r="C175" i="8"/>
  <c r="C171" i="8"/>
  <c r="C168" i="8"/>
  <c r="C162" i="8"/>
  <c r="C159" i="8"/>
  <c r="C149" i="8"/>
  <c r="C136" i="8"/>
  <c r="C110" i="8"/>
  <c r="C107" i="8"/>
  <c r="C101" i="8"/>
  <c r="C91" i="8"/>
  <c r="C59" i="8"/>
  <c r="C55" i="8"/>
  <c r="C46" i="8"/>
  <c r="C45" i="8"/>
  <c r="C37" i="8"/>
  <c r="C34" i="8"/>
  <c r="C30" i="8"/>
  <c r="C27" i="8"/>
  <c r="C24" i="8"/>
  <c r="C20" i="8"/>
  <c r="M142" i="8"/>
  <c r="J135" i="8"/>
  <c r="J152" i="8"/>
  <c r="J223" i="8"/>
  <c r="I243" i="8"/>
  <c r="E142" i="8"/>
  <c r="C142" i="8"/>
  <c r="C243" i="8"/>
  <c r="G314" i="8"/>
  <c r="H49" i="8"/>
  <c r="H135" i="8"/>
  <c r="D17" i="8"/>
  <c r="E101" i="8"/>
  <c r="E230" i="8"/>
  <c r="G49" i="8"/>
  <c r="I223" i="8"/>
  <c r="J46" i="8"/>
  <c r="J59" i="8"/>
  <c r="J244" i="8"/>
  <c r="J243" i="8"/>
  <c r="K136" i="8"/>
  <c r="L143" i="8"/>
  <c r="C210" i="8"/>
  <c r="F314" i="8"/>
  <c r="M126" i="8"/>
  <c r="D27" i="8"/>
  <c r="D243" i="8"/>
  <c r="D247" i="8"/>
  <c r="E240" i="8"/>
  <c r="H27" i="8"/>
  <c r="H210" i="8"/>
  <c r="I143" i="8"/>
  <c r="I142" i="8"/>
  <c r="I233" i="8"/>
  <c r="K20" i="8"/>
  <c r="K142" i="8"/>
  <c r="K210" i="8"/>
  <c r="M244" i="8"/>
  <c r="H82" i="8"/>
  <c r="K126" i="8"/>
  <c r="E318" i="8"/>
  <c r="I101" i="8"/>
  <c r="I100" i="8"/>
  <c r="I153" i="8"/>
  <c r="I152" i="8"/>
  <c r="I314" i="8"/>
  <c r="F142" i="8"/>
  <c r="F152" i="8"/>
  <c r="F223" i="8"/>
  <c r="F243" i="8"/>
  <c r="J126" i="8"/>
  <c r="D210" i="8"/>
  <c r="L152" i="8"/>
  <c r="L243" i="8"/>
  <c r="H143" i="8"/>
  <c r="D100" i="8"/>
  <c r="H153" i="8"/>
  <c r="L59" i="8"/>
  <c r="L210" i="8"/>
  <c r="M59" i="8"/>
  <c r="L153" i="8"/>
  <c r="G45" i="8"/>
  <c r="H45" i="8"/>
  <c r="F122" i="8"/>
  <c r="I81" i="8"/>
  <c r="E122" i="8"/>
  <c r="M122" i="8"/>
  <c r="F81" i="8"/>
  <c r="H100" i="8"/>
  <c r="I122" i="8"/>
  <c r="J121" i="8"/>
  <c r="J120" i="8"/>
  <c r="F121" i="8"/>
  <c r="F120" i="8"/>
  <c r="E121" i="8"/>
  <c r="E120" i="8"/>
  <c r="K223" i="8"/>
  <c r="K227" i="8"/>
  <c r="L24" i="8"/>
  <c r="L142" i="8"/>
  <c r="G82" i="8"/>
  <c r="H24" i="8"/>
  <c r="I120" i="8"/>
  <c r="I121" i="8"/>
  <c r="J20" i="8"/>
  <c r="J81" i="8"/>
  <c r="J210" i="8"/>
  <c r="J214" i="8"/>
  <c r="D223" i="8"/>
  <c r="D230" i="8"/>
  <c r="E46" i="8"/>
  <c r="K82" i="8"/>
  <c r="L85" i="8"/>
  <c r="L314" i="8"/>
  <c r="C152" i="8"/>
  <c r="C314" i="8"/>
  <c r="C318" i="8"/>
  <c r="D45" i="8"/>
  <c r="D44" i="8"/>
  <c r="C82" i="8"/>
  <c r="D314" i="8"/>
  <c r="F20" i="8"/>
  <c r="K62" i="8"/>
  <c r="K153" i="8"/>
  <c r="K152" i="8"/>
  <c r="K314" i="8"/>
  <c r="K318" i="8"/>
  <c r="L44" i="8"/>
  <c r="L45" i="8"/>
  <c r="M44" i="8"/>
  <c r="M45" i="8"/>
  <c r="M210" i="8"/>
  <c r="H223" i="8"/>
  <c r="H230" i="8"/>
  <c r="I46" i="8"/>
  <c r="I210" i="8"/>
  <c r="K104" i="8"/>
  <c r="K233" i="8"/>
  <c r="K237" i="8"/>
  <c r="C223" i="8"/>
  <c r="D142" i="8"/>
  <c r="F210" i="8"/>
  <c r="D136" i="8"/>
  <c r="D135" i="8"/>
  <c r="D233" i="8"/>
  <c r="D240" i="8"/>
  <c r="F59" i="8"/>
  <c r="L233" i="8"/>
  <c r="L240" i="8"/>
  <c r="Q240" i="8" s="1"/>
  <c r="G223" i="8"/>
  <c r="H142" i="8"/>
  <c r="C58" i="8"/>
  <c r="C44" i="8"/>
  <c r="G44" i="8"/>
  <c r="C122" i="8"/>
  <c r="G122" i="8"/>
  <c r="G81" i="8"/>
  <c r="I44" i="8"/>
  <c r="I45" i="8"/>
  <c r="K58" i="8"/>
  <c r="K44" i="8"/>
  <c r="L81" i="8"/>
  <c r="E44" i="8"/>
  <c r="E45" i="8"/>
  <c r="K122" i="8"/>
  <c r="D81" i="8"/>
  <c r="K81" i="8"/>
  <c r="D122" i="8"/>
  <c r="E81" i="8"/>
  <c r="H122" i="8"/>
  <c r="F44" i="8"/>
  <c r="F45" i="8"/>
  <c r="J44" i="8"/>
  <c r="J45" i="8"/>
  <c r="M135" i="8"/>
  <c r="L122" i="8"/>
  <c r="C81" i="8"/>
  <c r="H81" i="8"/>
  <c r="L121" i="8"/>
  <c r="L120" i="8"/>
  <c r="H121" i="8"/>
  <c r="H120" i="8"/>
  <c r="D121" i="8"/>
  <c r="D120" i="8"/>
  <c r="K120" i="8"/>
  <c r="K121" i="8"/>
  <c r="M120" i="8"/>
  <c r="M121" i="8"/>
  <c r="G120" i="8"/>
  <c r="G121" i="8"/>
  <c r="C120" i="8"/>
  <c r="C121" i="8"/>
  <c r="M16" i="8"/>
  <c r="B211" i="77"/>
  <c r="M211" i="8" s="1"/>
  <c r="M17" i="8"/>
  <c r="M140" i="8"/>
  <c r="M34" i="8"/>
  <c r="M85" i="8"/>
  <c r="L126" i="8"/>
  <c r="B33" i="76"/>
  <c r="L33" i="8" s="1"/>
  <c r="B16" i="76"/>
  <c r="K65" i="8"/>
  <c r="K281" i="8"/>
  <c r="B156" i="75"/>
  <c r="K156" i="8" s="1"/>
  <c r="B139" i="75"/>
  <c r="K139" i="8" s="1"/>
  <c r="K107" i="8"/>
  <c r="J140" i="8"/>
  <c r="J24" i="8"/>
  <c r="J65" i="8"/>
  <c r="J107" i="8"/>
  <c r="J238" i="8"/>
  <c r="B33" i="74"/>
  <c r="J33" i="8"/>
  <c r="B16" i="74"/>
  <c r="B16" i="73"/>
  <c r="I16" i="8" s="1"/>
  <c r="I34" i="8"/>
  <c r="I157" i="8"/>
  <c r="I140" i="8"/>
  <c r="I65" i="8"/>
  <c r="I238" i="8"/>
  <c r="I228" i="8"/>
  <c r="I281" i="8"/>
  <c r="B16" i="72"/>
  <c r="B139" i="72"/>
  <c r="H139" i="8" s="1"/>
  <c r="H85" i="8"/>
  <c r="H34" i="8"/>
  <c r="H228" i="8"/>
  <c r="B16" i="71"/>
  <c r="B139" i="71"/>
  <c r="G139" i="8" s="1"/>
  <c r="G34" i="8"/>
  <c r="G65" i="8"/>
  <c r="B125" i="71"/>
  <c r="G125" i="8" s="1"/>
  <c r="B146" i="71"/>
  <c r="G146" i="8" s="1"/>
  <c r="B156" i="71"/>
  <c r="G156" i="8" s="1"/>
  <c r="G107" i="8"/>
  <c r="F17" i="8"/>
  <c r="F65" i="8"/>
  <c r="F228" i="8"/>
  <c r="F281" i="8"/>
  <c r="B23" i="70"/>
  <c r="F23" i="8" s="1"/>
  <c r="F238" i="8"/>
  <c r="E140" i="8"/>
  <c r="E24" i="8"/>
  <c r="E65" i="8"/>
  <c r="E228" i="8"/>
  <c r="E147" i="8"/>
  <c r="B125" i="69"/>
  <c r="E125" i="8" s="1"/>
  <c r="D147" i="8"/>
  <c r="D85" i="8"/>
  <c r="D65" i="8"/>
  <c r="B139" i="67"/>
  <c r="C139" i="8"/>
  <c r="C85" i="8"/>
  <c r="C228" i="8"/>
  <c r="C147" i="8"/>
  <c r="B125" i="67"/>
  <c r="C238" i="8"/>
  <c r="C49" i="8"/>
  <c r="C212" i="8"/>
  <c r="B23" i="52"/>
  <c r="B23" i="8" s="1"/>
  <c r="B61" i="52"/>
  <c r="B61" i="8" s="1"/>
  <c r="B146" i="52"/>
  <c r="B146" i="8" s="1"/>
  <c r="B284" i="52"/>
  <c r="B284" i="8"/>
  <c r="B33" i="52"/>
  <c r="B33" i="8"/>
  <c r="B211" i="52"/>
  <c r="B211" i="8"/>
  <c r="B234" i="52"/>
  <c r="B234" i="8"/>
  <c r="B284" i="78"/>
  <c r="S284" i="8"/>
  <c r="B277" i="78"/>
  <c r="S277" i="8"/>
  <c r="B125" i="78"/>
  <c r="S125" i="8"/>
  <c r="B146" i="78"/>
  <c r="S146" i="8"/>
  <c r="B156" i="78"/>
  <c r="S156" i="8"/>
  <c r="B61" i="78"/>
  <c r="S61" i="8"/>
  <c r="B139" i="78"/>
  <c r="S139" i="8"/>
  <c r="B234" i="78"/>
  <c r="S234" i="8"/>
  <c r="B103" i="78"/>
  <c r="S103" i="8"/>
  <c r="B224" i="78"/>
  <c r="S224" i="8"/>
  <c r="B211" i="78"/>
  <c r="S211" i="8" s="1"/>
  <c r="B297" i="78"/>
  <c r="S297" i="8" s="1"/>
  <c r="L16" i="8"/>
  <c r="J16" i="8"/>
  <c r="B23" i="76"/>
  <c r="B103" i="52"/>
  <c r="B103" i="8" s="1"/>
  <c r="L23" i="8"/>
  <c r="D37" i="8"/>
  <c r="B33" i="68"/>
  <c r="D33" i="8" s="1"/>
  <c r="D126" i="8"/>
  <c r="B125" i="68"/>
  <c r="D278" i="8"/>
  <c r="B277" i="68"/>
  <c r="D277" i="8" s="1"/>
  <c r="F88" i="8"/>
  <c r="B84" i="70"/>
  <c r="B139" i="70"/>
  <c r="F139" i="8" s="1"/>
  <c r="F140" i="8"/>
  <c r="B211" i="73"/>
  <c r="I211" i="8" s="1"/>
  <c r="I212" i="8"/>
  <c r="B23" i="74"/>
  <c r="J27" i="8"/>
  <c r="B224" i="77"/>
  <c r="M224" i="8" s="1"/>
  <c r="M225" i="8"/>
  <c r="B211" i="71"/>
  <c r="G211" i="8" s="1"/>
  <c r="G218" i="8"/>
  <c r="B304" i="8"/>
  <c r="B297" i="52"/>
  <c r="B297" i="8" s="1"/>
  <c r="B61" i="67"/>
  <c r="C65" i="8"/>
  <c r="E278" i="8"/>
  <c r="B284" i="69"/>
  <c r="E284" i="8" s="1"/>
  <c r="E288" i="8"/>
  <c r="B48" i="73"/>
  <c r="I48" i="8" s="1"/>
  <c r="I49" i="8"/>
  <c r="I298" i="8"/>
  <c r="B297" i="73"/>
  <c r="I297" i="8" s="1"/>
  <c r="J68" i="8"/>
  <c r="J147" i="8"/>
  <c r="B146" i="74"/>
  <c r="J146" i="8" s="1"/>
  <c r="B277" i="76"/>
  <c r="L277" i="8" s="1"/>
  <c r="L278" i="8"/>
  <c r="M285" i="8"/>
  <c r="B284" i="77"/>
  <c r="M284" i="8" s="1"/>
  <c r="S37" i="8"/>
  <c r="B33" i="78"/>
  <c r="S33" i="8" s="1"/>
  <c r="G24" i="8"/>
  <c r="B23" i="71"/>
  <c r="G23" i="8" s="1"/>
  <c r="B224" i="71"/>
  <c r="G224" i="8"/>
  <c r="G231" i="8"/>
  <c r="O275" i="8"/>
  <c r="B156" i="67"/>
  <c r="C156" i="8" s="1"/>
  <c r="C157" i="8"/>
  <c r="B61" i="69"/>
  <c r="E61" i="8" s="1"/>
  <c r="E62" i="8"/>
  <c r="B103" i="70"/>
  <c r="F103" i="8" s="1"/>
  <c r="F107" i="8"/>
  <c r="H147" i="8"/>
  <c r="B146" i="72"/>
  <c r="H146" i="8" s="1"/>
  <c r="B234" i="72"/>
  <c r="H234" i="8" s="1"/>
  <c r="H241" i="8"/>
  <c r="J218" i="8"/>
  <c r="B211" i="74"/>
  <c r="J211" i="8" s="1"/>
  <c r="B16" i="75"/>
  <c r="K17" i="8"/>
  <c r="B33" i="75"/>
  <c r="K33" i="8"/>
  <c r="K37" i="8"/>
  <c r="B84" i="76"/>
  <c r="L88" i="8"/>
  <c r="B224" i="67"/>
  <c r="C224" i="8" s="1"/>
  <c r="B139" i="52"/>
  <c r="B139" i="8" s="1"/>
  <c r="B140" i="8"/>
  <c r="D298" i="8"/>
  <c r="B297" i="68"/>
  <c r="D297" i="8" s="1"/>
  <c r="E304" i="8"/>
  <c r="B48" i="70"/>
  <c r="F49" i="8"/>
  <c r="B125" i="70"/>
  <c r="F125" i="8" s="1"/>
  <c r="F129" i="8"/>
  <c r="J231" i="8"/>
  <c r="B23" i="75"/>
  <c r="K23" i="8" s="1"/>
  <c r="K24" i="8"/>
  <c r="B284" i="75"/>
  <c r="K284" i="8" s="1"/>
  <c r="K285" i="8"/>
  <c r="L48" i="8"/>
  <c r="B47" i="76"/>
  <c r="L47" i="8" s="1"/>
  <c r="K49" i="8"/>
  <c r="B48" i="75"/>
  <c r="K48" i="8" s="1"/>
  <c r="B146" i="76"/>
  <c r="L146" i="8" s="1"/>
  <c r="L150" i="8"/>
  <c r="B84" i="77"/>
  <c r="B83" i="77" s="1"/>
  <c r="M83" i="8" s="1"/>
  <c r="M88" i="8"/>
  <c r="B125" i="77"/>
  <c r="M129" i="8"/>
  <c r="B234" i="67"/>
  <c r="C234" i="8" s="1"/>
  <c r="B277" i="67"/>
  <c r="C277" i="8" s="1"/>
  <c r="B23" i="68"/>
  <c r="D23" i="8" s="1"/>
  <c r="B297" i="70"/>
  <c r="F297" i="8" s="1"/>
  <c r="B297" i="71"/>
  <c r="G297" i="8" s="1"/>
  <c r="B211" i="72"/>
  <c r="H211" i="8" s="1"/>
  <c r="B277" i="72"/>
  <c r="H277" i="8" s="1"/>
  <c r="B234" i="74"/>
  <c r="J234" i="8" s="1"/>
  <c r="B103" i="75"/>
  <c r="K103" i="8" s="1"/>
  <c r="G285" i="8"/>
  <c r="D225" i="8"/>
  <c r="B224" i="68"/>
  <c r="D224" i="8" s="1"/>
  <c r="F235" i="8"/>
  <c r="B234" i="70"/>
  <c r="F234" i="8" s="1"/>
  <c r="F285" i="8"/>
  <c r="B284" i="70"/>
  <c r="F284" i="8" s="1"/>
  <c r="B33" i="72"/>
  <c r="H33" i="8" s="1"/>
  <c r="H37" i="8"/>
  <c r="B125" i="72"/>
  <c r="H125" i="8" s="1"/>
  <c r="H129" i="8"/>
  <c r="B297" i="72"/>
  <c r="H297" i="8" s="1"/>
  <c r="H304" i="8"/>
  <c r="P304" i="8" s="1"/>
  <c r="B33" i="73"/>
  <c r="I33" i="8" s="1"/>
  <c r="I37" i="8"/>
  <c r="B33" i="77"/>
  <c r="M33" i="8" s="1"/>
  <c r="M37" i="8"/>
  <c r="B139" i="77"/>
  <c r="M143" i="8"/>
  <c r="B211" i="70"/>
  <c r="F211" i="8" s="1"/>
  <c r="B224" i="70"/>
  <c r="F224" i="8" s="1"/>
  <c r="B48" i="71"/>
  <c r="B47" i="71" s="1"/>
  <c r="G47" i="8" s="1"/>
  <c r="B61" i="71"/>
  <c r="G61" i="8" s="1"/>
  <c r="B234" i="71"/>
  <c r="G234" i="8" s="1"/>
  <c r="B284" i="72"/>
  <c r="H284" i="8" s="1"/>
  <c r="B125" i="74"/>
  <c r="J125" i="8" s="1"/>
  <c r="B284" i="74"/>
  <c r="J284" i="8" s="1"/>
  <c r="B211" i="76"/>
  <c r="L211" i="8" s="1"/>
  <c r="B224" i="76"/>
  <c r="L224" i="8" s="1"/>
  <c r="B224" i="72"/>
  <c r="H224" i="8" s="1"/>
  <c r="H285" i="8"/>
  <c r="M298" i="8"/>
  <c r="G298" i="8"/>
  <c r="B284" i="67"/>
  <c r="C284" i="8" s="1"/>
  <c r="B297" i="75"/>
  <c r="K297" i="8" s="1"/>
  <c r="J23" i="8"/>
  <c r="F84" i="8"/>
  <c r="M125" i="8"/>
  <c r="C61" i="8"/>
  <c r="D125" i="8"/>
  <c r="B23" i="78"/>
  <c r="S23" i="8" s="1"/>
  <c r="L84" i="8"/>
  <c r="L298" i="8"/>
  <c r="B297" i="76"/>
  <c r="L297" i="8" s="1"/>
  <c r="B103" i="67"/>
  <c r="C103" i="8" s="1"/>
  <c r="B211" i="68"/>
  <c r="D211" i="8" s="1"/>
  <c r="B33" i="71"/>
  <c r="G33" i="8" s="1"/>
  <c r="B284" i="76"/>
  <c r="L284" i="8" s="1"/>
  <c r="B125" i="73"/>
  <c r="I125" i="8" s="1"/>
  <c r="B84" i="75"/>
  <c r="K84" i="8" s="1"/>
  <c r="B277" i="77"/>
  <c r="M277" i="8" s="1"/>
  <c r="B297" i="77"/>
  <c r="M297" i="8" s="1"/>
  <c r="N63" i="8"/>
  <c r="N77" i="8"/>
  <c r="N75" i="8"/>
  <c r="P310" i="8"/>
  <c r="S49" i="8"/>
  <c r="B124" i="70" l="1"/>
  <c r="B48" i="68"/>
  <c r="D48" i="8" s="1"/>
  <c r="B47" i="73"/>
  <c r="I47" i="8" s="1"/>
  <c r="B84" i="73"/>
  <c r="F48" i="8"/>
  <c r="B83" i="70"/>
  <c r="F83" i="8" s="1"/>
  <c r="N300" i="8"/>
  <c r="B61" i="70"/>
  <c r="F61" i="8" s="1"/>
  <c r="B23" i="72"/>
  <c r="H23" i="8" s="1"/>
  <c r="B103" i="72"/>
  <c r="H103" i="8" s="1"/>
  <c r="B103" i="76"/>
  <c r="L103" i="8" s="1"/>
  <c r="B125" i="76"/>
  <c r="L125" i="8" s="1"/>
  <c r="N317" i="8"/>
  <c r="B15" i="74"/>
  <c r="J15" i="8" s="1"/>
  <c r="B83" i="75"/>
  <c r="K83" i="8" s="1"/>
  <c r="B224" i="74"/>
  <c r="J224" i="8" s="1"/>
  <c r="B84" i="71"/>
  <c r="G84" i="8" s="1"/>
  <c r="B277" i="52"/>
  <c r="B277" i="8" s="1"/>
  <c r="N277" i="8" s="1"/>
  <c r="P94" i="8"/>
  <c r="P156" i="8"/>
  <c r="B23" i="77"/>
  <c r="O319" i="8"/>
  <c r="N305" i="8"/>
  <c r="B15" i="75"/>
  <c r="K15" i="8" s="1"/>
  <c r="N226" i="8"/>
  <c r="N184" i="8"/>
  <c r="N130" i="8"/>
  <c r="N108" i="8"/>
  <c r="O93" i="8"/>
  <c r="N93" i="8"/>
  <c r="N76" i="8"/>
  <c r="N64" i="8"/>
  <c r="N56" i="8"/>
  <c r="Q29" i="8"/>
  <c r="N29" i="8"/>
  <c r="O22" i="8"/>
  <c r="N258" i="8"/>
  <c r="N290" i="8"/>
  <c r="N302" i="8"/>
  <c r="B23" i="67"/>
  <c r="C23" i="8" s="1"/>
  <c r="B84" i="67"/>
  <c r="B16" i="68"/>
  <c r="B277" i="70"/>
  <c r="F277" i="8" s="1"/>
  <c r="B23" i="73"/>
  <c r="I23" i="8" s="1"/>
  <c r="B284" i="73"/>
  <c r="I284" i="8" s="1"/>
  <c r="B103" i="74"/>
  <c r="J103" i="8" s="1"/>
  <c r="B277" i="74"/>
  <c r="J277" i="8" s="1"/>
  <c r="N249" i="8"/>
  <c r="N161" i="8"/>
  <c r="B146" i="68"/>
  <c r="D146" i="8" s="1"/>
  <c r="B84" i="74"/>
  <c r="B125" i="75"/>
  <c r="Q77" i="8"/>
  <c r="Q101" i="8"/>
  <c r="Q268" i="8"/>
  <c r="Q197" i="8"/>
  <c r="P91" i="8"/>
  <c r="P110" i="8"/>
  <c r="O163" i="8"/>
  <c r="N235" i="8"/>
  <c r="N253" i="8"/>
  <c r="Q140" i="8"/>
  <c r="Q70" i="8"/>
  <c r="Q22" i="8"/>
  <c r="Q260" i="8"/>
  <c r="Q267" i="8"/>
  <c r="Q290" i="8"/>
  <c r="Q302" i="8"/>
  <c r="Q189" i="8"/>
  <c r="Q133" i="8"/>
  <c r="P192" i="8"/>
  <c r="P30" i="8"/>
  <c r="P172" i="8"/>
  <c r="P17" i="8"/>
  <c r="P166" i="8"/>
  <c r="P58" i="8"/>
  <c r="P78" i="8"/>
  <c r="P72" i="8"/>
  <c r="P57" i="8"/>
  <c r="P31" i="8"/>
  <c r="P281" i="8"/>
  <c r="P278" i="8"/>
  <c r="P275" i="8"/>
  <c r="P246" i="8"/>
  <c r="P182" i="8"/>
  <c r="P117" i="8"/>
  <c r="P111" i="8"/>
  <c r="P266" i="8"/>
  <c r="O248" i="8"/>
  <c r="O129" i="8"/>
  <c r="O98" i="8"/>
  <c r="O149" i="8"/>
  <c r="O300" i="8"/>
  <c r="O201" i="8"/>
  <c r="O90" i="8"/>
  <c r="O79" i="8"/>
  <c r="O67" i="8"/>
  <c r="O60" i="8"/>
  <c r="O39" i="8"/>
  <c r="O32" i="8"/>
  <c r="O26" i="8"/>
  <c r="O19" i="8"/>
  <c r="O256" i="8"/>
  <c r="O272" i="8"/>
  <c r="O40" i="8"/>
  <c r="O119" i="8"/>
  <c r="O227" i="8"/>
  <c r="O44" i="8"/>
  <c r="B103" i="69"/>
  <c r="E103" i="8" s="1"/>
  <c r="O195" i="8"/>
  <c r="B48" i="69"/>
  <c r="B47" i="69" s="1"/>
  <c r="E47" i="8" s="1"/>
  <c r="B84" i="69"/>
  <c r="O204" i="8"/>
  <c r="O58" i="8"/>
  <c r="E49" i="8"/>
  <c r="B297" i="69"/>
  <c r="E297" i="8" s="1"/>
  <c r="O186" i="8"/>
  <c r="R186" i="8"/>
  <c r="B277" i="69"/>
  <c r="E277" i="8" s="1"/>
  <c r="O277" i="8" s="1"/>
  <c r="B16" i="69"/>
  <c r="E16" i="8" s="1"/>
  <c r="E107" i="8"/>
  <c r="O107" i="8" s="1"/>
  <c r="B234" i="69"/>
  <c r="E234" i="8" s="1"/>
  <c r="Q223" i="8"/>
  <c r="P85" i="8"/>
  <c r="P107" i="8"/>
  <c r="Q65" i="8"/>
  <c r="N272" i="8"/>
  <c r="Q317" i="8"/>
  <c r="O37" i="8"/>
  <c r="N199" i="8"/>
  <c r="P218" i="8"/>
  <c r="O34" i="8"/>
  <c r="Q156" i="8"/>
  <c r="N81" i="8"/>
  <c r="P100" i="8"/>
  <c r="N136" i="8"/>
  <c r="N230" i="8"/>
  <c r="O71" i="8"/>
  <c r="O94" i="8"/>
  <c r="O162" i="8"/>
  <c r="O116" i="8"/>
  <c r="O271" i="8"/>
  <c r="P152" i="8"/>
  <c r="P265" i="8"/>
  <c r="Q200" i="8"/>
  <c r="Q250" i="8"/>
  <c r="P239" i="8"/>
  <c r="Q229" i="8"/>
  <c r="P225" i="8"/>
  <c r="Q215" i="8"/>
  <c r="O213" i="8"/>
  <c r="P204" i="8"/>
  <c r="P194" i="8"/>
  <c r="Q193" i="8"/>
  <c r="P190" i="8"/>
  <c r="O183" i="8"/>
  <c r="Q181" i="8"/>
  <c r="Q177" i="8"/>
  <c r="P173" i="8"/>
  <c r="Q170" i="8"/>
  <c r="O167" i="8"/>
  <c r="P157" i="8"/>
  <c r="Q154" i="8"/>
  <c r="Q151" i="8"/>
  <c r="O144" i="8"/>
  <c r="P137" i="8"/>
  <c r="P134" i="8"/>
  <c r="Q131" i="8"/>
  <c r="Q58" i="8"/>
  <c r="O159" i="8"/>
  <c r="O196" i="8"/>
  <c r="P132" i="8"/>
  <c r="Q231" i="8"/>
  <c r="N195" i="8"/>
  <c r="Q176" i="8"/>
  <c r="P163" i="8"/>
  <c r="Q157" i="8"/>
  <c r="N155" i="8"/>
  <c r="O150" i="8"/>
  <c r="R29" i="8"/>
  <c r="T29" i="8" s="1"/>
  <c r="P285" i="8"/>
  <c r="P127" i="8"/>
  <c r="O112" i="8"/>
  <c r="Q109" i="8"/>
  <c r="N109" i="8"/>
  <c r="O106" i="8"/>
  <c r="P96" i="8"/>
  <c r="N95" i="8"/>
  <c r="Q92" i="8"/>
  <c r="P92" i="8"/>
  <c r="O92" i="8"/>
  <c r="P90" i="8"/>
  <c r="O89" i="8"/>
  <c r="N89" i="8"/>
  <c r="Q86" i="8"/>
  <c r="P79" i="8"/>
  <c r="Q78" i="8"/>
  <c r="O78" i="8"/>
  <c r="P76" i="8"/>
  <c r="O76" i="8"/>
  <c r="O75" i="8"/>
  <c r="Q73" i="8"/>
  <c r="P69" i="8"/>
  <c r="Q67" i="8"/>
  <c r="P67" i="8"/>
  <c r="O66" i="8"/>
  <c r="O64" i="8"/>
  <c r="Q63" i="8"/>
  <c r="Q57" i="8"/>
  <c r="O54" i="8"/>
  <c r="P53" i="8"/>
  <c r="O51" i="8"/>
  <c r="P50" i="8"/>
  <c r="P43" i="8"/>
  <c r="P42" i="8"/>
  <c r="Q41" i="8"/>
  <c r="O41" i="8"/>
  <c r="Q38" i="8"/>
  <c r="O38" i="8"/>
  <c r="N38" i="8"/>
  <c r="Q35" i="8"/>
  <c r="P32" i="8"/>
  <c r="O31" i="8"/>
  <c r="Q28" i="8"/>
  <c r="O28" i="8"/>
  <c r="P26" i="8"/>
  <c r="O25" i="8"/>
  <c r="N25" i="8"/>
  <c r="Q21" i="8"/>
  <c r="P21" i="8"/>
  <c r="O257" i="8"/>
  <c r="P256" i="8"/>
  <c r="P254" i="8"/>
  <c r="P253" i="8"/>
  <c r="Q280" i="8"/>
  <c r="O280" i="8"/>
  <c r="Q275" i="8"/>
  <c r="Q273" i="8"/>
  <c r="P267" i="8"/>
  <c r="O266" i="8"/>
  <c r="Q287" i="8"/>
  <c r="Q296" i="8"/>
  <c r="N296" i="8"/>
  <c r="P290" i="8"/>
  <c r="Q288" i="8"/>
  <c r="P299" i="8"/>
  <c r="P306" i="8"/>
  <c r="O306" i="8"/>
  <c r="P305" i="8"/>
  <c r="R301" i="8"/>
  <c r="T301" i="8" s="1"/>
  <c r="O313" i="8"/>
  <c r="O317" i="8"/>
  <c r="P316" i="8"/>
  <c r="O252" i="8"/>
  <c r="P135" i="8"/>
  <c r="O88" i="8"/>
  <c r="P61" i="8"/>
  <c r="P80" i="8"/>
  <c r="P317" i="8"/>
  <c r="P288" i="8"/>
  <c r="P319" i="8"/>
  <c r="N251" i="8"/>
  <c r="R185" i="8"/>
  <c r="T185" i="8" s="1"/>
  <c r="N319" i="8"/>
  <c r="Q251" i="8"/>
  <c r="P286" i="8"/>
  <c r="N192" i="8"/>
  <c r="N221" i="8"/>
  <c r="N242" i="8"/>
  <c r="N133" i="8"/>
  <c r="N79" i="8"/>
  <c r="N261" i="8"/>
  <c r="N97" i="8"/>
  <c r="N216" i="8"/>
  <c r="N118" i="8"/>
  <c r="N106" i="8"/>
  <c r="N252" i="8"/>
  <c r="N310" i="8"/>
  <c r="O147" i="8"/>
  <c r="N121" i="8"/>
  <c r="Q121" i="8"/>
  <c r="N120" i="8"/>
  <c r="Q122" i="8"/>
  <c r="N82" i="8"/>
  <c r="O120" i="8"/>
  <c r="N210" i="8"/>
  <c r="P153" i="8"/>
  <c r="O314" i="8"/>
  <c r="N243" i="8"/>
  <c r="N237" i="8"/>
  <c r="O110" i="8"/>
  <c r="N318" i="8"/>
  <c r="O74" i="8"/>
  <c r="O104" i="8"/>
  <c r="O143" i="8"/>
  <c r="O165" i="8"/>
  <c r="O214" i="8"/>
  <c r="O243" i="8"/>
  <c r="O46" i="8"/>
  <c r="R136" i="8"/>
  <c r="T136" i="8" s="1"/>
  <c r="O153" i="8"/>
  <c r="O279" i="8"/>
  <c r="P46" i="8"/>
  <c r="P71" i="8"/>
  <c r="P200" i="8"/>
  <c r="P220" i="8"/>
  <c r="P240" i="8"/>
  <c r="P268" i="8"/>
  <c r="P300" i="8"/>
  <c r="P196" i="8"/>
  <c r="P318" i="8"/>
  <c r="P62" i="8"/>
  <c r="P185" i="8"/>
  <c r="P228" i="8"/>
  <c r="Q62" i="8"/>
  <c r="P129" i="8"/>
  <c r="O121" i="8"/>
  <c r="P44" i="8"/>
  <c r="N168" i="8"/>
  <c r="O55" i="8"/>
  <c r="P165" i="8"/>
  <c r="P289" i="8"/>
  <c r="P52" i="8"/>
  <c r="Q247" i="8"/>
  <c r="Q300" i="8"/>
  <c r="P203" i="8"/>
  <c r="Q202" i="8"/>
  <c r="N202" i="8"/>
  <c r="O198" i="8"/>
  <c r="Q40" i="8"/>
  <c r="Q185" i="8"/>
  <c r="Q282" i="8"/>
  <c r="Q252" i="8"/>
  <c r="Q279" i="8"/>
  <c r="Q168" i="8"/>
  <c r="O250" i="8"/>
  <c r="P249" i="8"/>
  <c r="Q248" i="8"/>
  <c r="P245" i="8"/>
  <c r="P236" i="8"/>
  <c r="Q235" i="8"/>
  <c r="P232" i="8"/>
  <c r="P226" i="8"/>
  <c r="O226" i="8"/>
  <c r="P222" i="8"/>
  <c r="O219" i="8"/>
  <c r="P216" i="8"/>
  <c r="Q213" i="8"/>
  <c r="O212" i="8"/>
  <c r="O208" i="8"/>
  <c r="O207" i="8"/>
  <c r="Q206" i="8"/>
  <c r="P202" i="8"/>
  <c r="Q198" i="8"/>
  <c r="N194" i="8"/>
  <c r="O189" i="8"/>
  <c r="P188" i="8"/>
  <c r="Q184" i="8"/>
  <c r="N178" i="8"/>
  <c r="O177" i="8"/>
  <c r="Q173" i="8"/>
  <c r="N173" i="8"/>
  <c r="O170" i="8"/>
  <c r="Q167" i="8"/>
  <c r="P167" i="8"/>
  <c r="Q164" i="8"/>
  <c r="Q161" i="8"/>
  <c r="P158" i="8"/>
  <c r="Q155" i="8"/>
  <c r="P155" i="8"/>
  <c r="O154" i="8"/>
  <c r="N154" i="8"/>
  <c r="P151" i="8"/>
  <c r="O151" i="8"/>
  <c r="P148" i="8"/>
  <c r="O148" i="8"/>
  <c r="Q147" i="8"/>
  <c r="P145" i="8"/>
  <c r="Q144" i="8"/>
  <c r="O141" i="8"/>
  <c r="Q138" i="8"/>
  <c r="O137" i="8"/>
  <c r="Q134" i="8"/>
  <c r="N134" i="8"/>
  <c r="O133" i="8"/>
  <c r="P131" i="8"/>
  <c r="O131" i="8"/>
  <c r="Q130" i="8"/>
  <c r="P130" i="8"/>
  <c r="Q128" i="8"/>
  <c r="Q127" i="8"/>
  <c r="Q118" i="8"/>
  <c r="P118" i="8"/>
  <c r="O117" i="8"/>
  <c r="N117" i="8"/>
  <c r="Q114" i="8"/>
  <c r="P114" i="8"/>
  <c r="Q112" i="8"/>
  <c r="P112" i="8"/>
  <c r="O109" i="8"/>
  <c r="Q108" i="8"/>
  <c r="P108" i="8"/>
  <c r="O108" i="8"/>
  <c r="Q106" i="8"/>
  <c r="P106" i="8"/>
  <c r="Q105" i="8"/>
  <c r="O105" i="8"/>
  <c r="P102" i="8"/>
  <c r="P99" i="8"/>
  <c r="O99" i="8"/>
  <c r="Q96" i="8"/>
  <c r="O95" i="8"/>
  <c r="P93" i="8"/>
  <c r="Q241" i="8"/>
  <c r="O192" i="8"/>
  <c r="P27" i="8"/>
  <c r="Q243" i="8"/>
  <c r="Q225" i="8"/>
  <c r="R213" i="8"/>
  <c r="T213" i="8" s="1"/>
  <c r="P212" i="8"/>
  <c r="R182" i="8"/>
  <c r="T182" i="8" s="1"/>
  <c r="Q132" i="8"/>
  <c r="R31" i="8"/>
  <c r="T31" i="8" s="1"/>
  <c r="O171" i="8"/>
  <c r="O244" i="8"/>
  <c r="N37" i="8"/>
  <c r="N71" i="8"/>
  <c r="N241" i="8"/>
  <c r="O180" i="8"/>
  <c r="O298" i="8"/>
  <c r="R113" i="8"/>
  <c r="P140" i="8"/>
  <c r="P160" i="8"/>
  <c r="Q234" i="8"/>
  <c r="Q312" i="8"/>
  <c r="Q309" i="8"/>
  <c r="N227" i="8"/>
  <c r="N151" i="8"/>
  <c r="N92" i="8"/>
  <c r="N45" i="8"/>
  <c r="R26" i="8"/>
  <c r="T26" i="8" s="1"/>
  <c r="Q88" i="8"/>
  <c r="O122" i="8"/>
  <c r="P214" i="8"/>
  <c r="P176" i="8"/>
  <c r="N145" i="8"/>
  <c r="N115" i="8"/>
  <c r="O297" i="8"/>
  <c r="R184" i="8"/>
  <c r="T184" i="8" s="1"/>
  <c r="O113" i="8"/>
  <c r="P146" i="8"/>
  <c r="Q107" i="8"/>
  <c r="Q81" i="8"/>
  <c r="Q142" i="8"/>
  <c r="R120" i="8"/>
  <c r="T120" i="8" s="1"/>
  <c r="Q143" i="8"/>
  <c r="O304" i="8"/>
  <c r="O289" i="8"/>
  <c r="R313" i="8"/>
  <c r="T313" i="8" s="1"/>
  <c r="R40" i="8"/>
  <c r="T40" i="8" s="1"/>
  <c r="P33" i="8"/>
  <c r="P231" i="8"/>
  <c r="P34" i="8"/>
  <c r="O30" i="8"/>
  <c r="O85" i="8"/>
  <c r="P68" i="8"/>
  <c r="O278" i="8"/>
  <c r="Q104" i="8"/>
  <c r="R161" i="8"/>
  <c r="T161" i="8" s="1"/>
  <c r="R75" i="8"/>
  <c r="T75" i="8" s="1"/>
  <c r="R69" i="8"/>
  <c r="T69" i="8" s="1"/>
  <c r="O42" i="8"/>
  <c r="R42" i="8"/>
  <c r="T42" i="8" s="1"/>
  <c r="R275" i="8"/>
  <c r="T275" i="8" s="1"/>
  <c r="R299" i="8"/>
  <c r="T299" i="8" s="1"/>
  <c r="O299" i="8"/>
  <c r="R306" i="8"/>
  <c r="T306" i="8" s="1"/>
  <c r="R160" i="8"/>
  <c r="T160" i="8" s="1"/>
  <c r="N180" i="8"/>
  <c r="N248" i="8"/>
  <c r="N298" i="8"/>
  <c r="R97" i="8"/>
  <c r="R189" i="8"/>
  <c r="T189" i="8" s="1"/>
  <c r="Q318" i="8"/>
  <c r="P143" i="8"/>
  <c r="N159" i="8"/>
  <c r="P238" i="8"/>
  <c r="R108" i="8"/>
  <c r="T108" i="8" s="1"/>
  <c r="N182" i="8"/>
  <c r="P65" i="8"/>
  <c r="N200" i="8"/>
  <c r="O59" i="8"/>
  <c r="O175" i="8"/>
  <c r="P59" i="8"/>
  <c r="P252" i="8"/>
  <c r="N172" i="8"/>
  <c r="R172" i="8"/>
  <c r="T172" i="8" s="1"/>
  <c r="N91" i="8"/>
  <c r="R208" i="8"/>
  <c r="T208" i="8" s="1"/>
  <c r="N175" i="8"/>
  <c r="R122" i="8"/>
  <c r="T122" i="8" s="1"/>
  <c r="R117" i="8"/>
  <c r="T117" i="8" s="1"/>
  <c r="N105" i="8"/>
  <c r="R98" i="8"/>
  <c r="T98" i="8" s="1"/>
  <c r="N78" i="8"/>
  <c r="N66" i="8"/>
  <c r="N59" i="8"/>
  <c r="N53" i="8"/>
  <c r="N39" i="8"/>
  <c r="N26" i="8"/>
  <c r="O62" i="8"/>
  <c r="O288" i="8"/>
  <c r="O223" i="8"/>
  <c r="O318" i="8"/>
  <c r="O240" i="8"/>
  <c r="Q136" i="8"/>
  <c r="O101" i="8"/>
  <c r="O135" i="8"/>
  <c r="N110" i="8"/>
  <c r="R162" i="8"/>
  <c r="T162" i="8" s="1"/>
  <c r="N94" i="8"/>
  <c r="Q76" i="8"/>
  <c r="P63" i="8"/>
  <c r="O57" i="8"/>
  <c r="Q54" i="8"/>
  <c r="P29" i="8"/>
  <c r="N28" i="8"/>
  <c r="O254" i="8"/>
  <c r="Q283" i="8"/>
  <c r="P280" i="8"/>
  <c r="O274" i="8"/>
  <c r="P273" i="8"/>
  <c r="Q272" i="8"/>
  <c r="P296" i="8"/>
  <c r="O296" i="8"/>
  <c r="O290" i="8"/>
  <c r="O302" i="8"/>
  <c r="Q301" i="8"/>
  <c r="Q313" i="8"/>
  <c r="O316" i="8"/>
  <c r="N163" i="8"/>
  <c r="O100" i="8"/>
  <c r="N286" i="8"/>
  <c r="Q30" i="8"/>
  <c r="Q171" i="8"/>
  <c r="Q205" i="8"/>
  <c r="O246" i="8"/>
  <c r="P242" i="8"/>
  <c r="O239" i="8"/>
  <c r="P215" i="8"/>
  <c r="O209" i="8"/>
  <c r="P208" i="8"/>
  <c r="Q207" i="8"/>
  <c r="O203" i="8"/>
  <c r="Q201" i="8"/>
  <c r="Q199" i="8"/>
  <c r="P197" i="8"/>
  <c r="P195" i="8"/>
  <c r="Q194" i="8"/>
  <c r="O194" i="8"/>
  <c r="P193" i="8"/>
  <c r="Q190" i="8"/>
  <c r="P189" i="8"/>
  <c r="O184" i="8"/>
  <c r="P183" i="8"/>
  <c r="O182" i="8"/>
  <c r="P181" i="8"/>
  <c r="Q180" i="8"/>
  <c r="Q178" i="8"/>
  <c r="O178" i="8"/>
  <c r="P177" i="8"/>
  <c r="P174" i="8"/>
  <c r="O173" i="8"/>
  <c r="P169" i="8"/>
  <c r="O134" i="8"/>
  <c r="P133" i="8"/>
  <c r="R235" i="8"/>
  <c r="T235" i="8" s="1"/>
  <c r="Q103" i="8"/>
  <c r="Q278" i="8"/>
  <c r="N85" i="8"/>
  <c r="O228" i="8"/>
  <c r="P81" i="8"/>
  <c r="P122" i="8"/>
  <c r="P230" i="8"/>
  <c r="Q227" i="8"/>
  <c r="R243" i="8"/>
  <c r="T243" i="8" s="1"/>
  <c r="Q87" i="8"/>
  <c r="O87" i="8"/>
  <c r="P86" i="8"/>
  <c r="Q79" i="8"/>
  <c r="P73" i="8"/>
  <c r="O70" i="8"/>
  <c r="P60" i="8"/>
  <c r="O56" i="8"/>
  <c r="P54" i="8"/>
  <c r="Q53" i="8"/>
  <c r="P41" i="8"/>
  <c r="Q39" i="8"/>
  <c r="N36" i="8"/>
  <c r="O35" i="8"/>
  <c r="Q31" i="8"/>
  <c r="N31" i="8"/>
  <c r="O29" i="8"/>
  <c r="P28" i="8"/>
  <c r="Q26" i="8"/>
  <c r="O21" i="8"/>
  <c r="P19" i="8"/>
  <c r="Q18" i="8"/>
  <c r="O258" i="8"/>
  <c r="P257" i="8"/>
  <c r="Q256" i="8"/>
  <c r="N254" i="8"/>
  <c r="O253" i="8"/>
  <c r="P262" i="8"/>
  <c r="P283" i="8"/>
  <c r="O273" i="8"/>
  <c r="P272" i="8"/>
  <c r="Q269" i="8"/>
  <c r="Q306" i="8"/>
  <c r="Q160" i="8"/>
  <c r="Q188" i="8"/>
  <c r="P251" i="8"/>
  <c r="Q259" i="8"/>
  <c r="R105" i="8"/>
  <c r="T105" i="8" s="1"/>
  <c r="N265" i="8"/>
  <c r="R39" i="8"/>
  <c r="T39" i="8" s="1"/>
  <c r="R317" i="8"/>
  <c r="T317" i="8" s="1"/>
  <c r="R298" i="8"/>
  <c r="T298" i="8" s="1"/>
  <c r="R188" i="8"/>
  <c r="T188" i="8" s="1"/>
  <c r="N158" i="8"/>
  <c r="N131" i="8"/>
  <c r="N308" i="8"/>
  <c r="N267" i="8"/>
  <c r="U264" i="8"/>
  <c r="O267" i="8"/>
  <c r="N264" i="8"/>
  <c r="B84" i="52"/>
  <c r="B83" i="52" s="1"/>
  <c r="B83" i="8" s="1"/>
  <c r="M84" i="8"/>
  <c r="Q84" i="8" s="1"/>
  <c r="G48" i="8"/>
  <c r="Q120" i="8"/>
  <c r="O81" i="8"/>
  <c r="R252" i="8"/>
  <c r="T252" i="8" s="1"/>
  <c r="O52" i="8"/>
  <c r="R74" i="8"/>
  <c r="T74" i="8" s="1"/>
  <c r="O185" i="8"/>
  <c r="O65" i="8"/>
  <c r="B124" i="72"/>
  <c r="B124" i="78"/>
  <c r="S124" i="8" s="1"/>
  <c r="Q33" i="8"/>
  <c r="B15" i="76"/>
  <c r="L15" i="8" s="1"/>
  <c r="Q233" i="8"/>
  <c r="O45" i="8"/>
  <c r="O168" i="8"/>
  <c r="P126" i="8"/>
  <c r="R230" i="8"/>
  <c r="T230" i="8" s="1"/>
  <c r="P314" i="8"/>
  <c r="Q59" i="8"/>
  <c r="R30" i="8"/>
  <c r="T30" i="8" s="1"/>
  <c r="Q179" i="8"/>
  <c r="Q49" i="8"/>
  <c r="Q249" i="8"/>
  <c r="P244" i="8"/>
  <c r="Q236" i="8"/>
  <c r="P229" i="8"/>
  <c r="P219" i="8"/>
  <c r="P213" i="8"/>
  <c r="O199" i="8"/>
  <c r="P198" i="8"/>
  <c r="R180" i="8"/>
  <c r="R167" i="8"/>
  <c r="T167" i="8" s="1"/>
  <c r="P115" i="8"/>
  <c r="R106" i="8"/>
  <c r="T106" i="8" s="1"/>
  <c r="Q99" i="8"/>
  <c r="R79" i="8"/>
  <c r="T79" i="8" s="1"/>
  <c r="R78" i="8"/>
  <c r="T78" i="8" s="1"/>
  <c r="Q254" i="8"/>
  <c r="Q261" i="8"/>
  <c r="P303" i="8"/>
  <c r="N107" i="8"/>
  <c r="Q245" i="8"/>
  <c r="P142" i="8"/>
  <c r="P210" i="8"/>
  <c r="P121" i="8"/>
  <c r="P45" i="8"/>
  <c r="Q126" i="8"/>
  <c r="P223" i="8"/>
  <c r="O136" i="8"/>
  <c r="R279" i="8"/>
  <c r="T279" i="8" s="1"/>
  <c r="O82" i="8"/>
  <c r="O247" i="8"/>
  <c r="O265" i="8"/>
  <c r="P136" i="8"/>
  <c r="P162" i="8"/>
  <c r="P205" i="8"/>
  <c r="P159" i="8"/>
  <c r="P237" i="8"/>
  <c r="Q191" i="8"/>
  <c r="Q289" i="8"/>
  <c r="P247" i="8"/>
  <c r="O238" i="8"/>
  <c r="O232" i="8"/>
  <c r="O229" i="8"/>
  <c r="N213" i="8"/>
  <c r="Q204" i="8"/>
  <c r="P199" i="8"/>
  <c r="O197" i="8"/>
  <c r="Q195" i="8"/>
  <c r="O193" i="8"/>
  <c r="P184" i="8"/>
  <c r="Q183" i="8"/>
  <c r="N183" i="8"/>
  <c r="P180" i="8"/>
  <c r="O176" i="8"/>
  <c r="Q174" i="8"/>
  <c r="O166" i="8"/>
  <c r="P161" i="8"/>
  <c r="O158" i="8"/>
  <c r="O157" i="8"/>
  <c r="P119" i="8"/>
  <c r="O115" i="8"/>
  <c r="O102" i="8"/>
  <c r="Q98" i="8"/>
  <c r="Q90" i="8"/>
  <c r="O69" i="8"/>
  <c r="N67" i="8"/>
  <c r="Q66" i="8"/>
  <c r="Q51" i="8"/>
  <c r="P39" i="8"/>
  <c r="Q25" i="8"/>
  <c r="Q255" i="8"/>
  <c r="O262" i="8"/>
  <c r="P261" i="8"/>
  <c r="N275" i="8"/>
  <c r="O305" i="8"/>
  <c r="O156" i="8"/>
  <c r="P298" i="8"/>
  <c r="O220" i="8"/>
  <c r="Q85" i="8"/>
  <c r="R71" i="8"/>
  <c r="T71" i="8" s="1"/>
  <c r="N225" i="8"/>
  <c r="O217" i="8"/>
  <c r="R207" i="8"/>
  <c r="T207" i="8" s="1"/>
  <c r="R190" i="8"/>
  <c r="T190" i="8" s="1"/>
  <c r="P170" i="8"/>
  <c r="R163" i="8"/>
  <c r="T163" i="8" s="1"/>
  <c r="Q148" i="8"/>
  <c r="R148" i="8"/>
  <c r="T148" i="8" s="1"/>
  <c r="Q145" i="8"/>
  <c r="O127" i="8"/>
  <c r="O111" i="8"/>
  <c r="P109" i="8"/>
  <c r="O96" i="8"/>
  <c r="P95" i="8"/>
  <c r="Q93" i="8"/>
  <c r="P75" i="8"/>
  <c r="Q60" i="8"/>
  <c r="O50" i="8"/>
  <c r="O36" i="8"/>
  <c r="P35" i="8"/>
  <c r="Q32" i="8"/>
  <c r="Q19" i="8"/>
  <c r="R253" i="8"/>
  <c r="R260" i="8"/>
  <c r="T260" i="8" s="1"/>
  <c r="R272" i="8"/>
  <c r="T272" i="8" s="1"/>
  <c r="R288" i="8"/>
  <c r="T288" i="8" s="1"/>
  <c r="O210" i="8"/>
  <c r="O268" i="8"/>
  <c r="Q52" i="8"/>
  <c r="O301" i="8"/>
  <c r="Q172" i="8"/>
  <c r="Q44" i="8"/>
  <c r="R44" i="8"/>
  <c r="T44" i="8" s="1"/>
  <c r="Q45" i="8"/>
  <c r="P101" i="8"/>
  <c r="P233" i="8"/>
  <c r="O230" i="8"/>
  <c r="N279" i="8"/>
  <c r="O237" i="8"/>
  <c r="P168" i="8"/>
  <c r="P217" i="8"/>
  <c r="P116" i="8"/>
  <c r="R214" i="8"/>
  <c r="T214" i="8" s="1"/>
  <c r="P104" i="8"/>
  <c r="P149" i="8"/>
  <c r="P227" i="8"/>
  <c r="Q34" i="8"/>
  <c r="Q91" i="8"/>
  <c r="Q162" i="8"/>
  <c r="Q82" i="8"/>
  <c r="Q175" i="8"/>
  <c r="Q220" i="8"/>
  <c r="Q271" i="8"/>
  <c r="Q46" i="8"/>
  <c r="O249" i="8"/>
  <c r="R248" i="8"/>
  <c r="T248" i="8" s="1"/>
  <c r="N246" i="8"/>
  <c r="Q242" i="8"/>
  <c r="N239" i="8"/>
  <c r="Q238" i="8"/>
  <c r="R237" i="8"/>
  <c r="T237" i="8" s="1"/>
  <c r="O236" i="8"/>
  <c r="P235" i="8"/>
  <c r="Q232" i="8"/>
  <c r="N232" i="8"/>
  <c r="O231" i="8"/>
  <c r="Q226" i="8"/>
  <c r="R226" i="8"/>
  <c r="T226" i="8" s="1"/>
  <c r="O222" i="8"/>
  <c r="Q219" i="8"/>
  <c r="O218" i="8"/>
  <c r="O216" i="8"/>
  <c r="Q212" i="8"/>
  <c r="P209" i="8"/>
  <c r="P207" i="8"/>
  <c r="Q203" i="8"/>
  <c r="P201" i="8"/>
  <c r="N181" i="8"/>
  <c r="P178" i="8"/>
  <c r="O174" i="8"/>
  <c r="P164" i="8"/>
  <c r="O145" i="8"/>
  <c r="P144" i="8"/>
  <c r="Q141" i="8"/>
  <c r="P138" i="8"/>
  <c r="Q137" i="8"/>
  <c r="O128" i="8"/>
  <c r="Q119" i="8"/>
  <c r="Q117" i="8"/>
  <c r="Q95" i="8"/>
  <c r="P89" i="8"/>
  <c r="Q75" i="8"/>
  <c r="O73" i="8"/>
  <c r="P64" i="8"/>
  <c r="Q56" i="8"/>
  <c r="Q42" i="8"/>
  <c r="N42" i="8"/>
  <c r="P36" i="8"/>
  <c r="P22" i="8"/>
  <c r="P18" i="8"/>
  <c r="Q258" i="8"/>
  <c r="Q253" i="8"/>
  <c r="O283" i="8"/>
  <c r="P274" i="8"/>
  <c r="P269" i="8"/>
  <c r="O287" i="8"/>
  <c r="Q299" i="8"/>
  <c r="Q303" i="8"/>
  <c r="P49" i="8"/>
  <c r="Q55" i="8"/>
  <c r="Q149" i="8"/>
  <c r="B16" i="78"/>
  <c r="B15" i="78" s="1"/>
  <c r="S15" i="8" s="1"/>
  <c r="P264" i="8"/>
  <c r="Q298" i="8"/>
  <c r="B157" i="8"/>
  <c r="R157" i="8" s="1"/>
  <c r="T157" i="8" s="1"/>
  <c r="B33" i="67"/>
  <c r="C33" i="8" s="1"/>
  <c r="N33" i="8" s="1"/>
  <c r="N197" i="8"/>
  <c r="B61" i="68"/>
  <c r="B234" i="68"/>
  <c r="D234" i="8" s="1"/>
  <c r="B33" i="69"/>
  <c r="E33" i="8" s="1"/>
  <c r="O33" i="8" s="1"/>
  <c r="B139" i="69"/>
  <c r="E139" i="8" s="1"/>
  <c r="O139" i="8" s="1"/>
  <c r="B224" i="69"/>
  <c r="E224" i="8" s="1"/>
  <c r="O224" i="8" s="1"/>
  <c r="B103" i="71"/>
  <c r="P77" i="8"/>
  <c r="P206" i="8"/>
  <c r="B211" i="75"/>
  <c r="K211" i="8" s="1"/>
  <c r="Q211" i="8" s="1"/>
  <c r="B224" i="75"/>
  <c r="K224" i="8" s="1"/>
  <c r="Q224" i="8" s="1"/>
  <c r="B277" i="75"/>
  <c r="K277" i="8" s="1"/>
  <c r="Q277" i="8" s="1"/>
  <c r="Q221" i="8"/>
  <c r="O309" i="8"/>
  <c r="N149" i="8"/>
  <c r="O259" i="8"/>
  <c r="B48" i="67"/>
  <c r="N55" i="8"/>
  <c r="B23" i="69"/>
  <c r="E23" i="8" s="1"/>
  <c r="O97" i="8"/>
  <c r="B48" i="72"/>
  <c r="P150" i="8"/>
  <c r="P97" i="8"/>
  <c r="Q100" i="8"/>
  <c r="Q163" i="8"/>
  <c r="N223" i="8"/>
  <c r="N190" i="8"/>
  <c r="N167" i="8"/>
  <c r="R141" i="8"/>
  <c r="T141" i="8" s="1"/>
  <c r="R114" i="8"/>
  <c r="T114" i="8" s="1"/>
  <c r="R89" i="8"/>
  <c r="T89" i="8" s="1"/>
  <c r="R36" i="8"/>
  <c r="T36" i="8" s="1"/>
  <c r="R283" i="8"/>
  <c r="T283" i="8" s="1"/>
  <c r="N40" i="8"/>
  <c r="R65" i="8"/>
  <c r="T65" i="8" s="1"/>
  <c r="N74" i="8"/>
  <c r="R94" i="8"/>
  <c r="T94" i="8" s="1"/>
  <c r="N147" i="8"/>
  <c r="N160" i="8"/>
  <c r="N169" i="8"/>
  <c r="R238" i="8"/>
  <c r="T238" i="8" s="1"/>
  <c r="N301" i="8"/>
  <c r="R245" i="8"/>
  <c r="R166" i="8"/>
  <c r="T166" i="8" s="1"/>
  <c r="N103" i="8"/>
  <c r="O17" i="8"/>
  <c r="O77" i="8"/>
  <c r="O132" i="8"/>
  <c r="O241" i="8"/>
  <c r="O160" i="8"/>
  <c r="P88" i="8"/>
  <c r="R37" i="8"/>
  <c r="T37" i="8" s="1"/>
  <c r="B139" i="74"/>
  <c r="J139" i="8" s="1"/>
  <c r="Q116" i="8"/>
  <c r="Q218" i="8"/>
  <c r="Q228" i="8"/>
  <c r="R307" i="8"/>
  <c r="T307" i="8" s="1"/>
  <c r="N236" i="8"/>
  <c r="N189" i="8"/>
  <c r="N177" i="8"/>
  <c r="R99" i="8"/>
  <c r="T99" i="8" s="1"/>
  <c r="R87" i="8"/>
  <c r="T87" i="8" s="1"/>
  <c r="N73" i="8"/>
  <c r="N60" i="8"/>
  <c r="N46" i="8"/>
  <c r="N274" i="8"/>
  <c r="R282" i="8"/>
  <c r="T282" i="8" s="1"/>
  <c r="R305" i="8"/>
  <c r="T305" i="8" s="1"/>
  <c r="N299" i="8"/>
  <c r="R316" i="8"/>
  <c r="N259" i="8"/>
  <c r="R286" i="8"/>
  <c r="T286" i="8" s="1"/>
  <c r="B84" i="78"/>
  <c r="S84" i="8" s="1"/>
  <c r="N126" i="8"/>
  <c r="N215" i="8"/>
  <c r="B211" i="67"/>
  <c r="C211" i="8" s="1"/>
  <c r="N211" i="8" s="1"/>
  <c r="N307" i="8"/>
  <c r="O80" i="8"/>
  <c r="O126" i="8"/>
  <c r="B211" i="69"/>
  <c r="E211" i="8" s="1"/>
  <c r="O211" i="8" s="1"/>
  <c r="B146" i="70"/>
  <c r="F146" i="8" s="1"/>
  <c r="B84" i="72"/>
  <c r="B61" i="75"/>
  <c r="Q74" i="8"/>
  <c r="Q319" i="8"/>
  <c r="N309" i="8"/>
  <c r="N260" i="8"/>
  <c r="N233" i="8"/>
  <c r="N208" i="8"/>
  <c r="N193" i="8"/>
  <c r="N185" i="8"/>
  <c r="N170" i="8"/>
  <c r="N122" i="8"/>
  <c r="N98" i="8"/>
  <c r="R59" i="8"/>
  <c r="T59" i="8" s="1"/>
  <c r="O251" i="8"/>
  <c r="Q286" i="8"/>
  <c r="N247" i="8"/>
  <c r="R247" i="8"/>
  <c r="T247" i="8" s="1"/>
  <c r="O202" i="8"/>
  <c r="R202" i="8"/>
  <c r="T202" i="8" s="1"/>
  <c r="R220" i="8"/>
  <c r="T220" i="8" s="1"/>
  <c r="N220" i="8"/>
  <c r="R198" i="8"/>
  <c r="T198" i="8" s="1"/>
  <c r="N198" i="8"/>
  <c r="R137" i="8"/>
  <c r="T137" i="8" s="1"/>
  <c r="N137" i="8"/>
  <c r="R72" i="8"/>
  <c r="T72" i="8" s="1"/>
  <c r="N72" i="8"/>
  <c r="R269" i="8"/>
  <c r="T269" i="8" s="1"/>
  <c r="N269" i="8"/>
  <c r="R273" i="8"/>
  <c r="T273" i="8" s="1"/>
  <c r="N273" i="8"/>
  <c r="N280" i="8"/>
  <c r="R280" i="8"/>
  <c r="T280" i="8" s="1"/>
  <c r="R303" i="8"/>
  <c r="T303" i="8" s="1"/>
  <c r="N303" i="8"/>
  <c r="R209" i="8"/>
  <c r="T209" i="8" s="1"/>
  <c r="R152" i="8"/>
  <c r="T152" i="8" s="1"/>
  <c r="R183" i="8"/>
  <c r="T183" i="8" s="1"/>
  <c r="R197" i="8"/>
  <c r="T197" i="8" s="1"/>
  <c r="R212" i="8"/>
  <c r="T212" i="8" s="1"/>
  <c r="R192" i="8"/>
  <c r="T192" i="8" s="1"/>
  <c r="R265" i="8"/>
  <c r="T265" i="8" s="1"/>
  <c r="N188" i="8"/>
  <c r="R149" i="8"/>
  <c r="T149" i="8" s="1"/>
  <c r="Q71" i="8"/>
  <c r="R116" i="8"/>
  <c r="Q281" i="8"/>
  <c r="R81" i="8"/>
  <c r="T81" i="8" s="1"/>
  <c r="R179" i="8"/>
  <c r="T179" i="8" s="1"/>
  <c r="O20" i="8"/>
  <c r="O152" i="8"/>
  <c r="P74" i="8"/>
  <c r="P171" i="8"/>
  <c r="Q165" i="8"/>
  <c r="Q214" i="8"/>
  <c r="Q265" i="8"/>
  <c r="P248" i="8"/>
  <c r="Q246" i="8"/>
  <c r="O242" i="8"/>
  <c r="Q239" i="8"/>
  <c r="R239" i="8"/>
  <c r="T239" i="8" s="1"/>
  <c r="Q222" i="8"/>
  <c r="Q216" i="8"/>
  <c r="O215" i="8"/>
  <c r="Q209" i="8"/>
  <c r="N209" i="8"/>
  <c r="R203" i="8"/>
  <c r="T203" i="8" s="1"/>
  <c r="R133" i="8"/>
  <c r="T133" i="8" s="1"/>
  <c r="R95" i="8"/>
  <c r="T95" i="8" s="1"/>
  <c r="R56" i="8"/>
  <c r="T56" i="8" s="1"/>
  <c r="R267" i="8"/>
  <c r="T267" i="8" s="1"/>
  <c r="O310" i="8"/>
  <c r="P309" i="8"/>
  <c r="R256" i="8"/>
  <c r="T256" i="8" s="1"/>
  <c r="R175" i="8"/>
  <c r="T175" i="8" s="1"/>
  <c r="N164" i="8"/>
  <c r="R151" i="8"/>
  <c r="T151" i="8" s="1"/>
  <c r="R45" i="8"/>
  <c r="T45" i="8" s="1"/>
  <c r="N32" i="8"/>
  <c r="R319" i="8"/>
  <c r="T319" i="8" s="1"/>
  <c r="O286" i="8"/>
  <c r="N250" i="8"/>
  <c r="R250" i="8"/>
  <c r="T250" i="8" s="1"/>
  <c r="N257" i="8"/>
  <c r="R257" i="8"/>
  <c r="T257" i="8" s="1"/>
  <c r="N21" i="8"/>
  <c r="R21" i="8"/>
  <c r="T21" i="8" s="1"/>
  <c r="R204" i="8"/>
  <c r="T204" i="8" s="1"/>
  <c r="N204" i="8"/>
  <c r="N101" i="8"/>
  <c r="R101" i="8"/>
  <c r="T101" i="8" s="1"/>
  <c r="N171" i="8"/>
  <c r="R171" i="8"/>
  <c r="T171" i="8" s="1"/>
  <c r="R205" i="8"/>
  <c r="T205" i="8" s="1"/>
  <c r="N205" i="8"/>
  <c r="O130" i="8"/>
  <c r="R130" i="8"/>
  <c r="T130" i="8" s="1"/>
  <c r="O63" i="8"/>
  <c r="R63" i="8"/>
  <c r="T63" i="8" s="1"/>
  <c r="R53" i="8"/>
  <c r="T53" i="8" s="1"/>
  <c r="O53" i="8"/>
  <c r="R261" i="8"/>
  <c r="T261" i="8" s="1"/>
  <c r="O261" i="8"/>
  <c r="N102" i="8"/>
  <c r="R102" i="8"/>
  <c r="T102" i="8" s="1"/>
  <c r="N41" i="8"/>
  <c r="R41" i="8"/>
  <c r="T41" i="8" s="1"/>
  <c r="N262" i="8"/>
  <c r="R262" i="8"/>
  <c r="T262" i="8" s="1"/>
  <c r="N266" i="8"/>
  <c r="R266" i="8"/>
  <c r="T266" i="8" s="1"/>
  <c r="R24" i="8"/>
  <c r="T24" i="8" s="1"/>
  <c r="N24" i="8"/>
  <c r="R43" i="8"/>
  <c r="T43" i="8" s="1"/>
  <c r="N43" i="8"/>
  <c r="N68" i="8"/>
  <c r="R68" i="8"/>
  <c r="T68" i="8" s="1"/>
  <c r="N88" i="8"/>
  <c r="R88" i="8"/>
  <c r="T88" i="8" s="1"/>
  <c r="R231" i="8"/>
  <c r="T231" i="8" s="1"/>
  <c r="N231" i="8"/>
  <c r="N52" i="8"/>
  <c r="R52" i="8"/>
  <c r="T52" i="8" s="1"/>
  <c r="N135" i="8"/>
  <c r="R135" i="8"/>
  <c r="T135" i="8" s="1"/>
  <c r="R199" i="8"/>
  <c r="T199" i="8" s="1"/>
  <c r="R228" i="8"/>
  <c r="T228" i="8" s="1"/>
  <c r="R46" i="8"/>
  <c r="T46" i="8" s="1"/>
  <c r="Q80" i="8"/>
  <c r="R200" i="8"/>
  <c r="T200" i="8" s="1"/>
  <c r="R312" i="8"/>
  <c r="T312" i="8" s="1"/>
  <c r="R274" i="8"/>
  <c r="R251" i="8"/>
  <c r="T251" i="8" s="1"/>
  <c r="N314" i="8"/>
  <c r="Q244" i="8"/>
  <c r="Q217" i="8"/>
  <c r="Q166" i="8"/>
  <c r="O161" i="8"/>
  <c r="R144" i="8"/>
  <c r="T144" i="8" s="1"/>
  <c r="R134" i="8"/>
  <c r="T134" i="8" s="1"/>
  <c r="P128" i="8"/>
  <c r="N127" i="8"/>
  <c r="O114" i="8"/>
  <c r="Q111" i="8"/>
  <c r="P98" i="8"/>
  <c r="R90" i="8"/>
  <c r="T90" i="8" s="1"/>
  <c r="Q89" i="8"/>
  <c r="R76" i="8"/>
  <c r="T76" i="8" s="1"/>
  <c r="R67" i="8"/>
  <c r="T67" i="8" s="1"/>
  <c r="P66" i="8"/>
  <c r="Q64" i="8"/>
  <c r="R64" i="8"/>
  <c r="T64" i="8" s="1"/>
  <c r="P51" i="8"/>
  <c r="Q50" i="8"/>
  <c r="O43" i="8"/>
  <c r="P38" i="8"/>
  <c r="Q36" i="8"/>
  <c r="P25" i="8"/>
  <c r="P255" i="8"/>
  <c r="Q274" i="8"/>
  <c r="R308" i="8"/>
  <c r="T308" i="8" s="1"/>
  <c r="N313" i="8"/>
  <c r="R233" i="8"/>
  <c r="T233" i="8" s="1"/>
  <c r="R216" i="8"/>
  <c r="T216" i="8" s="1"/>
  <c r="R73" i="8"/>
  <c r="T73" i="8" s="1"/>
  <c r="R147" i="8"/>
  <c r="T147" i="8" s="1"/>
  <c r="N207" i="8"/>
  <c r="R131" i="8"/>
  <c r="T131" i="8" s="1"/>
  <c r="R254" i="8"/>
  <c r="T254" i="8" s="1"/>
  <c r="R258" i="8"/>
  <c r="T258" i="8" s="1"/>
  <c r="N87" i="8"/>
  <c r="N312" i="8"/>
  <c r="Q17" i="8"/>
  <c r="N23" i="8"/>
  <c r="R142" i="8"/>
  <c r="T142" i="8" s="1"/>
  <c r="Q20" i="8"/>
  <c r="P243" i="8"/>
  <c r="R91" i="8"/>
  <c r="T91" i="8" s="1"/>
  <c r="R168" i="8"/>
  <c r="T168" i="8" s="1"/>
  <c r="O172" i="8"/>
  <c r="O164" i="8"/>
  <c r="Q158" i="8"/>
  <c r="O155" i="8"/>
  <c r="P154" i="8"/>
  <c r="P141" i="8"/>
  <c r="O138" i="8"/>
  <c r="O118" i="8"/>
  <c r="Q115" i="8"/>
  <c r="P105" i="8"/>
  <c r="Q102" i="8"/>
  <c r="R93" i="8"/>
  <c r="T93" i="8" s="1"/>
  <c r="P87" i="8"/>
  <c r="R86" i="8"/>
  <c r="T86" i="8" s="1"/>
  <c r="O72" i="8"/>
  <c r="P70" i="8"/>
  <c r="Q69" i="8"/>
  <c r="N69" i="8"/>
  <c r="P56" i="8"/>
  <c r="N54" i="8"/>
  <c r="R28" i="8"/>
  <c r="T28" i="8" s="1"/>
  <c r="O18" i="8"/>
  <c r="P258" i="8"/>
  <c r="Q257" i="8"/>
  <c r="P260" i="8"/>
  <c r="Q262" i="8"/>
  <c r="O269" i="8"/>
  <c r="Q266" i="8"/>
  <c r="R290" i="8"/>
  <c r="T290" i="8" s="1"/>
  <c r="Q305" i="8"/>
  <c r="O303" i="8"/>
  <c r="P302" i="8"/>
  <c r="Q316" i="8"/>
  <c r="P279" i="8"/>
  <c r="N288" i="8"/>
  <c r="R156" i="8"/>
  <c r="T156" i="8" s="1"/>
  <c r="O234" i="8"/>
  <c r="O264" i="8"/>
  <c r="O307" i="8"/>
  <c r="R227" i="8"/>
  <c r="T227" i="8" s="1"/>
  <c r="N214" i="8"/>
  <c r="N203" i="8"/>
  <c r="R181" i="8"/>
  <c r="T181" i="8" s="1"/>
  <c r="N144" i="8"/>
  <c r="R92" i="8"/>
  <c r="T92" i="8" s="1"/>
  <c r="R66" i="8"/>
  <c r="T66" i="8" s="1"/>
  <c r="R287" i="8"/>
  <c r="T287" i="8" s="1"/>
  <c r="N229" i="8"/>
  <c r="R229" i="8"/>
  <c r="T229" i="8" s="1"/>
  <c r="R112" i="8"/>
  <c r="T112" i="8" s="1"/>
  <c r="N112" i="8"/>
  <c r="R119" i="8"/>
  <c r="U119" i="8" s="1"/>
  <c r="N119" i="8"/>
  <c r="R217" i="8"/>
  <c r="T217" i="8" s="1"/>
  <c r="N217" i="8"/>
  <c r="N271" i="8"/>
  <c r="R271" i="8"/>
  <c r="T271" i="8" s="1"/>
  <c r="N100" i="8"/>
  <c r="R100" i="8"/>
  <c r="N143" i="8"/>
  <c r="R143" i="8"/>
  <c r="T143" i="8" s="1"/>
  <c r="N176" i="8"/>
  <c r="R176" i="8"/>
  <c r="R132" i="8"/>
  <c r="T132" i="8" s="1"/>
  <c r="N132" i="8"/>
  <c r="R153" i="8"/>
  <c r="T153" i="8" s="1"/>
  <c r="N153" i="8"/>
  <c r="R278" i="8"/>
  <c r="T278" i="8" s="1"/>
  <c r="N278" i="8"/>
  <c r="R177" i="8"/>
  <c r="T177" i="8" s="1"/>
  <c r="Q237" i="8"/>
  <c r="R195" i="8"/>
  <c r="T195" i="8" s="1"/>
  <c r="R249" i="8"/>
  <c r="T249" i="8" s="1"/>
  <c r="R121" i="8"/>
  <c r="T121" i="8" s="1"/>
  <c r="R236" i="8"/>
  <c r="T236" i="8" s="1"/>
  <c r="R210" i="8"/>
  <c r="T210" i="8" s="1"/>
  <c r="R27" i="8"/>
  <c r="T27" i="8" s="1"/>
  <c r="N240" i="8"/>
  <c r="O27" i="8"/>
  <c r="Q264" i="8"/>
  <c r="R310" i="8"/>
  <c r="T310" i="8" s="1"/>
  <c r="R155" i="8"/>
  <c r="T155" i="8" s="1"/>
  <c r="O235" i="8"/>
  <c r="R170" i="8"/>
  <c r="T170" i="8" s="1"/>
  <c r="R242" i="8"/>
  <c r="T242" i="8" s="1"/>
  <c r="R55" i="8"/>
  <c r="T55" i="8" s="1"/>
  <c r="N27" i="8"/>
  <c r="R240" i="8"/>
  <c r="T240" i="8" s="1"/>
  <c r="N99" i="8"/>
  <c r="O260" i="8"/>
  <c r="O142" i="8"/>
  <c r="R159" i="8"/>
  <c r="T159" i="8" s="1"/>
  <c r="N104" i="8"/>
  <c r="O205" i="8"/>
  <c r="P40" i="8"/>
  <c r="Q169" i="8"/>
  <c r="P287" i="8"/>
  <c r="R296" i="8"/>
  <c r="P282" i="8"/>
  <c r="Q135" i="8"/>
  <c r="R206" i="8"/>
  <c r="T206" i="8" s="1"/>
  <c r="N228" i="8"/>
  <c r="N245" i="8"/>
  <c r="N281" i="8"/>
  <c r="R77" i="8"/>
  <c r="T77" i="8" s="1"/>
  <c r="O206" i="8"/>
  <c r="R222" i="8"/>
  <c r="T222" i="8" s="1"/>
  <c r="N222" i="8"/>
  <c r="N165" i="8"/>
  <c r="R165" i="8"/>
  <c r="T165" i="8" s="1"/>
  <c r="N138" i="8"/>
  <c r="R138" i="8"/>
  <c r="T138" i="8" s="1"/>
  <c r="R35" i="8"/>
  <c r="T35" i="8" s="1"/>
  <c r="N35" i="8"/>
  <c r="N191" i="8"/>
  <c r="R191" i="8"/>
  <c r="T191" i="8" s="1"/>
  <c r="N58" i="8"/>
  <c r="R58" i="8"/>
  <c r="T58" i="8" s="1"/>
  <c r="N255" i="8"/>
  <c r="R255" i="8"/>
  <c r="T255" i="8" s="1"/>
  <c r="N219" i="8"/>
  <c r="R219" i="8"/>
  <c r="T219" i="8" s="1"/>
  <c r="R196" i="8"/>
  <c r="N196" i="8"/>
  <c r="R174" i="8"/>
  <c r="T174" i="8" s="1"/>
  <c r="N174" i="8"/>
  <c r="N96" i="8"/>
  <c r="R96" i="8"/>
  <c r="T96" i="8" s="1"/>
  <c r="R70" i="8"/>
  <c r="T70" i="8" s="1"/>
  <c r="N70" i="8"/>
  <c r="R57" i="8"/>
  <c r="T57" i="8" s="1"/>
  <c r="N57" i="8"/>
  <c r="R104" i="8"/>
  <c r="T104" i="8" s="1"/>
  <c r="R34" i="8"/>
  <c r="T34" i="8" s="1"/>
  <c r="R259" i="8"/>
  <c r="T259" i="8" s="1"/>
  <c r="P179" i="8"/>
  <c r="R178" i="8"/>
  <c r="T178" i="8" s="1"/>
  <c r="N316" i="8"/>
  <c r="R218" i="8"/>
  <c r="T218" i="8" s="1"/>
  <c r="O190" i="8"/>
  <c r="R194" i="8"/>
  <c r="T194" i="8" s="1"/>
  <c r="N152" i="8"/>
  <c r="P24" i="8"/>
  <c r="N282" i="8"/>
  <c r="N283" i="8"/>
  <c r="N65" i="8"/>
  <c r="R62" i="8"/>
  <c r="T62" i="8" s="1"/>
  <c r="R118" i="8"/>
  <c r="T118" i="8" s="1"/>
  <c r="R215" i="8"/>
  <c r="T215" i="8" s="1"/>
  <c r="R164" i="8"/>
  <c r="T164" i="8" s="1"/>
  <c r="R300" i="8"/>
  <c r="T300" i="8" s="1"/>
  <c r="R109" i="8"/>
  <c r="T109" i="8" s="1"/>
  <c r="R25" i="8"/>
  <c r="T25" i="8" s="1"/>
  <c r="N140" i="8"/>
  <c r="P175" i="8"/>
  <c r="P191" i="8"/>
  <c r="R302" i="8"/>
  <c r="T302" i="8" s="1"/>
  <c r="P313" i="8"/>
  <c r="R80" i="8"/>
  <c r="T80" i="8" s="1"/>
  <c r="N157" i="8"/>
  <c r="R201" i="8"/>
  <c r="T201" i="8" s="1"/>
  <c r="R129" i="8"/>
  <c r="T129" i="8" s="1"/>
  <c r="O24" i="8"/>
  <c r="Q110" i="8"/>
  <c r="Q192" i="8"/>
  <c r="P312" i="8"/>
  <c r="Q310" i="8"/>
  <c r="P308" i="8"/>
  <c r="R244" i="8"/>
  <c r="T244" i="8" s="1"/>
  <c r="N162" i="8"/>
  <c r="R82" i="8"/>
  <c r="T82" i="8" s="1"/>
  <c r="N44" i="8"/>
  <c r="R268" i="8"/>
  <c r="T268" i="8" s="1"/>
  <c r="P23" i="8"/>
  <c r="R140" i="8"/>
  <c r="T140" i="8" s="1"/>
  <c r="Q153" i="8"/>
  <c r="P20" i="8"/>
  <c r="P113" i="8"/>
  <c r="O245" i="8"/>
  <c r="N148" i="8"/>
  <c r="R60" i="8"/>
  <c r="T60" i="8" s="1"/>
  <c r="N306" i="8"/>
  <c r="O233" i="8"/>
  <c r="Q307" i="8"/>
  <c r="N128" i="8"/>
  <c r="R50" i="8"/>
  <c r="T50" i="8" s="1"/>
  <c r="N22" i="8"/>
  <c r="R18" i="8"/>
  <c r="B5" i="79" s="1"/>
  <c r="N114" i="8"/>
  <c r="N142" i="8"/>
  <c r="R318" i="8"/>
  <c r="T318" i="8" s="1"/>
  <c r="R193" i="8"/>
  <c r="T193" i="8" s="1"/>
  <c r="O179" i="8"/>
  <c r="P37" i="8"/>
  <c r="Q129" i="8"/>
  <c r="N156" i="8"/>
  <c r="N244" i="8"/>
  <c r="Q208" i="8"/>
  <c r="N201" i="8"/>
  <c r="N90" i="8"/>
  <c r="O86" i="8"/>
  <c r="O68" i="8"/>
  <c r="P307" i="8"/>
  <c r="O312" i="8"/>
  <c r="O308" i="8"/>
  <c r="N51" i="8"/>
  <c r="P284" i="8"/>
  <c r="Q24" i="8"/>
  <c r="Q314" i="8"/>
  <c r="N30" i="8"/>
  <c r="R38" i="8"/>
  <c r="T38" i="8" s="1"/>
  <c r="R223" i="8"/>
  <c r="T223" i="8" s="1"/>
  <c r="N287" i="8"/>
  <c r="R314" i="8"/>
  <c r="T314" i="8" s="1"/>
  <c r="N238" i="8"/>
  <c r="R221" i="8"/>
  <c r="T221" i="8" s="1"/>
  <c r="N18" i="8"/>
  <c r="N141" i="8"/>
  <c r="P277" i="8"/>
  <c r="Q284" i="8"/>
  <c r="P147" i="8"/>
  <c r="Q152" i="8"/>
  <c r="N256" i="8"/>
  <c r="O255" i="8"/>
  <c r="N166" i="8"/>
  <c r="R54" i="8"/>
  <c r="T54" i="8" s="1"/>
  <c r="P259" i="8"/>
  <c r="P211" i="8"/>
  <c r="P221" i="8"/>
  <c r="R32" i="8"/>
  <c r="T32" i="8" s="1"/>
  <c r="O221" i="8"/>
  <c r="Q37" i="8"/>
  <c r="Q285" i="8"/>
  <c r="O125" i="8"/>
  <c r="N212" i="8"/>
  <c r="P82" i="8"/>
  <c r="O200" i="8"/>
  <c r="N62" i="8"/>
  <c r="O91" i="8"/>
  <c r="Q113" i="8"/>
  <c r="Q94" i="8"/>
  <c r="P250" i="8"/>
  <c r="Q182" i="8"/>
  <c r="O181" i="8"/>
  <c r="Q72" i="8"/>
  <c r="Q43" i="8"/>
  <c r="Q304" i="8"/>
  <c r="C84" i="8"/>
  <c r="B83" i="67"/>
  <c r="C83" i="8" s="1"/>
  <c r="R85" i="8"/>
  <c r="R128" i="8"/>
  <c r="T128" i="8" s="1"/>
  <c r="R126" i="8"/>
  <c r="T126" i="8" s="1"/>
  <c r="B125" i="52"/>
  <c r="N50" i="8"/>
  <c r="R22" i="8"/>
  <c r="B9" i="79" s="1"/>
  <c r="B16" i="52"/>
  <c r="B15" i="52" s="1"/>
  <c r="B15" i="8" s="1"/>
  <c r="B123" i="78"/>
  <c r="S123" i="8" s="1"/>
  <c r="S85" i="8"/>
  <c r="B48" i="78"/>
  <c r="S17" i="8"/>
  <c r="R127" i="8"/>
  <c r="T127" i="8" s="1"/>
  <c r="N86" i="8"/>
  <c r="R51" i="8"/>
  <c r="T51" i="8" s="1"/>
  <c r="R49" i="8"/>
  <c r="T49" i="8" s="1"/>
  <c r="N49" i="8"/>
  <c r="A13" i="80"/>
  <c r="N19" i="8"/>
  <c r="N17" i="8"/>
  <c r="N20" i="8"/>
  <c r="R20" i="8"/>
  <c r="B7" i="79" s="1"/>
  <c r="B119" i="78"/>
  <c r="R17" i="8"/>
  <c r="R19" i="8"/>
  <c r="Q297" i="8"/>
  <c r="N234" i="8"/>
  <c r="M139" i="8"/>
  <c r="B124" i="77"/>
  <c r="O61" i="8"/>
  <c r="B124" i="71"/>
  <c r="B15" i="73"/>
  <c r="I15" i="8" s="1"/>
  <c r="P120" i="8"/>
  <c r="R169" i="8"/>
  <c r="T169" i="8" s="1"/>
  <c r="R115" i="8"/>
  <c r="T115" i="8" s="1"/>
  <c r="N111" i="8"/>
  <c r="R111" i="8"/>
  <c r="T111" i="8" s="1"/>
  <c r="P125" i="8"/>
  <c r="R246" i="8"/>
  <c r="T246" i="8" s="1"/>
  <c r="R232" i="8"/>
  <c r="T232" i="8" s="1"/>
  <c r="R173" i="8"/>
  <c r="T173" i="8" s="1"/>
  <c r="R158" i="8"/>
  <c r="T158" i="8" s="1"/>
  <c r="R154" i="8"/>
  <c r="T154" i="8" s="1"/>
  <c r="R145" i="8"/>
  <c r="T145" i="8" s="1"/>
  <c r="O285" i="8"/>
  <c r="O49" i="8"/>
  <c r="O140" i="8"/>
  <c r="B15" i="71"/>
  <c r="G15" i="8" s="1"/>
  <c r="G16" i="8"/>
  <c r="Q210" i="8"/>
  <c r="O191" i="8"/>
  <c r="K16" i="8"/>
  <c r="Q16" i="8" s="1"/>
  <c r="B123" i="70"/>
  <c r="F123" i="8" s="1"/>
  <c r="F124" i="8"/>
  <c r="B124" i="67"/>
  <c r="C125" i="8"/>
  <c r="B15" i="72"/>
  <c r="H15" i="8" s="1"/>
  <c r="H16" i="8"/>
  <c r="P16" i="8" s="1"/>
  <c r="N289" i="8"/>
  <c r="R289" i="8"/>
  <c r="T289" i="8" s="1"/>
  <c r="P271" i="8"/>
  <c r="I241" i="8"/>
  <c r="B234" i="73"/>
  <c r="I234" i="8" s="1"/>
  <c r="P234" i="8" s="1"/>
  <c r="R110" i="8"/>
  <c r="E225" i="8"/>
  <c r="P301" i="8"/>
  <c r="C150" i="8"/>
  <c r="B146" i="67"/>
  <c r="C146" i="8" s="1"/>
  <c r="D285" i="8"/>
  <c r="B284" i="68"/>
  <c r="D284" i="8" s="1"/>
  <c r="R264" i="8"/>
  <c r="T264" i="8" s="1"/>
  <c r="B84" i="68"/>
  <c r="B146" i="69"/>
  <c r="E146" i="8" s="1"/>
  <c r="O146" i="8" s="1"/>
  <c r="B16" i="70"/>
  <c r="B224" i="52"/>
  <c r="B224" i="8" s="1"/>
  <c r="B48" i="52"/>
  <c r="G281" i="8"/>
  <c r="N80" i="8"/>
  <c r="B16" i="67"/>
  <c r="C304" i="8"/>
  <c r="B297" i="67"/>
  <c r="C297" i="8" s="1"/>
  <c r="B139" i="68"/>
  <c r="P103" i="8"/>
  <c r="B224" i="73"/>
  <c r="I224" i="8" s="1"/>
  <c r="B297" i="74"/>
  <c r="J297" i="8" s="1"/>
  <c r="P297" i="8" s="1"/>
  <c r="M150" i="8"/>
  <c r="Q150" i="8" s="1"/>
  <c r="B146" i="77"/>
  <c r="M146" i="8" s="1"/>
  <c r="Q308" i="8"/>
  <c r="B284" i="71"/>
  <c r="G284" i="8" s="1"/>
  <c r="O284" i="8" s="1"/>
  <c r="B48" i="74"/>
  <c r="Q27" i="8"/>
  <c r="B146" i="75"/>
  <c r="B139" i="76"/>
  <c r="B139" i="73"/>
  <c r="B48" i="77"/>
  <c r="R309" i="8"/>
  <c r="T309" i="8" s="1"/>
  <c r="B83" i="73" l="1"/>
  <c r="I83" i="8" s="1"/>
  <c r="I84" i="8"/>
  <c r="E48" i="8"/>
  <c r="B83" i="76"/>
  <c r="L83" i="8" s="1"/>
  <c r="Q83" i="8" s="1"/>
  <c r="B47" i="70"/>
  <c r="F47" i="8" s="1"/>
  <c r="O47" i="8" s="1"/>
  <c r="P224" i="8"/>
  <c r="B15" i="68"/>
  <c r="D15" i="8" s="1"/>
  <c r="D16" i="8"/>
  <c r="M23" i="8"/>
  <c r="Q23" i="8" s="1"/>
  <c r="B15" i="77"/>
  <c r="M15" i="8" s="1"/>
  <c r="Q15" i="8" s="1"/>
  <c r="K125" i="8"/>
  <c r="Q125" i="8" s="1"/>
  <c r="B124" i="75"/>
  <c r="K124" i="8" s="1"/>
  <c r="B83" i="74"/>
  <c r="J83" i="8" s="1"/>
  <c r="J84" i="8"/>
  <c r="B16" i="8"/>
  <c r="R107" i="8"/>
  <c r="T107" i="8" s="1"/>
  <c r="O48" i="8"/>
  <c r="E84" i="8"/>
  <c r="O84" i="8" s="1"/>
  <c r="B83" i="69"/>
  <c r="E83" i="8" s="1"/>
  <c r="U186" i="8"/>
  <c r="T186" i="8"/>
  <c r="R277" i="8"/>
  <c r="T277" i="8" s="1"/>
  <c r="R33" i="8"/>
  <c r="T33" i="8" s="1"/>
  <c r="R211" i="8"/>
  <c r="T211" i="8" s="1"/>
  <c r="T196" i="8"/>
  <c r="U196" i="8"/>
  <c r="T274" i="8"/>
  <c r="U274" i="8"/>
  <c r="T316" i="8"/>
  <c r="U316" i="8"/>
  <c r="T180" i="8"/>
  <c r="U180" i="8"/>
  <c r="T296" i="8"/>
  <c r="U296" i="8"/>
  <c r="T176" i="8"/>
  <c r="U176" i="8"/>
  <c r="T100" i="8"/>
  <c r="U100" i="8"/>
  <c r="T97" i="8"/>
  <c r="U97" i="8"/>
  <c r="T110" i="8"/>
  <c r="U110" i="8"/>
  <c r="T116" i="8"/>
  <c r="U116" i="8"/>
  <c r="T245" i="8"/>
  <c r="U245" i="8"/>
  <c r="T253" i="8"/>
  <c r="U253" i="8"/>
  <c r="T113" i="8"/>
  <c r="U113" i="8"/>
  <c r="U267" i="8"/>
  <c r="O23" i="8"/>
  <c r="T85" i="8"/>
  <c r="B8" i="79"/>
  <c r="B84" i="8"/>
  <c r="S16" i="8"/>
  <c r="B124" i="74"/>
  <c r="B124" i="69"/>
  <c r="E124" i="8" s="1"/>
  <c r="K61" i="8"/>
  <c r="Q61" i="8" s="1"/>
  <c r="B47" i="75"/>
  <c r="K47" i="8" s="1"/>
  <c r="G103" i="8"/>
  <c r="B83" i="71"/>
  <c r="G83" i="8" s="1"/>
  <c r="P15" i="8"/>
  <c r="T22" i="8"/>
  <c r="T18" i="8"/>
  <c r="H84" i="8"/>
  <c r="P84" i="8" s="1"/>
  <c r="B83" i="72"/>
  <c r="H83" i="8" s="1"/>
  <c r="P83" i="8" s="1"/>
  <c r="D61" i="8"/>
  <c r="B47" i="68"/>
  <c r="D47" i="8" s="1"/>
  <c r="B123" i="72"/>
  <c r="H123" i="8" s="1"/>
  <c r="H124" i="8"/>
  <c r="H48" i="8"/>
  <c r="B47" i="72"/>
  <c r="H47" i="8" s="1"/>
  <c r="C48" i="8"/>
  <c r="B47" i="67"/>
  <c r="C47" i="8" s="1"/>
  <c r="B15" i="69"/>
  <c r="E15" i="8" s="1"/>
  <c r="R284" i="8"/>
  <c r="T284" i="8" s="1"/>
  <c r="B124" i="52"/>
  <c r="B125" i="8"/>
  <c r="N125" i="8" s="1"/>
  <c r="T20" i="8"/>
  <c r="S48" i="8"/>
  <c r="B47" i="78"/>
  <c r="T19" i="8"/>
  <c r="B6" i="79"/>
  <c r="T17" i="8"/>
  <c r="B4" i="79"/>
  <c r="B83" i="78"/>
  <c r="S119" i="8"/>
  <c r="T119" i="8" s="1"/>
  <c r="L139" i="8"/>
  <c r="Q139" i="8" s="1"/>
  <c r="B124" i="76"/>
  <c r="B47" i="77"/>
  <c r="M47" i="8" s="1"/>
  <c r="M48" i="8"/>
  <c r="Q48" i="8" s="1"/>
  <c r="I139" i="8"/>
  <c r="P139" i="8" s="1"/>
  <c r="B124" i="73"/>
  <c r="J48" i="8"/>
  <c r="B47" i="74"/>
  <c r="J47" i="8" s="1"/>
  <c r="D139" i="8"/>
  <c r="B124" i="68"/>
  <c r="F16" i="8"/>
  <c r="O16" i="8" s="1"/>
  <c r="B15" i="70"/>
  <c r="F15" i="8" s="1"/>
  <c r="R241" i="8"/>
  <c r="T241" i="8" s="1"/>
  <c r="P241" i="8"/>
  <c r="N297" i="8"/>
  <c r="R297" i="8"/>
  <c r="T297" i="8" s="1"/>
  <c r="O281" i="8"/>
  <c r="R281" i="8"/>
  <c r="T281" i="8" s="1"/>
  <c r="N285" i="8"/>
  <c r="R285" i="8"/>
  <c r="T285" i="8" s="1"/>
  <c r="O225" i="8"/>
  <c r="R225" i="8"/>
  <c r="T225" i="8" s="1"/>
  <c r="N284" i="8"/>
  <c r="B123" i="69"/>
  <c r="E123" i="8" s="1"/>
  <c r="G124" i="8"/>
  <c r="B123" i="71"/>
  <c r="G123" i="8" s="1"/>
  <c r="R234" i="8"/>
  <c r="T234" i="8" s="1"/>
  <c r="K146" i="8"/>
  <c r="Q146" i="8" s="1"/>
  <c r="R304" i="8"/>
  <c r="T304" i="8" s="1"/>
  <c r="N304" i="8"/>
  <c r="B47" i="52"/>
  <c r="B47" i="8" s="1"/>
  <c r="B48" i="8"/>
  <c r="D84" i="8"/>
  <c r="B83" i="68"/>
  <c r="D83" i="8" s="1"/>
  <c r="N146" i="8"/>
  <c r="C16" i="8"/>
  <c r="B15" i="67"/>
  <c r="C15" i="8" s="1"/>
  <c r="R224" i="8"/>
  <c r="T224" i="8" s="1"/>
  <c r="N224" i="8"/>
  <c r="N150" i="8"/>
  <c r="R150" i="8"/>
  <c r="T150" i="8" s="1"/>
  <c r="C124" i="8"/>
  <c r="B123" i="67"/>
  <c r="C123" i="8" s="1"/>
  <c r="B123" i="77"/>
  <c r="M123" i="8" s="1"/>
  <c r="M124" i="8"/>
  <c r="O124" i="8" l="1"/>
  <c r="B123" i="75"/>
  <c r="K123" i="8" s="1"/>
  <c r="N15" i="8"/>
  <c r="N16" i="8"/>
  <c r="R146" i="8"/>
  <c r="T146" i="8" s="1"/>
  <c r="R23" i="8"/>
  <c r="U277" i="8"/>
  <c r="O83" i="8"/>
  <c r="P48" i="8"/>
  <c r="Q47" i="8"/>
  <c r="O15" i="8"/>
  <c r="P47" i="8"/>
  <c r="R125" i="8"/>
  <c r="T125" i="8" s="1"/>
  <c r="R103" i="8"/>
  <c r="O103" i="8"/>
  <c r="B123" i="74"/>
  <c r="J123" i="8" s="1"/>
  <c r="J124" i="8"/>
  <c r="R61" i="8"/>
  <c r="T61" i="8" s="1"/>
  <c r="N61" i="8"/>
  <c r="R16" i="8"/>
  <c r="T16" i="8" s="1"/>
  <c r="O123" i="8"/>
  <c r="B124" i="8"/>
  <c r="B123" i="52"/>
  <c r="B123" i="8" s="1"/>
  <c r="S47" i="8"/>
  <c r="L10" i="78"/>
  <c r="O12" i="35" s="1"/>
  <c r="L11" i="78"/>
  <c r="O13" i="35" s="1"/>
  <c r="S83" i="8"/>
  <c r="N48" i="8"/>
  <c r="R48" i="8"/>
  <c r="T48" i="8" s="1"/>
  <c r="R84" i="8"/>
  <c r="T84" i="8" s="1"/>
  <c r="N84" i="8"/>
  <c r="N47" i="8"/>
  <c r="R47" i="8"/>
  <c r="R15" i="8"/>
  <c r="B123" i="68"/>
  <c r="D123" i="8" s="1"/>
  <c r="D124" i="8"/>
  <c r="I124" i="8"/>
  <c r="P124" i="8" s="1"/>
  <c r="B123" i="73"/>
  <c r="I123" i="8" s="1"/>
  <c r="L124" i="8"/>
  <c r="Q124" i="8" s="1"/>
  <c r="B123" i="76"/>
  <c r="L123" i="8" s="1"/>
  <c r="Q123" i="8" s="1"/>
  <c r="R83" i="8"/>
  <c r="N83" i="8"/>
  <c r="N139" i="8"/>
  <c r="R139" i="8"/>
  <c r="T139" i="8" s="1"/>
  <c r="T23" i="8" l="1"/>
  <c r="B10" i="79"/>
  <c r="C19" i="79"/>
  <c r="U15" i="8"/>
  <c r="T103" i="8"/>
  <c r="U103" i="8"/>
  <c r="C21" i="79"/>
  <c r="U83" i="8"/>
  <c r="P123" i="8"/>
  <c r="O20" i="35"/>
  <c r="N20" i="35" s="1"/>
  <c r="C20" i="79"/>
  <c r="O21" i="35"/>
  <c r="E27" i="80"/>
  <c r="R123" i="8"/>
  <c r="C22" i="79" s="1"/>
  <c r="R124" i="8"/>
  <c r="T124" i="8" s="1"/>
  <c r="M10" i="78"/>
  <c r="B19" i="79"/>
  <c r="B20" i="79"/>
  <c r="L12" i="78"/>
  <c r="O14" i="35" s="1"/>
  <c r="M11" i="78"/>
  <c r="O19" i="35"/>
  <c r="N19" i="35" s="1"/>
  <c r="A27" i="80"/>
  <c r="T83" i="8"/>
  <c r="N124" i="8"/>
  <c r="N123" i="8"/>
  <c r="T15" i="8"/>
  <c r="T47" i="8"/>
  <c r="U325" i="8" l="1"/>
  <c r="N21" i="35"/>
  <c r="T123" i="8"/>
  <c r="O22" i="35"/>
  <c r="H27" i="80"/>
  <c r="B21" i="79"/>
  <c r="L13" i="78"/>
  <c r="O15" i="35" s="1"/>
  <c r="M12" i="78"/>
  <c r="N22" i="35" l="1"/>
  <c r="M13" i="78"/>
  <c r="B22" i="79"/>
</calcChain>
</file>

<file path=xl/sharedStrings.xml><?xml version="1.0" encoding="utf-8"?>
<sst xmlns="http://schemas.openxmlformats.org/spreadsheetml/2006/main" count="5295" uniqueCount="497">
  <si>
    <t xml:space="preserve"> </t>
  </si>
  <si>
    <t>KRA's and Indicators of Performance</t>
  </si>
  <si>
    <t>May</t>
  </si>
  <si>
    <t xml:space="preserve"> I. EMPLOYMENT FACILITATION    </t>
  </si>
  <si>
    <t xml:space="preserve"> A.  PUBLIC EMPLOYMENT SERVICE</t>
  </si>
  <si>
    <t xml:space="preserve">     2.1    Regular program</t>
  </si>
  <si>
    <t xml:space="preserve">              2.1.2   Overseas employment</t>
  </si>
  <si>
    <t xml:space="preserve">     2.4    TULAY 2000                  </t>
  </si>
  <si>
    <t xml:space="preserve">      4.1   Regular program</t>
  </si>
  <si>
    <t xml:space="preserve">              4.1.1   Local employment</t>
  </si>
  <si>
    <t xml:space="preserve">              4.1.2   Overseas employment</t>
  </si>
  <si>
    <t xml:space="preserve">              4.1.3   Self-employment</t>
  </si>
  <si>
    <t xml:space="preserve">      4.4  TULAY 2000</t>
  </si>
  <si>
    <t xml:space="preserve">      4.6  Returning OFWs</t>
  </si>
  <si>
    <t xml:space="preserve">      4.7  Migratory workers</t>
  </si>
  <si>
    <t xml:space="preserve">      6.1   Beneficiaries  </t>
  </si>
  <si>
    <t xml:space="preserve">              6.1.2   Female</t>
  </si>
  <si>
    <t>C.  PHIL-JOBNET MAINTENANCE</t>
  </si>
  <si>
    <t>II.  EMPLOYMENT ENHANCEMENT AND</t>
  </si>
  <si>
    <t xml:space="preserve">      PROTECTION</t>
  </si>
  <si>
    <t>A.  COMPREHENSIVE PROGRAM PACKAGE</t>
  </si>
  <si>
    <t xml:space="preserve">    FOR DISPLACED WORKERS</t>
  </si>
  <si>
    <t xml:space="preserve">             2.3.2   Female</t>
  </si>
  <si>
    <t>1.  Job vacancies solicited/reported</t>
  </si>
  <si>
    <t xml:space="preserve">     1.1    Regular program</t>
  </si>
  <si>
    <t xml:space="preserve">              1.1.1   Local employment</t>
  </si>
  <si>
    <t xml:space="preserve">                         1.1.1.1   Female</t>
  </si>
  <si>
    <t xml:space="preserve">                         2.1.2.1    Female</t>
  </si>
  <si>
    <t xml:space="preserve">     1.2    SPES                    </t>
  </si>
  <si>
    <t xml:space="preserve">              1.2.1   Public sector</t>
  </si>
  <si>
    <t xml:space="preserve">                         1.2.1.1   Female</t>
  </si>
  <si>
    <t xml:space="preserve">              1.2.2   Private sector</t>
  </si>
  <si>
    <t xml:space="preserve">                         1.2.2.1   Female</t>
  </si>
  <si>
    <t xml:space="preserve">     1.3    WAP                   </t>
  </si>
  <si>
    <t xml:space="preserve">              1.3.1   Female</t>
  </si>
  <si>
    <t xml:space="preserve">     1.4    TULAY 2000                  </t>
  </si>
  <si>
    <t xml:space="preserve">              1.4.1 Wage Employment</t>
  </si>
  <si>
    <t xml:space="preserve">                       1.4.1.1   Female</t>
  </si>
  <si>
    <t xml:space="preserve">              1.4.2 Self Employment</t>
  </si>
  <si>
    <t xml:space="preserve">                       1.4.2.1   Female</t>
  </si>
  <si>
    <t>2.  Applicants registered</t>
  </si>
  <si>
    <t xml:space="preserve">     2.2    SPES</t>
  </si>
  <si>
    <t xml:space="preserve">              2.2.1   Female</t>
  </si>
  <si>
    <t xml:space="preserve">     2.3    WAP</t>
  </si>
  <si>
    <t xml:space="preserve">              2.3.1   Female</t>
  </si>
  <si>
    <t xml:space="preserve">              2.4.1 Wage Employment</t>
  </si>
  <si>
    <t xml:space="preserve">                       2.4.1.1   Female</t>
  </si>
  <si>
    <t xml:space="preserve">              2.4.2 Self Employment</t>
  </si>
  <si>
    <t xml:space="preserve">                       2.4.2.1   Female</t>
  </si>
  <si>
    <t xml:space="preserve">     2.5   Retrenched/Displaced workers</t>
  </si>
  <si>
    <t xml:space="preserve">              2.5.1   Female</t>
  </si>
  <si>
    <t xml:space="preserve">     2.6   Returning OFWs</t>
  </si>
  <si>
    <t xml:space="preserve">             2.6.2   Female</t>
  </si>
  <si>
    <t xml:space="preserve">     2.7   Migratory workers</t>
  </si>
  <si>
    <t xml:space="preserve">             2.7.2   Female</t>
  </si>
  <si>
    <t xml:space="preserve">3.   Applicants referred   </t>
  </si>
  <si>
    <t xml:space="preserve">      3.1   Regular program</t>
  </si>
  <si>
    <t xml:space="preserve">              3.1.1   Local employment</t>
  </si>
  <si>
    <t xml:space="preserve">                         3.1.1.1   Female</t>
  </si>
  <si>
    <t xml:space="preserve">                         3.1.2.1   Female</t>
  </si>
  <si>
    <t xml:space="preserve">              3.1.3   Self-employment</t>
  </si>
  <si>
    <t xml:space="preserve">                         3.1.3.1   Female</t>
  </si>
  <si>
    <t xml:space="preserve">              3.1.4   Training</t>
  </si>
  <si>
    <t xml:space="preserve">                         3.1.4.1   Female</t>
  </si>
  <si>
    <t xml:space="preserve">      3.2   SPES</t>
  </si>
  <si>
    <t xml:space="preserve">              3.2.1   Female</t>
  </si>
  <si>
    <t xml:space="preserve">      3.3   WAP</t>
  </si>
  <si>
    <t xml:space="preserve">              3.3.1   Female</t>
  </si>
  <si>
    <t xml:space="preserve">      3.4  TULAY 2000</t>
  </si>
  <si>
    <t xml:space="preserve">      3.5  Retrenched/Displaced workers</t>
  </si>
  <si>
    <t xml:space="preserve">      3.6  Returning OFWs</t>
  </si>
  <si>
    <t xml:space="preserve">      3.7  Migratory workers</t>
  </si>
  <si>
    <t xml:space="preserve">             2.8.1   Female</t>
  </si>
  <si>
    <t>4.   Applicants placed/assisted</t>
  </si>
  <si>
    <t xml:space="preserve">                         4.1.2.1   Female</t>
  </si>
  <si>
    <t xml:space="preserve">                          4.1.3.1   Female</t>
  </si>
  <si>
    <t xml:space="preserve">     4.2   SPES</t>
  </si>
  <si>
    <t xml:space="preserve">              4.2.1   Public sector</t>
  </si>
  <si>
    <t xml:space="preserve">                          4.2.1.1   Female</t>
  </si>
  <si>
    <t xml:space="preserve">              4.2.2   Private sector</t>
  </si>
  <si>
    <t xml:space="preserve">                           4.2.2.1   Female</t>
  </si>
  <si>
    <t xml:space="preserve">     4.3   WAP </t>
  </si>
  <si>
    <t xml:space="preserve">              4.3.1   Female</t>
  </si>
  <si>
    <t xml:space="preserve">              4.4.1 Wage Employment</t>
  </si>
  <si>
    <t xml:space="preserve">                       4.4.1.1   Female</t>
  </si>
  <si>
    <t xml:space="preserve">             4.6.1   Female</t>
  </si>
  <si>
    <t>5.   Projects implemented for PWDs</t>
  </si>
  <si>
    <t xml:space="preserve">      5.1   Beneficiaries  </t>
  </si>
  <si>
    <t>6.  Training conducted for PWDs</t>
  </si>
  <si>
    <t>8.   Total Applicants tested</t>
  </si>
  <si>
    <t>10.  Jobs fair</t>
  </si>
  <si>
    <t xml:space="preserve">      10.1   Jobs fair conducted/assisted</t>
  </si>
  <si>
    <t xml:space="preserve">               10.1.1   Local Government  Units (LGUs)</t>
  </si>
  <si>
    <t xml:space="preserve">               10.1.2   Private Institutions</t>
  </si>
  <si>
    <t xml:space="preserve">               10.1.3   Schools</t>
  </si>
  <si>
    <t xml:space="preserve">       10.2 Types</t>
  </si>
  <si>
    <t xml:space="preserve">               10.2.1 Local Employment</t>
  </si>
  <si>
    <t xml:space="preserve">               10.2.3  Local and overseas employment</t>
  </si>
  <si>
    <t xml:space="preserve">               10.2.2  Overseas employment</t>
  </si>
  <si>
    <t xml:space="preserve">               10.2.4  PWDs and other disadvantaged  groups</t>
  </si>
  <si>
    <t xml:space="preserve">        10.3 Job vacancies solicited</t>
  </si>
  <si>
    <t xml:space="preserve">               10.3.1   Local employment </t>
  </si>
  <si>
    <t xml:space="preserve">               10.3.2  Overseas employment</t>
  </si>
  <si>
    <t xml:space="preserve">               10.3.3  Local and overseas employment</t>
  </si>
  <si>
    <t xml:space="preserve">               10.3.4  PWDs and other disadvantaged groups</t>
  </si>
  <si>
    <t xml:space="preserve">        10.4  Job applicants registered/assisted</t>
  </si>
  <si>
    <t xml:space="preserve">               10.4.1  Local employment</t>
  </si>
  <si>
    <t xml:space="preserve">                           10.4.1.1   Female</t>
  </si>
  <si>
    <t xml:space="preserve">               10.4.2  Overseas employment</t>
  </si>
  <si>
    <t xml:space="preserve">               10.4.3  Local and overseas employment</t>
  </si>
  <si>
    <t xml:space="preserve">                           10.4.3.1   Female</t>
  </si>
  <si>
    <t xml:space="preserve">                           10.4.2.1   Female</t>
  </si>
  <si>
    <t xml:space="preserve">               10.4.4  PWDs and other disadvantaged groups</t>
  </si>
  <si>
    <t xml:space="preserve">                           10.4.4.1   Female</t>
  </si>
  <si>
    <t xml:space="preserve">    10.5   Job applicants hired on the spot</t>
  </si>
  <si>
    <t xml:space="preserve">               10.5.1  Local employment</t>
  </si>
  <si>
    <t xml:space="preserve">                           10.5.1.1   Female</t>
  </si>
  <si>
    <t xml:space="preserve">              10.5.2   Overseas employment</t>
  </si>
  <si>
    <t xml:space="preserve">                           10.5.2.1   Female</t>
  </si>
  <si>
    <t xml:space="preserve">              10.5.3   PWDs and other disadvantaged groups</t>
  </si>
  <si>
    <t xml:space="preserve">                           10.5.3.1   Female</t>
  </si>
  <si>
    <t xml:space="preserve">      10.6   Job applicants reported placed/ deployed</t>
  </si>
  <si>
    <t xml:space="preserve">               10.6.1  Local employment</t>
  </si>
  <si>
    <t xml:space="preserve">                           10.6.1.1   Female</t>
  </si>
  <si>
    <t xml:space="preserve">7.   Total Applicants counselled </t>
  </si>
  <si>
    <t xml:space="preserve">               10.6.2  Overseas employment</t>
  </si>
  <si>
    <t xml:space="preserve">                           10.6.2.1   Female</t>
  </si>
  <si>
    <t xml:space="preserve">               10.6.3  PWDs and other disadvantaged groups</t>
  </si>
  <si>
    <t xml:space="preserve">                           10.6.3.1   Female</t>
  </si>
  <si>
    <t xml:space="preserve">               10.7.1  Job applicants registered/assisted</t>
  </si>
  <si>
    <t xml:space="preserve">               10.7.2  Job applicants placed/deployed</t>
  </si>
  <si>
    <t>1.  LMI reports prepared/disseminated</t>
  </si>
  <si>
    <t xml:space="preserve">     1.1   Quarterly Labor Market Report</t>
  </si>
  <si>
    <t xml:space="preserve">     1.2   Quarterly Labor Supply-Demand Report</t>
  </si>
  <si>
    <t xml:space="preserve">     1.3    Annual Labor Market Report</t>
  </si>
  <si>
    <t>1.  Operational workstations</t>
  </si>
  <si>
    <t>2.  Displaced/Retrenched workers provided assistance</t>
  </si>
  <si>
    <t xml:space="preserve">    Quick Response Team (QRT)</t>
  </si>
  <si>
    <t>1.  Workers Displaced due to economic reasons</t>
  </si>
  <si>
    <t xml:space="preserve">             2.1.1   Female</t>
  </si>
  <si>
    <t xml:space="preserve">     2.2   Wage Employment</t>
  </si>
  <si>
    <t xml:space="preserve">             2.2.1   Female</t>
  </si>
  <si>
    <t xml:space="preserve">     2.3   Livelihood/Self Employment</t>
  </si>
  <si>
    <t xml:space="preserve">     2.4   Skills Training</t>
  </si>
  <si>
    <t xml:space="preserve">             2.4.1 Female</t>
  </si>
  <si>
    <t xml:space="preserve">     2.5   Support Services</t>
  </si>
  <si>
    <t xml:space="preserve">     2.6   Temporary Employment ( No. of Dependents  of</t>
  </si>
  <si>
    <t xml:space="preserve">                    Displaced Workers Availing SPES)</t>
  </si>
  <si>
    <t>4. Average No. of days to provide assistance</t>
  </si>
  <si>
    <t>1.  Anti-illegal recruitment campaign conducted</t>
  </si>
  <si>
    <t xml:space="preserve">                 A. Basic</t>
  </si>
  <si>
    <t xml:space="preserve">                          4.1.4.A.1   Female</t>
  </si>
  <si>
    <t xml:space="preserve">                  B. Upgrading</t>
  </si>
  <si>
    <t xml:space="preserve">                          4.1.4.B.1   Female</t>
  </si>
  <si>
    <t xml:space="preserve">     1.4  Other labor market reports prepared &amp; published.</t>
  </si>
  <si>
    <t xml:space="preserve">     2.1 No. of Retrenched/Displaced Workers counselled.</t>
  </si>
  <si>
    <t>J A N U A R Y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</si>
  <si>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</si>
  <si>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</si>
  <si>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</si>
  <si>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</si>
  <si>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</si>
  <si>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</si>
  <si>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</si>
  <si>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</si>
  <si>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</si>
  <si>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</si>
  <si>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</si>
  <si>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TOTAL 1Q</t>
  </si>
  <si>
    <t>TOTAL 2Q</t>
  </si>
  <si>
    <t>TOTAL 3Q</t>
  </si>
  <si>
    <t>TOTAL 4Q</t>
  </si>
  <si>
    <t>GRAND TOTAL</t>
  </si>
  <si>
    <t>M A R C H</t>
  </si>
  <si>
    <t>A P R I L</t>
  </si>
  <si>
    <t>M A Y</t>
  </si>
  <si>
    <t>J U N E</t>
  </si>
  <si>
    <t>D E C E M B E R</t>
  </si>
  <si>
    <t>J U L Y</t>
  </si>
  <si>
    <t>N O V E M B E R</t>
  </si>
  <si>
    <t>A U G U S T</t>
  </si>
  <si>
    <t>percentage</t>
  </si>
  <si>
    <t xml:space="preserve">                         1.1.1.2   Male</t>
  </si>
  <si>
    <t xml:space="preserve">                         2.1.2.2    Male</t>
  </si>
  <si>
    <t xml:space="preserve">                         1.2.1.2   Male</t>
  </si>
  <si>
    <t xml:space="preserve">                         1.2.2.2   Male</t>
  </si>
  <si>
    <t xml:space="preserve">              1.3.2   Male</t>
  </si>
  <si>
    <t xml:space="preserve">                       1.4.1.2   Male</t>
  </si>
  <si>
    <t xml:space="preserve">                       1.4.2.2   Male</t>
  </si>
  <si>
    <t xml:space="preserve">              2.2.2   Male</t>
  </si>
  <si>
    <t xml:space="preserve">              2.3.2   Male</t>
  </si>
  <si>
    <t xml:space="preserve">                       2.4.1.2   Male</t>
  </si>
  <si>
    <t xml:space="preserve">                       2.4.2.2   Male</t>
  </si>
  <si>
    <t xml:space="preserve">              2.5.2   Male</t>
  </si>
  <si>
    <t xml:space="preserve">             2.6.3   Male</t>
  </si>
  <si>
    <t xml:space="preserve">             2.7.3   Male</t>
  </si>
  <si>
    <t xml:space="preserve">             2.8.2   Male</t>
  </si>
  <si>
    <t xml:space="preserve">                         3.1.1.2   Male</t>
  </si>
  <si>
    <t xml:space="preserve">                         3.1.2.2   Male</t>
  </si>
  <si>
    <t xml:space="preserve">                         3.1.3.2   Male</t>
  </si>
  <si>
    <t xml:space="preserve">                         3.1.4.2   Male</t>
  </si>
  <si>
    <t xml:space="preserve">              3.2.2   Male</t>
  </si>
  <si>
    <t xml:space="preserve">              3.3.2   Male</t>
  </si>
  <si>
    <t xml:space="preserve">                         4.1.2.2   Male</t>
  </si>
  <si>
    <t xml:space="preserve">                          4.1.3.2   Male</t>
  </si>
  <si>
    <t xml:space="preserve">                          4.1.4.B.2   Male</t>
  </si>
  <si>
    <t xml:space="preserve">                          4.2.1.2   Male</t>
  </si>
  <si>
    <t xml:space="preserve">                           4.2.2.2   Male</t>
  </si>
  <si>
    <t xml:space="preserve">              4.3.2   Male</t>
  </si>
  <si>
    <t xml:space="preserve">                       4.4.1.2   Male</t>
  </si>
  <si>
    <t xml:space="preserve">             4.6.2   Male</t>
  </si>
  <si>
    <t xml:space="preserve">              6.1.3   Male</t>
  </si>
  <si>
    <t xml:space="preserve">                           10.4.2.2   Male</t>
  </si>
  <si>
    <t xml:space="preserve">                           10.4.3.2   Male</t>
  </si>
  <si>
    <t xml:space="preserve">                           10.4.4.2   Male</t>
  </si>
  <si>
    <t xml:space="preserve">                           10.5.1.2   Male</t>
  </si>
  <si>
    <t xml:space="preserve">                           10.5.2.2   Male</t>
  </si>
  <si>
    <t xml:space="preserve">                           10.5.3.2   Male</t>
  </si>
  <si>
    <t xml:space="preserve">                           10.6.1.2   Male</t>
  </si>
  <si>
    <t xml:space="preserve">                           10.6.2.2   Male</t>
  </si>
  <si>
    <t xml:space="preserve">                           10.6.3.2   Male</t>
  </si>
  <si>
    <t xml:space="preserve">             2.1.2   Male</t>
  </si>
  <si>
    <t xml:space="preserve">             2.2.2   Male</t>
  </si>
  <si>
    <t xml:space="preserve">             2.3.3   Male</t>
  </si>
  <si>
    <t xml:space="preserve">             2.4.2 Male</t>
  </si>
  <si>
    <t>2.  Orientation Conducted</t>
  </si>
  <si>
    <t>3.  Registered/Accredited Establishment</t>
  </si>
  <si>
    <t>OTHER ACTIVITIES IN BULLET FORM</t>
  </si>
  <si>
    <t>●</t>
  </si>
  <si>
    <t>W H O L E    Y E A R     D A T A</t>
  </si>
  <si>
    <t>3. Displaced Workers Assisted as of total displaced workers(%)</t>
  </si>
  <si>
    <t>F E B R U A R Y</t>
  </si>
  <si>
    <t>S E P T E M B E R</t>
  </si>
  <si>
    <t xml:space="preserve">      4.5  Retrenched/Displaced Workers</t>
  </si>
  <si>
    <t xml:space="preserve">      4.9  Indigenous People</t>
  </si>
  <si>
    <t xml:space="preserve">             4.9.1   Female</t>
  </si>
  <si>
    <t xml:space="preserve">             4.9.2   Male</t>
  </si>
  <si>
    <t xml:space="preserve">              3.1.2   Overseas employment</t>
  </si>
  <si>
    <t xml:space="preserve">              3.4.1 Wage Employment</t>
  </si>
  <si>
    <t xml:space="preserve">                       3.4.1.1   Female</t>
  </si>
  <si>
    <t xml:space="preserve">                       3.4.1.2   Male</t>
  </si>
  <si>
    <t xml:space="preserve">              3.4.2 Self Employment</t>
  </si>
  <si>
    <t xml:space="preserve">                       3.4.2.1   Female</t>
  </si>
  <si>
    <t xml:space="preserve">                       3.4.2.2   Male</t>
  </si>
  <si>
    <t xml:space="preserve">             3.5.2   Female</t>
  </si>
  <si>
    <t xml:space="preserve">             3.5.3   Male</t>
  </si>
  <si>
    <t xml:space="preserve">             3.6.2   Female</t>
  </si>
  <si>
    <t xml:space="preserve">             3.6.3   Male</t>
  </si>
  <si>
    <t xml:space="preserve">             3.7.2   Female</t>
  </si>
  <si>
    <t xml:space="preserve">             3.7.3   Male</t>
  </si>
  <si>
    <t xml:space="preserve">             3.8.2   Female</t>
  </si>
  <si>
    <t xml:space="preserve">             3.8.3   Male</t>
  </si>
  <si>
    <t xml:space="preserve">                          4.1.4.A.2   Male</t>
  </si>
  <si>
    <t xml:space="preserve">             4.7.1   Female</t>
  </si>
  <si>
    <t xml:space="preserve">             4.7.2   Male</t>
  </si>
  <si>
    <t xml:space="preserve">             4.8.1   Female</t>
  </si>
  <si>
    <t xml:space="preserve">             4.8.2   Male</t>
  </si>
  <si>
    <t xml:space="preserve">              5.1.1   Female</t>
  </si>
  <si>
    <t xml:space="preserve">              5.1.2   Male</t>
  </si>
  <si>
    <t xml:space="preserve">                           10.4.1.2   Male</t>
  </si>
  <si>
    <t xml:space="preserve">                           10.7.1.1   Female</t>
  </si>
  <si>
    <t xml:space="preserve">                           10.7.1.2   Male</t>
  </si>
  <si>
    <t xml:space="preserve">                           10.7.2.1   Female</t>
  </si>
  <si>
    <t xml:space="preserve">                           10.7.2.2   Male</t>
  </si>
  <si>
    <t xml:space="preserve">                         4.1.1.1   Government</t>
  </si>
  <si>
    <t xml:space="preserve">                               4.1.1.1.1   Female</t>
  </si>
  <si>
    <t xml:space="preserve">                               4.1.1.1.2   Male</t>
  </si>
  <si>
    <t xml:space="preserve">                         4.1.1.2   Private</t>
  </si>
  <si>
    <t xml:space="preserve">                               4.1.1.2.1   Female</t>
  </si>
  <si>
    <t xml:space="preserve">                               4.1.1.2.2   Male</t>
  </si>
  <si>
    <t xml:space="preserve">      3.9  Employers provided w/ job applicants</t>
  </si>
  <si>
    <t xml:space="preserve">     2.9   Indigenous People</t>
  </si>
  <si>
    <t xml:space="preserve">             2.9.1   Female</t>
  </si>
  <si>
    <t xml:space="preserve">             2.9.2   Male</t>
  </si>
  <si>
    <t xml:space="preserve">              2.1.1   Local Employment</t>
  </si>
  <si>
    <t xml:space="preserve">                       2.1.2.1   Female</t>
  </si>
  <si>
    <t xml:space="preserve">                       2.1.2.2   Male</t>
  </si>
  <si>
    <t xml:space="preserve">                       2.1.1.1   Female</t>
  </si>
  <si>
    <t xml:space="preserve">                       2.1.1.2   Male</t>
  </si>
  <si>
    <t xml:space="preserve">     1.5    Indigenous People</t>
  </si>
  <si>
    <t xml:space="preserve">     1.6    Employers posting vacancies</t>
  </si>
  <si>
    <t xml:space="preserve">             4.5.1.1   Female</t>
  </si>
  <si>
    <t xml:space="preserve">             4.5.1.2   Male</t>
  </si>
  <si>
    <t>T A R G E T S</t>
  </si>
  <si>
    <t xml:space="preserve">     10.7   PRAs / SRAs assisted</t>
  </si>
  <si>
    <t>9.  Career &amp; Employment Coaching</t>
  </si>
  <si>
    <t>FORMULAS:</t>
  </si>
  <si>
    <t>Population x coeff.(.0119) + population =</t>
  </si>
  <si>
    <t>Projected population</t>
  </si>
  <si>
    <t>Labor Force Population</t>
  </si>
  <si>
    <t>Employment Population</t>
  </si>
  <si>
    <t>Unemployment Population</t>
  </si>
  <si>
    <t>Underemployment Population</t>
  </si>
  <si>
    <t>Job Vacancies Solicited</t>
  </si>
  <si>
    <t>Projected pop x LFPop.Rate (.65)          =</t>
  </si>
  <si>
    <t>Labor Force x Employ. Rate (.94)          =</t>
  </si>
  <si>
    <t>Labor Force x Unemp. Rate (.060)        =</t>
  </si>
  <si>
    <t>Employment x Underemp.Rate (.228)    =</t>
  </si>
  <si>
    <t xml:space="preserve">LaborForce x .50 x UnempRate            = </t>
  </si>
  <si>
    <t>LFP Rate</t>
  </si>
  <si>
    <t>Employment Rate</t>
  </si>
  <si>
    <t>Unemployment Rate</t>
  </si>
  <si>
    <t>Underemp. Rate</t>
  </si>
  <si>
    <t>Applicants registered %</t>
  </si>
  <si>
    <t>Applicants Referred %</t>
  </si>
  <si>
    <t>Applicants Placed %</t>
  </si>
  <si>
    <t>of Projected Population</t>
  </si>
  <si>
    <t>of the Labor Force</t>
  </si>
  <si>
    <t>of Employed Population</t>
  </si>
  <si>
    <t>of Unemployed</t>
  </si>
  <si>
    <t>Vacancies Solicited %</t>
  </si>
  <si>
    <t>of Registered Applicants</t>
  </si>
  <si>
    <t>of Referred Applicants</t>
  </si>
  <si>
    <t>UNALLOTED</t>
  </si>
  <si>
    <t xml:space="preserve">     1.6    Workers Hired for Infra Projects</t>
  </si>
  <si>
    <t xml:space="preserve">                       1.6.1   Female</t>
  </si>
  <si>
    <t xml:space="preserve">                       1.6.2   Male</t>
  </si>
  <si>
    <t xml:space="preserve">                       1.5.1   Female</t>
  </si>
  <si>
    <t xml:space="preserve">                       1.5.2   Male</t>
  </si>
  <si>
    <t xml:space="preserve">     2.8    Workers Hired for Infra Projects</t>
  </si>
  <si>
    <t xml:space="preserve">      3.8  Workers Hired for Infra Projects</t>
  </si>
  <si>
    <t xml:space="preserve">              4.1.4   Total amount granted</t>
  </si>
  <si>
    <t xml:space="preserve">              4.1.5   Training</t>
  </si>
  <si>
    <t xml:space="preserve">      4.8  Workers Hired for Infra Projects</t>
  </si>
  <si>
    <t xml:space="preserve">                      9.2.1   College /Job Seekers</t>
  </si>
  <si>
    <t>11.  Livelihood and self-employment fairs assisted</t>
  </si>
  <si>
    <t>12.  No. of Livelihood proposal submitted</t>
  </si>
  <si>
    <t>13.  No. of Livelihood projects implemented</t>
  </si>
  <si>
    <t xml:space="preserve">     13.2   Fishery workers</t>
  </si>
  <si>
    <t xml:space="preserve">     13.1   Farm workers</t>
  </si>
  <si>
    <t xml:space="preserve">     13.3   Differently-abled workers</t>
  </si>
  <si>
    <t xml:space="preserve">     13.4   IP workers</t>
  </si>
  <si>
    <t xml:space="preserve">     13.5   Ambulant vendors / peddlers</t>
  </si>
  <si>
    <t xml:space="preserve">     13.6   Alternative transport service workers</t>
  </si>
  <si>
    <t xml:space="preserve">     13.7   Home-based workers</t>
  </si>
  <si>
    <t xml:space="preserve">     13.8   OFWs / Returning OFWs </t>
  </si>
  <si>
    <t xml:space="preserve">     13.9   Other self-employed workers</t>
  </si>
  <si>
    <t>B.  LABOR MARKET INFORMATION</t>
  </si>
  <si>
    <t>2.  Users/Clients provided LMI and other reports</t>
  </si>
  <si>
    <t>4.  Job vacancies posted</t>
  </si>
  <si>
    <t>5.  Applicants registered</t>
  </si>
  <si>
    <t>D.  CAPABILITY BUILDING FOR PESO</t>
  </si>
  <si>
    <t>1.  Training attended by PESO</t>
  </si>
  <si>
    <t xml:space="preserve">           2.1.1  PESO Manager</t>
  </si>
  <si>
    <t xml:space="preserve">           2.2.1  PESO Manager</t>
  </si>
  <si>
    <t>2.  Meetings attended by PESO</t>
  </si>
  <si>
    <t xml:space="preserve">     1.1  Basic training</t>
  </si>
  <si>
    <t xml:space="preserve">           1.1.1  PESO Manager</t>
  </si>
  <si>
    <t xml:space="preserve">     1.2  Skills upgrading</t>
  </si>
  <si>
    <t xml:space="preserve">           1.2.1  PESO Manager</t>
  </si>
  <si>
    <t xml:space="preserve">           1.1.2  PESO staff</t>
  </si>
  <si>
    <t xml:space="preserve">           1.2.2  PESO staff</t>
  </si>
  <si>
    <t xml:space="preserve">     2.1  Provincial Scope</t>
  </si>
  <si>
    <t xml:space="preserve">           2.1.2  PESO staff</t>
  </si>
  <si>
    <t xml:space="preserve">     2.2  Regional Scope</t>
  </si>
  <si>
    <t xml:space="preserve">           2.2.2  PESO staff</t>
  </si>
  <si>
    <t>B.  ANTI-ILLEGAL RECRUITMENT CAMPAIGN (LOCAL RECRUITMENT)</t>
  </si>
  <si>
    <t xml:space="preserve">     1.1  No. of participants</t>
  </si>
  <si>
    <t>Conducted a Job Fair at home. (please erase this sample)</t>
  </si>
  <si>
    <t>O C TO B E R</t>
  </si>
  <si>
    <t xml:space="preserve">     2.6   Temp. Employment ( No. of Dependents  of</t>
  </si>
  <si>
    <t>TARGET</t>
  </si>
  <si>
    <t xml:space="preserve">Population Increase Coefficient </t>
  </si>
  <si>
    <t>2017 PROJECTIONS</t>
  </si>
  <si>
    <t>2015 NSO POPULATION CENSUS</t>
  </si>
  <si>
    <t>Projected Population 2016</t>
  </si>
  <si>
    <t>Projected Population 2017</t>
  </si>
  <si>
    <t>Vacancies to solicit</t>
  </si>
  <si>
    <t>Applicants to register</t>
  </si>
  <si>
    <t>Applicants to refer</t>
  </si>
  <si>
    <t>Applicants to place</t>
  </si>
  <si>
    <t>Target vacancies to solicit</t>
  </si>
  <si>
    <t>Target applicants to register</t>
  </si>
  <si>
    <t>Target applicants to refer</t>
  </si>
  <si>
    <t>Target applicants to place</t>
  </si>
  <si>
    <t>Vacancies solicited</t>
  </si>
  <si>
    <t>RUNNING ACCOMPLISHMENT</t>
  </si>
  <si>
    <t>Applicants referred</t>
  </si>
  <si>
    <t>Applicants placed</t>
  </si>
  <si>
    <t>Applicants registered</t>
  </si>
  <si>
    <t>v15.0</t>
  </si>
  <si>
    <t xml:space="preserve">         DOLE XI PESO SPRS</t>
  </si>
  <si>
    <t>Regular Program</t>
  </si>
  <si>
    <t>local employment</t>
  </si>
  <si>
    <t>Overseas employment</t>
  </si>
  <si>
    <t>Male</t>
  </si>
  <si>
    <t>Female</t>
  </si>
  <si>
    <t>SPES</t>
  </si>
  <si>
    <t>Local employment</t>
  </si>
  <si>
    <t>local</t>
  </si>
  <si>
    <t>overseas</t>
  </si>
  <si>
    <t>Total</t>
  </si>
  <si>
    <t>Projected Employed Population</t>
  </si>
  <si>
    <t>Projected Unemployed Population</t>
  </si>
  <si>
    <t>Projected Underemployed Population</t>
  </si>
  <si>
    <t>Employment Rate for  RegionXI</t>
  </si>
  <si>
    <t>Underemployment Rate for  RegionXI</t>
  </si>
  <si>
    <t>SOLICITED VACANCIES</t>
  </si>
  <si>
    <t>REFERRED APPLICANTS</t>
  </si>
  <si>
    <t>PLACED APPLICANTS</t>
  </si>
  <si>
    <t>Target</t>
  </si>
  <si>
    <t>Accomplishment</t>
  </si>
  <si>
    <t>Registered Applicants</t>
  </si>
  <si>
    <t>Referred Applicants</t>
  </si>
  <si>
    <t>Placed Applicants</t>
  </si>
  <si>
    <t>STATISTICS1</t>
  </si>
  <si>
    <t>BEST PESO AWARDS</t>
  </si>
  <si>
    <t>Impact of performance / Achievement</t>
  </si>
  <si>
    <t>Core Services</t>
  </si>
  <si>
    <t xml:space="preserve">     Referral &amp; Placement</t>
  </si>
  <si>
    <t xml:space="preserve">          Placed vs Referred</t>
  </si>
  <si>
    <t xml:space="preserve">          Applicants placed</t>
  </si>
  <si>
    <t xml:space="preserve">          Accomplishment vs Target</t>
  </si>
  <si>
    <t xml:space="preserve">     Labor Market Information</t>
  </si>
  <si>
    <t xml:space="preserve">          Monthly submission of LMI</t>
  </si>
  <si>
    <t xml:space="preserve">          Labot Market Analysis</t>
  </si>
  <si>
    <t xml:space="preserve">     Career Guidance &amp; Empt Coaching</t>
  </si>
  <si>
    <t xml:space="preserve">          Career Guidance</t>
  </si>
  <si>
    <t xml:space="preserve">          Employment Coaching</t>
  </si>
  <si>
    <t xml:space="preserve">     For LGU-Based PESO</t>
  </si>
  <si>
    <t xml:space="preserve">     For JPO</t>
  </si>
  <si>
    <t>Recipient of Empt-related awards</t>
  </si>
  <si>
    <t>Leadership &amp; Membership of Orgs</t>
  </si>
  <si>
    <t>100 pts</t>
  </si>
  <si>
    <t>Highly Urbanized</t>
  </si>
  <si>
    <t>Component City</t>
  </si>
  <si>
    <t>1st to 2nd Class Mun</t>
  </si>
  <si>
    <t>3rd to 4th Class Mun</t>
  </si>
  <si>
    <t>5th to 6th Class Mun</t>
  </si>
  <si>
    <t>JPOs NGO</t>
  </si>
  <si>
    <t>JPOs Educ</t>
  </si>
  <si>
    <t xml:space="preserve">     1.1   Labor Market Report</t>
  </si>
  <si>
    <t xml:space="preserve">     1.2   Labor Supply-Demand Report</t>
  </si>
  <si>
    <t xml:space="preserve">     1.3   Labor Market Report with Analysis</t>
  </si>
  <si>
    <t xml:space="preserve">      9.1   Career Guidance Conducted Total Pax</t>
  </si>
  <si>
    <t xml:space="preserve">                      9.1.1   Junior High / Grade 10</t>
  </si>
  <si>
    <t xml:space="preserve">      9.2   CEC Conducted</t>
  </si>
  <si>
    <t xml:space="preserve">                      9.2.2   High School</t>
  </si>
  <si>
    <t xml:space="preserve">                      9.2.3   Elementary</t>
  </si>
  <si>
    <t xml:space="preserve">      9.3   CEC Participants</t>
  </si>
  <si>
    <t xml:space="preserve">                      9.3.1   College /Job Seekers</t>
  </si>
  <si>
    <t xml:space="preserve">                      9.3.2   High School Students</t>
  </si>
  <si>
    <t xml:space="preserve">                      9.3.3   Elementary Students</t>
  </si>
  <si>
    <t>Programs of DOLE Implemented</t>
  </si>
  <si>
    <t>RECIPIENT OF EMPLOYMENT-RELATED AWARDS</t>
  </si>
  <si>
    <t>LEADERSHIP/MEMBERSHIP OF ANY ORGANIZATION WITH CONTRI TO EMPLOYMENT</t>
  </si>
  <si>
    <t>1.  International Awards</t>
  </si>
  <si>
    <t>2.  National Awards</t>
  </si>
  <si>
    <t>Projected Population 2018</t>
  </si>
  <si>
    <t>Projected Labor force 2018</t>
  </si>
  <si>
    <t>AIR</t>
  </si>
  <si>
    <t>No. of Conducted : 5</t>
  </si>
  <si>
    <t>Total : 105</t>
  </si>
  <si>
    <t>Female : 91</t>
  </si>
  <si>
    <t>Male : 14</t>
  </si>
  <si>
    <t>CONDUCTED: 3</t>
  </si>
  <si>
    <t>TOTAL : 68</t>
  </si>
  <si>
    <t>FEMALE: 64</t>
  </si>
  <si>
    <t>MALE : 4</t>
  </si>
  <si>
    <t>RWA</t>
  </si>
  <si>
    <t>REGISTERED : 1</t>
  </si>
  <si>
    <t>CONDUCTED : 3</t>
  </si>
  <si>
    <t>TOTAL : 43</t>
  </si>
  <si>
    <t>FEMALE: 38</t>
  </si>
  <si>
    <t>MALE: 5</t>
  </si>
  <si>
    <t>REGISTERED: 2</t>
  </si>
  <si>
    <t>GODP</t>
  </si>
  <si>
    <t>PARTICIPANTS: 229</t>
  </si>
  <si>
    <t>FEMALE: 75</t>
  </si>
  <si>
    <t>MALE: 154</t>
  </si>
  <si>
    <t xml:space="preserve">AIR </t>
  </si>
  <si>
    <t>CONDUCTED: 1</t>
  </si>
  <si>
    <t>TOTAL: 39</t>
  </si>
  <si>
    <t>FEMALE : 14</t>
  </si>
  <si>
    <t>MALE: 25</t>
  </si>
  <si>
    <t>REGISTERED: 1</t>
  </si>
  <si>
    <t>OFW INTERVENTIONS</t>
  </si>
  <si>
    <t>BENEFICIARIES</t>
  </si>
  <si>
    <t>TOTAL: 14</t>
  </si>
  <si>
    <t>FEMALE: 11</t>
  </si>
  <si>
    <t>MALE: 3</t>
  </si>
  <si>
    <t>CONDUCTED: 4</t>
  </si>
  <si>
    <t>TOTAL: 107</t>
  </si>
  <si>
    <t>FEMALE: 46</t>
  </si>
  <si>
    <t>MALE: 61</t>
  </si>
  <si>
    <t>CGAP</t>
  </si>
  <si>
    <t>TOTAL: 432</t>
  </si>
  <si>
    <t>FEMALE: 273</t>
  </si>
  <si>
    <t>MALE: 159</t>
  </si>
  <si>
    <t>STUDENTS</t>
  </si>
  <si>
    <t>PARENTS</t>
  </si>
  <si>
    <t>TOTAL:86</t>
  </si>
  <si>
    <t>FEMALE: 59</t>
  </si>
  <si>
    <t>MALE: 27</t>
  </si>
  <si>
    <t>OFW INTERVENTION</t>
  </si>
  <si>
    <t>TOTAL BENEFECIARIES : 50</t>
  </si>
  <si>
    <t>FEMALE: 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</si>
</sst>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,##0.00000"/>
    <numFmt numFmtId="165" formatCode="0.0%"/>
    <numFmt numFmtId="166" formatCode="[$-F800]dddd\,\ mmmm\ dd\,\ yyyy"/>
    <numFmt numFmtId="167" formatCode="mm/dd/yyyy;@"/>
  </numFmts>
  <fonts count="40" x14ac:knownFonts="1">
    <font>
      <sz val="10"/>
      <name val="Arial"/>
    </font>
    <font>
      <sz val="10"/>
      <name val="Times New Roman"/>
      <family val="1"/>
    </font>
    <font>
      <b/>
      <sz val="10"/>
      <name val="Arial"/>
      <family val="2"/>
    </font>
    <font>
      <b/>
      <i/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sz val="10"/>
      <color indexed="8"/>
      <name val="Arial Narrow"/>
      <family val="2"/>
    </font>
    <font>
      <sz val="10"/>
      <color indexed="12"/>
      <name val="Arial Narrow"/>
      <family val="2"/>
    </font>
    <font>
      <sz val="10"/>
      <color indexed="10"/>
      <name val="Arial Narrow"/>
      <family val="2"/>
    </font>
    <font>
      <sz val="8"/>
      <color indexed="12"/>
      <name val="Arial Narrow"/>
      <family val="2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"/>
      <name val="Arial Narrow"/>
      <family val="2"/>
    </font>
    <font>
      <sz val="8"/>
      <name val="Arial"/>
      <family val="2"/>
    </font>
    <font>
      <b/>
      <sz val="8"/>
      <name val="Arial"/>
      <family val="2"/>
    </font>
    <font>
      <sz val="9"/>
      <name val="Arial Narrow"/>
      <family val="2"/>
    </font>
    <font>
      <sz val="12"/>
      <name val="Arial"/>
      <family val="2"/>
    </font>
    <font>
      <b/>
      <sz val="9"/>
      <name val="Arial"/>
      <family val="2"/>
    </font>
    <font>
      <b/>
      <sz val="12"/>
      <color theme="0"/>
      <name val="Arial"/>
      <family val="2"/>
    </font>
    <font>
      <sz val="11"/>
      <color rgb="FF000000"/>
      <name val="Calibri"/>
      <family val="2"/>
    </font>
    <font>
      <b/>
      <sz val="10"/>
      <color theme="0"/>
      <name val="Arial"/>
      <family val="2"/>
    </font>
    <font>
      <sz val="10"/>
      <color rgb="FFFF0000"/>
      <name val="Arial Narrow"/>
      <family val="2"/>
    </font>
    <font>
      <sz val="10"/>
      <color rgb="FF0000FF"/>
      <name val="Arial Narrow"/>
      <family val="2"/>
    </font>
    <font>
      <b/>
      <sz val="12"/>
      <color rgb="FF002060"/>
      <name val="Arial Narrow"/>
      <family val="2"/>
    </font>
    <font>
      <b/>
      <sz val="8"/>
      <color theme="0"/>
      <name val="Arial"/>
      <family val="2"/>
    </font>
    <font>
      <b/>
      <sz val="11"/>
      <color rgb="FF002060"/>
      <name val="Arial"/>
      <family val="2"/>
    </font>
    <font>
      <sz val="12"/>
      <color theme="0"/>
      <name val="Arial"/>
      <family val="2"/>
    </font>
    <font>
      <b/>
      <sz val="40"/>
      <color theme="4" tint="0.79998168889431442"/>
      <name val="Arial"/>
      <family val="2"/>
    </font>
    <font>
      <b/>
      <sz val="10"/>
      <color theme="3" tint="-0.249977111117893"/>
      <name val="Arial"/>
      <family val="2"/>
    </font>
    <font>
      <sz val="10"/>
      <color theme="3" tint="-0.249977111117893"/>
      <name val="Arial"/>
      <family val="2"/>
    </font>
    <font>
      <sz val="7"/>
      <color theme="0"/>
      <name val="Arial"/>
      <family val="2"/>
    </font>
    <font>
      <b/>
      <sz val="8"/>
      <color rgb="FF002060"/>
      <name val="Arial"/>
      <family val="2"/>
    </font>
    <font>
      <b/>
      <sz val="18"/>
      <color theme="3"/>
      <name val="Arial"/>
      <family val="2"/>
    </font>
    <font>
      <sz val="11"/>
      <name val="Arial"/>
      <family val="2"/>
    </font>
    <font>
      <sz val="10"/>
      <color rgb="FFFF0000"/>
      <name val="Arial"/>
      <family val="2"/>
    </font>
    <font>
      <b/>
      <sz val="20"/>
      <name val="Arial"/>
      <family val="2"/>
    </font>
    <font>
      <b/>
      <sz val="12"/>
      <color rgb="FF0A0101"/>
      <name val="Arial"/>
      <family val="2"/>
    </font>
    <font>
      <b/>
      <sz val="11"/>
      <name val="Arial"/>
      <family val="2"/>
    </font>
    <font>
      <sz val="10"/>
      <color theme="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0" fillId="0" borderId="0" applyFont="0" applyFill="0" applyBorder="0" applyAlignment="0" applyProtection="0"/>
  </cellStyleXfs>
  <cellXfs count="329">
    <xf numFmtId="0" fontId="0" fillId="0" borderId="0" xfId="0"/>
    <xf numFmtId="0" fontId="0" fillId="0" borderId="0" xfId="0" applyBorder="1"/>
    <xf numFmtId="0" fontId="6" fillId="0" borderId="0" xfId="0" applyFont="1" applyBorder="1" applyAlignment="1">
      <alignment wrapText="1"/>
    </xf>
    <xf numFmtId="0" fontId="0" fillId="0" borderId="0" xfId="0" applyFill="1"/>
    <xf numFmtId="0" fontId="11" fillId="0" borderId="0" xfId="0" applyFont="1" applyAlignment="1">
      <alignment horizontal="left"/>
    </xf>
    <xf numFmtId="0" fontId="4" fillId="0" borderId="0" xfId="0" applyFont="1" applyBorder="1" applyAlignment="1">
      <alignment horizontal="center" vertical="top" wrapText="1"/>
    </xf>
    <xf numFmtId="0" fontId="0" fillId="0" borderId="0" xfId="0" applyFill="1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left"/>
    </xf>
    <xf numFmtId="0" fontId="2" fillId="0" borderId="0" xfId="0" applyFont="1" applyAlignment="1" applyProtection="1">
      <alignment horizontal="left"/>
    </xf>
    <xf numFmtId="0" fontId="19" fillId="5" borderId="0" xfId="0" applyFont="1" applyFill="1" applyAlignment="1" applyProtection="1">
      <alignment horizontal="center"/>
    </xf>
    <xf numFmtId="0" fontId="0" fillId="6" borderId="0" xfId="0" applyFill="1" applyBorder="1"/>
    <xf numFmtId="0" fontId="3" fillId="6" borderId="0" xfId="0" applyFont="1" applyFill="1" applyBorder="1" applyAlignment="1">
      <alignment vertical="top" wrapText="1"/>
    </xf>
    <xf numFmtId="0" fontId="1" fillId="6" borderId="0" xfId="0" applyFont="1" applyFill="1" applyBorder="1" applyAlignment="1">
      <alignment horizontal="left" vertical="top" wrapText="1"/>
    </xf>
    <xf numFmtId="0" fontId="0" fillId="7" borderId="0" xfId="0" applyFill="1" applyBorder="1" applyProtection="1"/>
    <xf numFmtId="0" fontId="19" fillId="7" borderId="0" xfId="0" applyFont="1" applyFill="1" applyBorder="1" applyAlignment="1" applyProtection="1"/>
    <xf numFmtId="0" fontId="11" fillId="7" borderId="0" xfId="0" applyFont="1" applyFill="1" applyBorder="1" applyAlignment="1" applyProtection="1">
      <alignment horizontal="left"/>
    </xf>
    <xf numFmtId="0" fontId="0" fillId="7" borderId="0" xfId="0" applyFill="1" applyBorder="1" applyAlignment="1" applyProtection="1"/>
    <xf numFmtId="0" fontId="0" fillId="7" borderId="0" xfId="0" applyFill="1" applyBorder="1"/>
    <xf numFmtId="0" fontId="0" fillId="8" borderId="0" xfId="0" applyFill="1" applyBorder="1" applyProtection="1"/>
    <xf numFmtId="0" fontId="19" fillId="8" borderId="0" xfId="0" applyFont="1" applyFill="1" applyBorder="1" applyAlignment="1" applyProtection="1"/>
    <xf numFmtId="0" fontId="0" fillId="8" borderId="0" xfId="0" applyFill="1"/>
    <xf numFmtId="0" fontId="0" fillId="9" borderId="0" xfId="0" applyFill="1"/>
    <xf numFmtId="0" fontId="2" fillId="7" borderId="0" xfId="0" applyFont="1" applyFill="1" applyBorder="1" applyAlignment="1" applyProtection="1">
      <alignment horizontal="left"/>
    </xf>
    <xf numFmtId="0" fontId="11" fillId="7" borderId="0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right"/>
    </xf>
    <xf numFmtId="0" fontId="2" fillId="6" borderId="0" xfId="0" applyFont="1" applyFill="1" applyProtection="1"/>
    <xf numFmtId="0" fontId="2" fillId="7" borderId="0" xfId="0" applyFont="1" applyFill="1"/>
    <xf numFmtId="0" fontId="2" fillId="0" borderId="0" xfId="0" applyFont="1"/>
    <xf numFmtId="0" fontId="0" fillId="5" borderId="0" xfId="0" applyFill="1"/>
    <xf numFmtId="3" fontId="0" fillId="0" borderId="1" xfId="0" applyNumberFormat="1" applyBorder="1"/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" fillId="7" borderId="0" xfId="0" applyFont="1" applyFill="1" applyAlignment="1">
      <alignment horizontal="center"/>
    </xf>
    <xf numFmtId="0" fontId="0" fillId="10" borderId="0" xfId="0" applyFill="1" applyBorder="1" applyProtection="1"/>
    <xf numFmtId="0" fontId="19" fillId="10" borderId="0" xfId="0" applyFont="1" applyFill="1" applyBorder="1" applyAlignment="1" applyProtection="1"/>
    <xf numFmtId="0" fontId="11" fillId="10" borderId="0" xfId="0" applyFont="1" applyFill="1" applyBorder="1" applyAlignment="1" applyProtection="1">
      <alignment horizontal="left"/>
    </xf>
    <xf numFmtId="0" fontId="0" fillId="10" borderId="0" xfId="0" applyFill="1" applyBorder="1" applyAlignment="1" applyProtection="1"/>
    <xf numFmtId="0" fontId="11" fillId="10" borderId="0" xfId="0" applyFont="1" applyFill="1" applyBorder="1"/>
    <xf numFmtId="0" fontId="2" fillId="10" borderId="0" xfId="0" applyFont="1" applyFill="1" applyBorder="1"/>
    <xf numFmtId="0" fontId="0" fillId="7" borderId="0" xfId="0" applyFill="1"/>
    <xf numFmtId="0" fontId="0" fillId="7" borderId="0" xfId="0" applyFill="1" applyBorder="1" applyProtection="1">
      <protection locked="0"/>
    </xf>
    <xf numFmtId="1" fontId="12" fillId="7" borderId="0" xfId="0" applyNumberFormat="1" applyFont="1" applyFill="1" applyBorder="1" applyAlignment="1" applyProtection="1">
      <alignment horizontal="right"/>
    </xf>
    <xf numFmtId="0" fontId="7" fillId="0" borderId="0" xfId="0" applyFont="1" applyBorder="1" applyAlignment="1">
      <alignment wrapText="1"/>
    </xf>
    <xf numFmtId="0" fontId="8" fillId="0" borderId="0" xfId="0" applyFont="1" applyBorder="1" applyAlignment="1">
      <alignment wrapText="1"/>
    </xf>
    <xf numFmtId="0" fontId="4" fillId="0" borderId="0" xfId="0" applyFont="1" applyBorder="1" applyAlignment="1">
      <alignment horizontal="left" vertical="top" wrapText="1"/>
    </xf>
    <xf numFmtId="0" fontId="2" fillId="11" borderId="2" xfId="0" applyFont="1" applyFill="1" applyBorder="1" applyAlignment="1" applyProtection="1"/>
    <xf numFmtId="0" fontId="2" fillId="8" borderId="0" xfId="0" applyFont="1" applyFill="1" applyBorder="1"/>
    <xf numFmtId="0" fontId="5" fillId="11" borderId="0" xfId="0" applyFont="1" applyFill="1" applyBorder="1" applyAlignment="1">
      <alignment wrapText="1"/>
    </xf>
    <xf numFmtId="0" fontId="6" fillId="8" borderId="0" xfId="0" applyFont="1" applyFill="1" applyBorder="1" applyAlignment="1">
      <alignment wrapText="1"/>
    </xf>
    <xf numFmtId="0" fontId="11" fillId="8" borderId="0" xfId="0" applyFont="1" applyFill="1" applyBorder="1"/>
    <xf numFmtId="0" fontId="2" fillId="0" borderId="0" xfId="0" applyFont="1" applyFill="1"/>
    <xf numFmtId="0" fontId="6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6" fillId="0" borderId="0" xfId="0" applyFont="1" applyFill="1" applyBorder="1" applyAlignment="1">
      <alignment horizontal="left" wrapText="1"/>
    </xf>
    <xf numFmtId="0" fontId="4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22" fillId="0" borderId="0" xfId="0" applyFont="1" applyFill="1" applyBorder="1" applyAlignment="1">
      <alignment wrapText="1"/>
    </xf>
    <xf numFmtId="0" fontId="0" fillId="7" borderId="0" xfId="0" applyFill="1" applyProtection="1"/>
    <xf numFmtId="0" fontId="0" fillId="0" borderId="0" xfId="0" applyFill="1" applyProtection="1"/>
    <xf numFmtId="0" fontId="0" fillId="0" borderId="0" xfId="0" applyProtection="1"/>
    <xf numFmtId="0" fontId="11" fillId="12" borderId="0" xfId="0" applyFont="1" applyFill="1" applyBorder="1" applyAlignment="1" applyProtection="1">
      <alignment horizontal="left"/>
    </xf>
    <xf numFmtId="0" fontId="0" fillId="12" borderId="0" xfId="0" applyFill="1" applyBorder="1" applyAlignment="1" applyProtection="1"/>
    <xf numFmtId="0" fontId="0" fillId="12" borderId="0" xfId="0" applyFill="1" applyBorder="1" applyProtection="1"/>
    <xf numFmtId="0" fontId="19" fillId="13" borderId="0" xfId="0" applyFont="1" applyFill="1" applyBorder="1" applyAlignment="1" applyProtection="1"/>
    <xf numFmtId="0" fontId="11" fillId="7" borderId="0" xfId="0" applyFont="1" applyFill="1" applyBorder="1" applyAlignment="1" applyProtection="1"/>
    <xf numFmtId="0" fontId="11" fillId="7" borderId="0" xfId="0" applyFont="1" applyFill="1" applyBorder="1" applyProtection="1"/>
    <xf numFmtId="0" fontId="11" fillId="7" borderId="0" xfId="0" applyFont="1" applyFill="1" applyBorder="1" applyAlignment="1" applyProtection="1">
      <protection locked="0"/>
    </xf>
    <xf numFmtId="0" fontId="5" fillId="14" borderId="0" xfId="0" applyFont="1" applyFill="1" applyBorder="1" applyAlignment="1">
      <alignment wrapText="1"/>
    </xf>
    <xf numFmtId="0" fontId="5" fillId="11" borderId="3" xfId="0" applyFont="1" applyFill="1" applyBorder="1" applyAlignment="1">
      <alignment wrapText="1"/>
    </xf>
    <xf numFmtId="0" fontId="5" fillId="11" borderId="4" xfId="0" applyFont="1" applyFill="1" applyBorder="1" applyAlignment="1">
      <alignment wrapText="1"/>
    </xf>
    <xf numFmtId="0" fontId="5" fillId="11" borderId="5" xfId="0" applyFont="1" applyFill="1" applyBorder="1" applyAlignment="1">
      <alignment wrapText="1"/>
    </xf>
    <xf numFmtId="0" fontId="2" fillId="14" borderId="0" xfId="0" applyFont="1" applyFill="1" applyAlignment="1" applyProtection="1"/>
    <xf numFmtId="0" fontId="5" fillId="14" borderId="3" xfId="0" applyFont="1" applyFill="1" applyBorder="1" applyAlignment="1">
      <alignment wrapText="1"/>
    </xf>
    <xf numFmtId="0" fontId="5" fillId="14" borderId="6" xfId="0" applyFont="1" applyFill="1" applyBorder="1" applyAlignment="1">
      <alignment horizontal="left" wrapText="1"/>
    </xf>
    <xf numFmtId="0" fontId="5" fillId="11" borderId="6" xfId="0" applyFont="1" applyFill="1" applyBorder="1" applyAlignment="1">
      <alignment wrapText="1"/>
    </xf>
    <xf numFmtId="0" fontId="23" fillId="0" borderId="0" xfId="0" applyFont="1" applyFill="1" applyBorder="1" applyAlignment="1">
      <alignment wrapText="1"/>
    </xf>
    <xf numFmtId="3" fontId="0" fillId="0" borderId="7" xfId="0" applyNumberFormat="1" applyBorder="1"/>
    <xf numFmtId="3" fontId="0" fillId="0" borderId="8" xfId="0" applyNumberFormat="1" applyBorder="1"/>
    <xf numFmtId="0" fontId="0" fillId="14" borderId="9" xfId="0" applyFill="1" applyBorder="1"/>
    <xf numFmtId="0" fontId="0" fillId="11" borderId="10" xfId="0" applyFill="1" applyBorder="1"/>
    <xf numFmtId="0" fontId="14" fillId="3" borderId="0" xfId="0" applyFont="1" applyFill="1"/>
    <xf numFmtId="0" fontId="0" fillId="14" borderId="9" xfId="0" applyFill="1" applyBorder="1" applyAlignment="1"/>
    <xf numFmtId="0" fontId="21" fillId="14" borderId="11" xfId="0" applyFont="1" applyFill="1" applyBorder="1" applyAlignment="1">
      <alignment horizontal="center"/>
    </xf>
    <xf numFmtId="0" fontId="0" fillId="11" borderId="10" xfId="0" applyFill="1" applyBorder="1" applyAlignment="1"/>
    <xf numFmtId="0" fontId="21" fillId="11" borderId="12" xfId="0" applyFont="1" applyFill="1" applyBorder="1" applyAlignment="1">
      <alignment horizontal="center"/>
    </xf>
    <xf numFmtId="3" fontId="0" fillId="0" borderId="13" xfId="0" applyNumberFormat="1" applyBorder="1"/>
    <xf numFmtId="0" fontId="24" fillId="0" borderId="0" xfId="0" applyNumberFormat="1" applyFont="1" applyBorder="1" applyAlignment="1">
      <alignment horizontal="left" vertical="center" wrapText="1"/>
    </xf>
    <xf numFmtId="0" fontId="0" fillId="10" borderId="0" xfId="0" applyFill="1" applyBorder="1"/>
    <xf numFmtId="0" fontId="0" fillId="10" borderId="0" xfId="0" applyFill="1"/>
    <xf numFmtId="0" fontId="21" fillId="10" borderId="0" xfId="0" applyFont="1" applyFill="1" applyAlignment="1">
      <alignment horizontal="center"/>
    </xf>
    <xf numFmtId="0" fontId="3" fillId="10" borderId="0" xfId="0" applyFont="1" applyFill="1" applyBorder="1" applyAlignment="1">
      <alignment vertical="top" wrapText="1"/>
    </xf>
    <xf numFmtId="0" fontId="1" fillId="10" borderId="0" xfId="0" applyFont="1" applyFill="1" applyBorder="1" applyAlignment="1">
      <alignment horizontal="left" vertical="top" wrapText="1"/>
    </xf>
    <xf numFmtId="0" fontId="2" fillId="7" borderId="0" xfId="0" applyFont="1" applyFill="1" applyBorder="1" applyAlignment="1" applyProtection="1"/>
    <xf numFmtId="0" fontId="2" fillId="7" borderId="0" xfId="0" applyFont="1" applyFill="1" applyBorder="1" applyProtection="1"/>
    <xf numFmtId="0" fontId="2" fillId="0" borderId="0" xfId="0" applyFont="1" applyProtection="1"/>
    <xf numFmtId="0" fontId="0" fillId="7" borderId="0" xfId="0" applyFill="1" applyAlignment="1">
      <alignment horizontal="left" vertical="center"/>
    </xf>
    <xf numFmtId="0" fontId="14" fillId="7" borderId="0" xfId="0" applyFont="1" applyFill="1" applyBorder="1" applyAlignment="1">
      <alignment horizontal="left" vertical="center"/>
    </xf>
    <xf numFmtId="0" fontId="15" fillId="7" borderId="0" xfId="0" applyFont="1" applyFill="1" applyBorder="1" applyAlignment="1">
      <alignment horizontal="left" vertical="center"/>
    </xf>
    <xf numFmtId="3" fontId="2" fillId="7" borderId="0" xfId="0" applyNumberFormat="1" applyFont="1" applyFill="1" applyBorder="1" applyAlignment="1" applyProtection="1">
      <alignment vertical="center"/>
      <protection locked="0"/>
    </xf>
    <xf numFmtId="0" fontId="14" fillId="2" borderId="0" xfId="0" applyFont="1" applyFill="1"/>
    <xf numFmtId="9" fontId="14" fillId="2" borderId="0" xfId="0" applyNumberFormat="1" applyFont="1" applyFill="1"/>
    <xf numFmtId="0" fontId="14" fillId="7" borderId="0" xfId="0" applyFont="1" applyFill="1" applyBorder="1" applyAlignment="1">
      <alignment vertical="center"/>
    </xf>
    <xf numFmtId="0" fontId="14" fillId="15" borderId="0" xfId="0" applyFont="1" applyFill="1" applyBorder="1" applyAlignment="1">
      <alignment horizontal="left" vertical="center"/>
    </xf>
    <xf numFmtId="0" fontId="0" fillId="6" borderId="0" xfId="0" applyFill="1" applyBorder="1" applyAlignment="1" applyProtection="1"/>
    <xf numFmtId="0" fontId="14" fillId="7" borderId="0" xfId="0" applyFont="1" applyFill="1" applyAlignment="1">
      <alignment vertical="center"/>
    </xf>
    <xf numFmtId="3" fontId="15" fillId="15" borderId="0" xfId="0" applyNumberFormat="1" applyFont="1" applyFill="1" applyAlignment="1">
      <alignment horizontal="right" vertical="center"/>
    </xf>
    <xf numFmtId="0" fontId="14" fillId="15" borderId="0" xfId="0" applyFont="1" applyFill="1" applyBorder="1" applyAlignment="1">
      <alignment vertical="center"/>
    </xf>
    <xf numFmtId="0" fontId="14" fillId="15" borderId="0" xfId="0" applyFont="1" applyFill="1" applyBorder="1" applyAlignment="1" applyProtection="1">
      <alignment vertical="center"/>
    </xf>
    <xf numFmtId="0" fontId="25" fillId="15" borderId="0" xfId="0" applyFont="1" applyFill="1" applyBorder="1" applyAlignment="1" applyProtection="1">
      <alignment vertical="center"/>
    </xf>
    <xf numFmtId="0" fontId="14" fillId="15" borderId="0" xfId="0" applyFont="1" applyFill="1" applyAlignment="1">
      <alignment vertical="center"/>
    </xf>
    <xf numFmtId="3" fontId="0" fillId="15" borderId="0" xfId="0" applyNumberFormat="1" applyFill="1" applyAlignment="1">
      <alignment vertical="center"/>
    </xf>
    <xf numFmtId="0" fontId="11" fillId="15" borderId="0" xfId="0" applyFont="1" applyFill="1" applyBorder="1" applyAlignment="1" applyProtection="1">
      <alignment horizontal="left" vertical="center"/>
    </xf>
    <xf numFmtId="3" fontId="0" fillId="15" borderId="0" xfId="0" applyNumberFormat="1" applyFill="1" applyBorder="1" applyAlignment="1">
      <alignment vertical="center"/>
    </xf>
    <xf numFmtId="3" fontId="14" fillId="2" borderId="0" xfId="0" applyNumberFormat="1" applyFont="1" applyFill="1" applyBorder="1"/>
    <xf numFmtId="0" fontId="14" fillId="2" borderId="0" xfId="0" applyFont="1" applyFill="1" applyProtection="1"/>
    <xf numFmtId="3" fontId="0" fillId="6" borderId="0" xfId="0" applyNumberFormat="1" applyFill="1" applyBorder="1"/>
    <xf numFmtId="3" fontId="26" fillId="6" borderId="0" xfId="0" applyNumberFormat="1" applyFont="1" applyFill="1" applyBorder="1" applyAlignment="1" applyProtection="1">
      <alignment horizontal="right" vertical="center"/>
      <protection locked="0"/>
    </xf>
    <xf numFmtId="0" fontId="15" fillId="6" borderId="0" xfId="0" applyFont="1" applyFill="1" applyBorder="1"/>
    <xf numFmtId="0" fontId="14" fillId="16" borderId="0" xfId="0" applyFont="1" applyFill="1"/>
    <xf numFmtId="0" fontId="14" fillId="8" borderId="0" xfId="0" applyFont="1" applyFill="1" applyBorder="1" applyAlignment="1">
      <alignment horizontal="left" vertical="center"/>
    </xf>
    <xf numFmtId="0" fontId="14" fillId="8" borderId="0" xfId="0" applyFont="1" applyFill="1" applyBorder="1"/>
    <xf numFmtId="0" fontId="14" fillId="8" borderId="0" xfId="0" applyFont="1" applyFill="1" applyBorder="1" applyAlignment="1">
      <alignment vertical="center"/>
    </xf>
    <xf numFmtId="0" fontId="15" fillId="8" borderId="9" xfId="0" applyFont="1" applyFill="1" applyBorder="1" applyAlignment="1">
      <alignment horizontal="left" vertical="center"/>
    </xf>
    <xf numFmtId="0" fontId="14" fillId="8" borderId="9" xfId="0" applyFont="1" applyFill="1" applyBorder="1" applyAlignment="1">
      <alignment horizontal="left" vertical="center"/>
    </xf>
    <xf numFmtId="0" fontId="0" fillId="8" borderId="9" xfId="0" applyFill="1" applyBorder="1" applyAlignment="1">
      <alignment horizontal="left" vertical="center"/>
    </xf>
    <xf numFmtId="0" fontId="0" fillId="8" borderId="9" xfId="0" applyFill="1" applyBorder="1" applyProtection="1"/>
    <xf numFmtId="1" fontId="12" fillId="8" borderId="11" xfId="0" applyNumberFormat="1" applyFont="1" applyFill="1" applyBorder="1" applyAlignment="1" applyProtection="1">
      <alignment horizontal="right"/>
    </xf>
    <xf numFmtId="1" fontId="12" fillId="8" borderId="14" xfId="0" applyNumberFormat="1" applyFont="1" applyFill="1" applyBorder="1" applyAlignment="1" applyProtection="1">
      <alignment horizontal="right"/>
    </xf>
    <xf numFmtId="0" fontId="14" fillId="8" borderId="2" xfId="0" applyFont="1" applyFill="1" applyBorder="1" applyAlignment="1">
      <alignment vertical="center"/>
    </xf>
    <xf numFmtId="0" fontId="14" fillId="8" borderId="2" xfId="0" applyFont="1" applyFill="1" applyBorder="1"/>
    <xf numFmtId="0" fontId="0" fillId="8" borderId="2" xfId="0" applyFill="1" applyBorder="1" applyProtection="1"/>
    <xf numFmtId="1" fontId="12" fillId="8" borderId="15" xfId="0" applyNumberFormat="1" applyFont="1" applyFill="1" applyBorder="1" applyAlignment="1" applyProtection="1">
      <alignment horizontal="right"/>
    </xf>
    <xf numFmtId="0" fontId="15" fillId="8" borderId="3" xfId="0" applyFont="1" applyFill="1" applyBorder="1" applyAlignment="1">
      <alignment horizontal="left" vertical="center"/>
    </xf>
    <xf numFmtId="0" fontId="14" fillId="8" borderId="6" xfId="0" applyFont="1" applyFill="1" applyBorder="1" applyAlignment="1">
      <alignment horizontal="left" vertical="center"/>
    </xf>
    <xf numFmtId="0" fontId="14" fillId="8" borderId="6" xfId="0" applyFont="1" applyFill="1" applyBorder="1" applyAlignment="1">
      <alignment vertical="center"/>
    </xf>
    <xf numFmtId="0" fontId="14" fillId="8" borderId="4" xfId="0" applyFont="1" applyFill="1" applyBorder="1" applyAlignment="1">
      <alignment vertical="center"/>
    </xf>
    <xf numFmtId="0" fontId="11" fillId="7" borderId="0" xfId="0" applyFont="1" applyFill="1" applyBorder="1" applyAlignment="1" applyProtection="1">
      <alignment horizontal="left" vertical="center"/>
    </xf>
    <xf numFmtId="3" fontId="0" fillId="7" borderId="0" xfId="0" applyNumberFormat="1" applyFill="1" applyBorder="1" applyAlignment="1">
      <alignment vertical="center"/>
    </xf>
    <xf numFmtId="3" fontId="21" fillId="17" borderId="1" xfId="0" applyNumberFormat="1" applyFont="1" applyFill="1" applyBorder="1" applyAlignment="1" applyProtection="1"/>
    <xf numFmtId="3" fontId="2" fillId="2" borderId="1" xfId="0" applyNumberFormat="1" applyFont="1" applyFill="1" applyBorder="1" applyProtection="1"/>
    <xf numFmtId="3" fontId="2" fillId="0" borderId="1" xfId="0" applyNumberFormat="1" applyFont="1" applyBorder="1" applyProtection="1">
      <protection locked="0"/>
    </xf>
    <xf numFmtId="3" fontId="2" fillId="0" borderId="1" xfId="0" applyNumberFormat="1" applyFont="1" applyFill="1" applyBorder="1" applyProtection="1">
      <protection locked="0"/>
    </xf>
    <xf numFmtId="3" fontId="2" fillId="7" borderId="1" xfId="0" applyNumberFormat="1" applyFont="1" applyFill="1" applyBorder="1" applyProtection="1">
      <protection locked="0"/>
    </xf>
    <xf numFmtId="3" fontId="2" fillId="0" borderId="7" xfId="0" applyNumberFormat="1" applyFont="1" applyBorder="1" applyProtection="1">
      <protection locked="0"/>
    </xf>
    <xf numFmtId="3" fontId="2" fillId="2" borderId="8" xfId="0" applyNumberFormat="1" applyFont="1" applyFill="1" applyBorder="1" applyProtection="1"/>
    <xf numFmtId="3" fontId="2" fillId="11" borderId="12" xfId="0" applyNumberFormat="1" applyFont="1" applyFill="1" applyBorder="1" applyProtection="1"/>
    <xf numFmtId="3" fontId="2" fillId="0" borderId="8" xfId="0" applyNumberFormat="1" applyFont="1" applyBorder="1" applyProtection="1">
      <protection locked="0"/>
    </xf>
    <xf numFmtId="3" fontId="2" fillId="11" borderId="11" xfId="0" applyNumberFormat="1" applyFont="1" applyFill="1" applyBorder="1" applyProtection="1"/>
    <xf numFmtId="3" fontId="2" fillId="11" borderId="15" xfId="0" applyNumberFormat="1" applyFont="1" applyFill="1" applyBorder="1" applyProtection="1"/>
    <xf numFmtId="3" fontId="2" fillId="14" borderId="11" xfId="0" applyNumberFormat="1" applyFont="1" applyFill="1" applyBorder="1" applyProtection="1"/>
    <xf numFmtId="3" fontId="2" fillId="14" borderId="14" xfId="0" applyNumberFormat="1" applyFont="1" applyFill="1" applyBorder="1" applyProtection="1"/>
    <xf numFmtId="3" fontId="2" fillId="11" borderId="14" xfId="0" applyNumberFormat="1" applyFont="1" applyFill="1" applyBorder="1" applyProtection="1"/>
    <xf numFmtId="0" fontId="2" fillId="10" borderId="0" xfId="0" applyFont="1" applyFill="1" applyBorder="1" applyProtection="1"/>
    <xf numFmtId="3" fontId="2" fillId="0" borderId="1" xfId="0" applyNumberFormat="1" applyFont="1" applyBorder="1" applyProtection="1"/>
    <xf numFmtId="0" fontId="10" fillId="7" borderId="0" xfId="0" applyFont="1" applyFill="1" applyBorder="1" applyProtection="1">
      <protection locked="0"/>
    </xf>
    <xf numFmtId="0" fontId="10" fillId="7" borderId="0" xfId="0" applyFont="1" applyFill="1" applyBorder="1" applyAlignment="1" applyProtection="1">
      <protection locked="0"/>
    </xf>
    <xf numFmtId="3" fontId="2" fillId="2" borderId="8" xfId="0" applyNumberFormat="1" applyFont="1" applyFill="1" applyBorder="1"/>
    <xf numFmtId="3" fontId="2" fillId="2" borderId="1" xfId="0" applyNumberFormat="1" applyFont="1" applyFill="1" applyBorder="1"/>
    <xf numFmtId="3" fontId="2" fillId="2" borderId="7" xfId="0" applyNumberFormat="1" applyFont="1" applyFill="1" applyBorder="1"/>
    <xf numFmtId="3" fontId="2" fillId="11" borderId="0" xfId="0" applyNumberFormat="1" applyFont="1" applyFill="1" applyBorder="1" applyProtection="1"/>
    <xf numFmtId="3" fontId="2" fillId="11" borderId="5" xfId="0" applyNumberFormat="1" applyFont="1" applyFill="1" applyBorder="1" applyProtection="1"/>
    <xf numFmtId="3" fontId="2" fillId="11" borderId="10" xfId="0" applyNumberFormat="1" applyFont="1" applyFill="1" applyBorder="1" applyProtection="1"/>
    <xf numFmtId="3" fontId="2" fillId="2" borderId="5" xfId="0" applyNumberFormat="1" applyFont="1" applyFill="1" applyBorder="1" applyProtection="1"/>
    <xf numFmtId="3" fontId="2" fillId="2" borderId="10" xfId="0" applyNumberFormat="1" applyFont="1" applyFill="1" applyBorder="1" applyProtection="1"/>
    <xf numFmtId="3" fontId="2" fillId="14" borderId="0" xfId="0" applyNumberFormat="1" applyFont="1" applyFill="1" applyBorder="1" applyProtection="1"/>
    <xf numFmtId="3" fontId="2" fillId="14" borderId="3" xfId="0" applyNumberFormat="1" applyFont="1" applyFill="1" applyBorder="1" applyProtection="1"/>
    <xf numFmtId="3" fontId="2" fillId="14" borderId="9" xfId="0" applyNumberFormat="1" applyFont="1" applyFill="1" applyBorder="1" applyProtection="1"/>
    <xf numFmtId="0" fontId="16" fillId="11" borderId="3" xfId="0" applyFont="1" applyFill="1" applyBorder="1" applyAlignment="1">
      <alignment wrapText="1"/>
    </xf>
    <xf numFmtId="0" fontId="4" fillId="11" borderId="6" xfId="0" applyFont="1" applyFill="1" applyBorder="1" applyAlignment="1">
      <alignment wrapText="1"/>
    </xf>
    <xf numFmtId="0" fontId="4" fillId="11" borderId="4" xfId="0" applyFont="1" applyFill="1" applyBorder="1" applyAlignment="1">
      <alignment wrapText="1"/>
    </xf>
    <xf numFmtId="3" fontId="2" fillId="14" borderId="6" xfId="0" applyNumberFormat="1" applyFont="1" applyFill="1" applyBorder="1" applyProtection="1"/>
    <xf numFmtId="3" fontId="2" fillId="11" borderId="3" xfId="0" applyNumberFormat="1" applyFont="1" applyFill="1" applyBorder="1" applyProtection="1"/>
    <xf numFmtId="3" fontId="2" fillId="11" borderId="9" xfId="0" applyNumberFormat="1" applyFont="1" applyFill="1" applyBorder="1" applyProtection="1"/>
    <xf numFmtId="3" fontId="2" fillId="11" borderId="6" xfId="0" applyNumberFormat="1" applyFont="1" applyFill="1" applyBorder="1" applyProtection="1"/>
    <xf numFmtId="3" fontId="2" fillId="11" borderId="4" xfId="0" applyNumberFormat="1" applyFont="1" applyFill="1" applyBorder="1" applyProtection="1"/>
    <xf numFmtId="3" fontId="2" fillId="11" borderId="2" xfId="0" applyNumberFormat="1" applyFont="1" applyFill="1" applyBorder="1" applyProtection="1"/>
    <xf numFmtId="3" fontId="2" fillId="2" borderId="13" xfId="0" applyNumberFormat="1" applyFont="1" applyFill="1" applyBorder="1"/>
    <xf numFmtId="0" fontId="5" fillId="11" borderId="9" xfId="0" applyFont="1" applyFill="1" applyBorder="1" applyAlignment="1">
      <alignment wrapText="1"/>
    </xf>
    <xf numFmtId="0" fontId="2" fillId="11" borderId="10" xfId="0" applyFont="1" applyFill="1" applyBorder="1" applyAlignment="1" applyProtection="1"/>
    <xf numFmtId="3" fontId="12" fillId="2" borderId="8" xfId="0" applyNumberFormat="1" applyFont="1" applyFill="1" applyBorder="1" applyAlignment="1">
      <alignment horizontal="right"/>
    </xf>
    <xf numFmtId="3" fontId="10" fillId="2" borderId="8" xfId="0" applyNumberFormat="1" applyFont="1" applyFill="1" applyBorder="1"/>
    <xf numFmtId="3" fontId="17" fillId="12" borderId="8" xfId="0" applyNumberFormat="1" applyFont="1" applyFill="1" applyBorder="1" applyAlignment="1">
      <alignment horizontal="right"/>
    </xf>
    <xf numFmtId="3" fontId="10" fillId="2" borderId="1" xfId="0" applyNumberFormat="1" applyFont="1" applyFill="1" applyBorder="1"/>
    <xf numFmtId="3" fontId="17" fillId="2" borderId="1" xfId="0" applyNumberFormat="1" applyFont="1" applyFill="1" applyBorder="1" applyAlignment="1">
      <alignment horizontal="right"/>
    </xf>
    <xf numFmtId="3" fontId="12" fillId="2" borderId="7" xfId="0" applyNumberFormat="1" applyFont="1" applyFill="1" applyBorder="1" applyAlignment="1">
      <alignment horizontal="right"/>
    </xf>
    <xf numFmtId="3" fontId="12" fillId="2" borderId="13" xfId="0" applyNumberFormat="1" applyFont="1" applyFill="1" applyBorder="1" applyAlignment="1">
      <alignment horizontal="right"/>
    </xf>
    <xf numFmtId="3" fontId="17" fillId="12" borderId="7" xfId="0" applyNumberFormat="1" applyFont="1" applyFill="1" applyBorder="1" applyAlignment="1">
      <alignment horizontal="right"/>
    </xf>
    <xf numFmtId="3" fontId="10" fillId="2" borderId="7" xfId="0" applyNumberFormat="1" applyFont="1" applyFill="1" applyBorder="1"/>
    <xf numFmtId="3" fontId="17" fillId="2" borderId="7" xfId="0" applyNumberFormat="1" applyFont="1" applyFill="1" applyBorder="1" applyAlignment="1">
      <alignment horizontal="right"/>
    </xf>
    <xf numFmtId="3" fontId="10" fillId="7" borderId="8" xfId="0" applyNumberFormat="1" applyFont="1" applyFill="1" applyBorder="1"/>
    <xf numFmtId="3" fontId="10" fillId="7" borderId="13" xfId="0" applyNumberFormat="1" applyFont="1" applyFill="1" applyBorder="1"/>
    <xf numFmtId="3" fontId="19" fillId="18" borderId="4" xfId="0" applyNumberFormat="1" applyFont="1" applyFill="1" applyBorder="1" applyAlignment="1">
      <alignment horizontal="right"/>
    </xf>
    <xf numFmtId="3" fontId="27" fillId="18" borderId="4" xfId="0" applyNumberFormat="1" applyFont="1" applyFill="1" applyBorder="1" applyAlignment="1">
      <alignment horizontal="right"/>
    </xf>
    <xf numFmtId="3" fontId="27" fillId="18" borderId="1" xfId="0" applyNumberFormat="1" applyFont="1" applyFill="1" applyBorder="1" applyAlignment="1">
      <alignment horizontal="right"/>
    </xf>
    <xf numFmtId="3" fontId="19" fillId="18" borderId="7" xfId="0" applyNumberFormat="1" applyFont="1" applyFill="1" applyBorder="1" applyAlignment="1">
      <alignment horizontal="right"/>
    </xf>
    <xf numFmtId="3" fontId="2" fillId="18" borderId="10" xfId="0" applyNumberFormat="1" applyFont="1" applyFill="1" applyBorder="1" applyProtection="1"/>
    <xf numFmtId="3" fontId="19" fillId="18" borderId="13" xfId="0" applyNumberFormat="1" applyFont="1" applyFill="1" applyBorder="1" applyAlignment="1">
      <alignment horizontal="right"/>
    </xf>
    <xf numFmtId="3" fontId="2" fillId="18" borderId="9" xfId="0" applyNumberFormat="1" applyFont="1" applyFill="1" applyBorder="1" applyProtection="1"/>
    <xf numFmtId="3" fontId="2" fillId="18" borderId="0" xfId="0" applyNumberFormat="1" applyFont="1" applyFill="1" applyBorder="1" applyProtection="1"/>
    <xf numFmtId="3" fontId="2" fillId="18" borderId="2" xfId="0" applyNumberFormat="1" applyFont="1" applyFill="1" applyBorder="1" applyProtection="1"/>
    <xf numFmtId="3" fontId="27" fillId="18" borderId="7" xfId="0" applyNumberFormat="1" applyFont="1" applyFill="1" applyBorder="1" applyAlignment="1">
      <alignment horizontal="right"/>
    </xf>
    <xf numFmtId="9" fontId="2" fillId="2" borderId="10" xfId="0" applyNumberFormat="1" applyFont="1" applyFill="1" applyBorder="1" applyProtection="1"/>
    <xf numFmtId="9" fontId="21" fillId="13" borderId="8" xfId="0" applyNumberFormat="1" applyFont="1" applyFill="1" applyBorder="1" applyAlignment="1">
      <alignment horizontal="right" vertical="center"/>
    </xf>
    <xf numFmtId="9" fontId="2" fillId="11" borderId="12" xfId="0" applyNumberFormat="1" applyFont="1" applyFill="1" applyBorder="1" applyAlignment="1" applyProtection="1">
      <alignment horizontal="right" vertical="center"/>
    </xf>
    <xf numFmtId="9" fontId="2" fillId="14" borderId="11" xfId="0" applyNumberFormat="1" applyFont="1" applyFill="1" applyBorder="1" applyAlignment="1" applyProtection="1">
      <alignment horizontal="right" vertical="center"/>
    </xf>
    <xf numFmtId="9" fontId="2" fillId="14" borderId="14" xfId="0" applyNumberFormat="1" applyFont="1" applyFill="1" applyBorder="1" applyAlignment="1" applyProtection="1">
      <alignment horizontal="right" vertical="center"/>
    </xf>
    <xf numFmtId="9" fontId="2" fillId="11" borderId="11" xfId="0" applyNumberFormat="1" applyFont="1" applyFill="1" applyBorder="1" applyAlignment="1" applyProtection="1">
      <alignment horizontal="right" vertical="center"/>
    </xf>
    <xf numFmtId="9" fontId="2" fillId="11" borderId="14" xfId="0" applyNumberFormat="1" applyFont="1" applyFill="1" applyBorder="1" applyAlignment="1" applyProtection="1">
      <alignment horizontal="right" vertical="center"/>
    </xf>
    <xf numFmtId="9" fontId="2" fillId="11" borderId="15" xfId="0" applyNumberFormat="1" applyFont="1" applyFill="1" applyBorder="1" applyAlignment="1" applyProtection="1">
      <alignment horizontal="right" vertical="center"/>
    </xf>
    <xf numFmtId="9" fontId="21" fillId="13" borderId="13" xfId="0" applyNumberFormat="1" applyFont="1" applyFill="1" applyBorder="1" applyAlignment="1">
      <alignment horizontal="right" vertical="center"/>
    </xf>
    <xf numFmtId="9" fontId="2" fillId="2" borderId="12" xfId="0" applyNumberFormat="1" applyFont="1" applyFill="1" applyBorder="1" applyAlignment="1" applyProtection="1">
      <alignment horizontal="right" vertical="center"/>
    </xf>
    <xf numFmtId="9" fontId="21" fillId="13" borderId="1" xfId="0" applyNumberFormat="1" applyFont="1" applyFill="1" applyBorder="1" applyAlignment="1">
      <alignment horizontal="right" vertical="center"/>
    </xf>
    <xf numFmtId="3" fontId="17" fillId="2" borderId="8" xfId="0" applyNumberFormat="1" applyFont="1" applyFill="1" applyBorder="1" applyAlignment="1">
      <alignment horizontal="right"/>
    </xf>
    <xf numFmtId="3" fontId="17" fillId="12" borderId="13" xfId="0" applyNumberFormat="1" applyFont="1" applyFill="1" applyBorder="1" applyAlignment="1">
      <alignment horizontal="right"/>
    </xf>
    <xf numFmtId="3" fontId="27" fillId="18" borderId="6" xfId="0" applyNumberFormat="1" applyFont="1" applyFill="1" applyBorder="1" applyAlignment="1">
      <alignment horizontal="right"/>
    </xf>
    <xf numFmtId="3" fontId="17" fillId="12" borderId="1" xfId="0" applyNumberFormat="1" applyFont="1" applyFill="1" applyBorder="1" applyAlignment="1">
      <alignment horizontal="right"/>
    </xf>
    <xf numFmtId="3" fontId="27" fillId="18" borderId="13" xfId="0" applyNumberFormat="1" applyFont="1" applyFill="1" applyBorder="1" applyAlignment="1">
      <alignment horizontal="right"/>
    </xf>
    <xf numFmtId="3" fontId="10" fillId="2" borderId="13" xfId="0" applyNumberFormat="1" applyFont="1" applyFill="1" applyBorder="1"/>
    <xf numFmtId="0" fontId="18" fillId="0" borderId="0" xfId="0" applyFont="1" applyAlignment="1">
      <alignment horizontal="left"/>
    </xf>
    <xf numFmtId="0" fontId="14" fillId="19" borderId="5" xfId="0" applyFont="1" applyFill="1" applyBorder="1" applyAlignment="1">
      <alignment vertical="center"/>
    </xf>
    <xf numFmtId="0" fontId="14" fillId="19" borderId="10" xfId="0" applyFont="1" applyFill="1" applyBorder="1" applyAlignment="1">
      <alignment vertical="center"/>
    </xf>
    <xf numFmtId="3" fontId="0" fillId="19" borderId="10" xfId="0" applyNumberFormat="1" applyFill="1" applyBorder="1" applyAlignment="1">
      <alignment vertical="center"/>
    </xf>
    <xf numFmtId="3" fontId="15" fillId="19" borderId="12" xfId="0" applyNumberFormat="1" applyFont="1" applyFill="1" applyBorder="1" applyAlignment="1">
      <alignment horizontal="right" vertical="center"/>
    </xf>
    <xf numFmtId="164" fontId="18" fillId="7" borderId="1" xfId="0" applyNumberFormat="1" applyFont="1" applyFill="1" applyBorder="1" applyAlignment="1" applyProtection="1">
      <alignment horizontal="right" vertical="center"/>
      <protection locked="0"/>
    </xf>
    <xf numFmtId="0" fontId="10" fillId="2" borderId="0" xfId="0" applyFont="1" applyFill="1"/>
    <xf numFmtId="10" fontId="0" fillId="0" borderId="0" xfId="0" applyNumberFormat="1"/>
    <xf numFmtId="165" fontId="32" fillId="2" borderId="1" xfId="0" applyNumberFormat="1" applyFont="1" applyFill="1" applyBorder="1" applyProtection="1">
      <protection locked="0"/>
    </xf>
    <xf numFmtId="3" fontId="0" fillId="0" borderId="0" xfId="0" applyNumberFormat="1"/>
    <xf numFmtId="3" fontId="34" fillId="12" borderId="1" xfId="0" applyNumberFormat="1" applyFont="1" applyFill="1" applyBorder="1"/>
    <xf numFmtId="3" fontId="34" fillId="23" borderId="7" xfId="0" applyNumberFormat="1" applyFont="1" applyFill="1" applyBorder="1"/>
    <xf numFmtId="3" fontId="34" fillId="23" borderId="13" xfId="0" applyNumberFormat="1" applyFont="1" applyFill="1" applyBorder="1"/>
    <xf numFmtId="3" fontId="34" fillId="23" borderId="8" xfId="0" applyNumberFormat="1" applyFont="1" applyFill="1" applyBorder="1"/>
    <xf numFmtId="9" fontId="34" fillId="23" borderId="7" xfId="0" applyNumberFormat="1" applyFont="1" applyFill="1" applyBorder="1" applyAlignment="1">
      <alignment horizontal="center"/>
    </xf>
    <xf numFmtId="9" fontId="34" fillId="23" borderId="13" xfId="0" applyNumberFormat="1" applyFont="1" applyFill="1" applyBorder="1" applyAlignment="1">
      <alignment horizontal="center"/>
    </xf>
    <xf numFmtId="9" fontId="34" fillId="23" borderId="8" xfId="0" applyNumberFormat="1" applyFont="1" applyFill="1" applyBorder="1" applyAlignment="1">
      <alignment horizontal="center"/>
    </xf>
    <xf numFmtId="0" fontId="35" fillId="0" borderId="0" xfId="0" applyFont="1"/>
    <xf numFmtId="0" fontId="10" fillId="0" borderId="0" xfId="0" applyFont="1"/>
    <xf numFmtId="0" fontId="37" fillId="0" borderId="0" xfId="0" applyFont="1"/>
    <xf numFmtId="0" fontId="10" fillId="7" borderId="0" xfId="0" applyFont="1" applyFill="1" applyBorder="1" applyAlignment="1" applyProtection="1"/>
    <xf numFmtId="0" fontId="0" fillId="0" borderId="0" xfId="0" applyAlignment="1"/>
    <xf numFmtId="166" fontId="0" fillId="0" borderId="0" xfId="0" applyNumberFormat="1"/>
    <xf numFmtId="0" fontId="0" fillId="13" borderId="3" xfId="0" applyFill="1" applyBorder="1"/>
    <xf numFmtId="0" fontId="0" fillId="13" borderId="9" xfId="0" applyFill="1" applyBorder="1"/>
    <xf numFmtId="0" fontId="0" fillId="13" borderId="11" xfId="0" applyFill="1" applyBorder="1"/>
    <xf numFmtId="0" fontId="0" fillId="24" borderId="6" xfId="0" applyFill="1" applyBorder="1"/>
    <xf numFmtId="0" fontId="0" fillId="24" borderId="0" xfId="0" applyFill="1" applyBorder="1"/>
    <xf numFmtId="0" fontId="0" fillId="24" borderId="4" xfId="0" applyFill="1" applyBorder="1"/>
    <xf numFmtId="0" fontId="0" fillId="24" borderId="2" xfId="0" applyFill="1" applyBorder="1"/>
    <xf numFmtId="0" fontId="2" fillId="24" borderId="6" xfId="0" applyFont="1" applyFill="1" applyBorder="1"/>
    <xf numFmtId="0" fontId="10" fillId="24" borderId="0" xfId="0" applyFont="1" applyFill="1" applyBorder="1"/>
    <xf numFmtId="1" fontId="10" fillId="24" borderId="13" xfId="0" applyNumberFormat="1" applyFont="1" applyFill="1" applyBorder="1" applyAlignment="1">
      <alignment horizontal="right" vertical="center" indent="1"/>
    </xf>
    <xf numFmtId="1" fontId="0" fillId="24" borderId="13" xfId="0" applyNumberFormat="1" applyFill="1" applyBorder="1" applyAlignment="1">
      <alignment horizontal="right" vertical="center" indent="1"/>
    </xf>
    <xf numFmtId="1" fontId="0" fillId="24" borderId="8" xfId="0" applyNumberFormat="1" applyFill="1" applyBorder="1" applyAlignment="1">
      <alignment horizontal="right" vertical="center" indent="1"/>
    </xf>
    <xf numFmtId="0" fontId="0" fillId="24" borderId="13" xfId="0" applyFill="1" applyBorder="1" applyAlignment="1">
      <alignment vertical="center"/>
    </xf>
    <xf numFmtId="1" fontId="0" fillId="24" borderId="13" xfId="0" applyNumberFormat="1" applyFill="1" applyBorder="1" applyAlignment="1">
      <alignment horizontal="center" vertical="center"/>
    </xf>
    <xf numFmtId="0" fontId="0" fillId="16" borderId="15" xfId="0" applyFill="1" applyBorder="1" applyAlignment="1">
      <alignment vertical="center"/>
    </xf>
    <xf numFmtId="3" fontId="0" fillId="2" borderId="8" xfId="0" applyNumberFormat="1" applyFill="1" applyBorder="1"/>
    <xf numFmtId="0" fontId="2" fillId="7" borderId="0" xfId="0" applyFont="1" applyFill="1" applyBorder="1" applyAlignment="1" applyProtection="1">
      <alignment vertical="center"/>
    </xf>
    <xf numFmtId="0" fontId="0" fillId="7" borderId="0" xfId="0" applyFill="1" applyBorder="1" applyAlignment="1" applyProtection="1">
      <alignment vertical="center"/>
    </xf>
    <xf numFmtId="1" fontId="12" fillId="7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0" borderId="0" xfId="0" applyAlignment="1">
      <alignment vertical="center"/>
    </xf>
    <xf numFmtId="0" fontId="5" fillId="26" borderId="5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0" fontId="5" fillId="26" borderId="12" xfId="0" applyFont="1" applyFill="1" applyBorder="1" applyAlignment="1">
      <alignment vertical="center" wrapText="1"/>
    </xf>
    <xf numFmtId="9" fontId="21" fillId="13" borderId="7" xfId="0" applyNumberFormat="1" applyFont="1" applyFill="1" applyBorder="1" applyAlignment="1">
      <alignment horizontal="right" vertical="center"/>
    </xf>
    <xf numFmtId="3" fontId="10" fillId="26" borderId="5" xfId="0" applyNumberFormat="1" applyFont="1" applyFill="1" applyBorder="1"/>
    <xf numFmtId="3" fontId="0" fillId="26" borderId="10" xfId="0" applyNumberFormat="1" applyFill="1" applyBorder="1"/>
    <xf numFmtId="3" fontId="17" fillId="26" borderId="10" xfId="0" applyNumberFormat="1" applyFont="1" applyFill="1" applyBorder="1" applyAlignment="1">
      <alignment horizontal="right"/>
    </xf>
    <xf numFmtId="3" fontId="27" fillId="26" borderId="10" xfId="0" applyNumberFormat="1" applyFont="1" applyFill="1" applyBorder="1" applyAlignment="1">
      <alignment horizontal="right"/>
    </xf>
    <xf numFmtId="3" fontId="10" fillId="26" borderId="10" xfId="0" applyNumberFormat="1" applyFont="1" applyFill="1" applyBorder="1"/>
    <xf numFmtId="9" fontId="21" fillId="26" borderId="12" xfId="0" applyNumberFormat="1" applyFont="1" applyFill="1" applyBorder="1" applyAlignment="1">
      <alignment horizontal="right" vertical="center"/>
    </xf>
    <xf numFmtId="3" fontId="10" fillId="7" borderId="1" xfId="0" applyNumberFormat="1" applyFont="1" applyFill="1" applyBorder="1"/>
    <xf numFmtId="0" fontId="39" fillId="0" borderId="0" xfId="0" applyFont="1"/>
    <xf numFmtId="3" fontId="39" fillId="0" borderId="0" xfId="0" applyNumberFormat="1" applyFont="1"/>
    <xf numFmtId="0" fontId="0" fillId="16" borderId="14" xfId="0" applyFill="1" applyBorder="1" applyAlignment="1" applyProtection="1">
      <alignment vertical="center"/>
    </xf>
    <xf numFmtId="1" fontId="0" fillId="16" borderId="14" xfId="0" applyNumberFormat="1" applyFill="1" applyBorder="1" applyAlignment="1" applyProtection="1">
      <alignment horizontal="right" vertical="center" indent="1"/>
    </xf>
    <xf numFmtId="0" fontId="0" fillId="16" borderId="14" xfId="0" applyFill="1" applyBorder="1" applyAlignment="1" applyProtection="1">
      <alignment horizontal="right" vertical="center" indent="1"/>
    </xf>
    <xf numFmtId="0" fontId="12" fillId="24" borderId="7" xfId="0" applyFont="1" applyFill="1" applyBorder="1" applyAlignment="1">
      <alignment horizontal="center" vertical="center" wrapText="1"/>
    </xf>
    <xf numFmtId="0" fontId="12" fillId="24" borderId="13" xfId="0" applyFont="1" applyFill="1" applyBorder="1" applyAlignment="1">
      <alignment horizontal="center" vertical="center" wrapText="1"/>
    </xf>
    <xf numFmtId="0" fontId="12" fillId="24" borderId="8" xfId="0" applyFont="1" applyFill="1" applyBorder="1" applyAlignment="1">
      <alignment horizontal="center" vertical="center" wrapText="1"/>
    </xf>
    <xf numFmtId="1" fontId="12" fillId="16" borderId="7" xfId="0" applyNumberFormat="1" applyFont="1" applyFill="1" applyBorder="1" applyAlignment="1">
      <alignment horizontal="center" vertical="center" wrapText="1"/>
    </xf>
    <xf numFmtId="0" fontId="12" fillId="16" borderId="13" xfId="0" applyFont="1" applyFill="1" applyBorder="1" applyAlignment="1">
      <alignment horizontal="center" vertical="center" wrapText="1"/>
    </xf>
    <xf numFmtId="0" fontId="12" fillId="16" borderId="8" xfId="0" applyFont="1" applyFill="1" applyBorder="1" applyAlignment="1">
      <alignment horizontal="center" vertical="center" wrapText="1"/>
    </xf>
    <xf numFmtId="0" fontId="28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0" fontId="29" fillId="20" borderId="0" xfId="0" applyFont="1" applyFill="1" applyAlignment="1">
      <alignment horizontal="center"/>
    </xf>
    <xf numFmtId="0" fontId="30" fillId="20" borderId="0" xfId="0" applyFont="1" applyFill="1" applyAlignment="1">
      <alignment horizontal="center"/>
    </xf>
    <xf numFmtId="0" fontId="31" fillId="4" borderId="0" xfId="0" applyFont="1" applyFill="1" applyAlignment="1">
      <alignment horizontal="center"/>
    </xf>
    <xf numFmtId="0" fontId="33" fillId="20" borderId="3" xfId="0" applyFont="1" applyFill="1" applyBorder="1" applyAlignment="1" applyProtection="1">
      <alignment horizontal="center" vertical="center"/>
      <protection locked="0"/>
    </xf>
    <xf numFmtId="0" fontId="33" fillId="20" borderId="9" xfId="0" applyFont="1" applyFill="1" applyBorder="1" applyAlignment="1" applyProtection="1">
      <alignment horizontal="center" vertical="center"/>
      <protection locked="0"/>
    </xf>
    <xf numFmtId="0" fontId="33" fillId="20" borderId="11" xfId="0" applyFont="1" applyFill="1" applyBorder="1" applyAlignment="1" applyProtection="1">
      <alignment horizontal="center" vertical="center"/>
      <protection locked="0"/>
    </xf>
    <xf numFmtId="0" fontId="33" fillId="20" borderId="4" xfId="0" applyFont="1" applyFill="1" applyBorder="1" applyAlignment="1" applyProtection="1">
      <alignment horizontal="center" vertical="center"/>
      <protection locked="0"/>
    </xf>
    <xf numFmtId="0" fontId="33" fillId="20" borderId="2" xfId="0" applyFont="1" applyFill="1" applyBorder="1" applyAlignment="1" applyProtection="1">
      <alignment horizontal="center" vertical="center"/>
      <protection locked="0"/>
    </xf>
    <xf numFmtId="0" fontId="33" fillId="20" borderId="15" xfId="0" applyFont="1" applyFill="1" applyBorder="1" applyAlignment="1" applyProtection="1">
      <alignment horizontal="center" vertical="center"/>
      <protection locked="0"/>
    </xf>
    <xf numFmtId="0" fontId="2" fillId="23" borderId="0" xfId="0" applyFont="1" applyFill="1" applyAlignment="1">
      <alignment horizontal="center"/>
    </xf>
    <xf numFmtId="0" fontId="21" fillId="25" borderId="5" xfId="0" applyFont="1" applyFill="1" applyBorder="1" applyAlignment="1" applyProtection="1">
      <alignment horizontal="center"/>
      <protection locked="0"/>
    </xf>
    <xf numFmtId="0" fontId="21" fillId="25" borderId="12" xfId="0" applyFont="1" applyFill="1" applyBorder="1" applyAlignment="1" applyProtection="1">
      <alignment horizontal="center"/>
      <protection locked="0"/>
    </xf>
    <xf numFmtId="0" fontId="38" fillId="24" borderId="3" xfId="0" applyFont="1" applyFill="1" applyBorder="1" applyAlignment="1">
      <alignment horizontal="center" vertical="center"/>
    </xf>
    <xf numFmtId="0" fontId="38" fillId="24" borderId="11" xfId="0" applyFont="1" applyFill="1" applyBorder="1" applyAlignment="1">
      <alignment horizontal="center" vertical="center"/>
    </xf>
    <xf numFmtId="0" fontId="38" fillId="24" borderId="6" xfId="0" applyFont="1" applyFill="1" applyBorder="1" applyAlignment="1">
      <alignment horizontal="center" vertical="center"/>
    </xf>
    <xf numFmtId="0" fontId="38" fillId="24" borderId="14" xfId="0" applyFont="1" applyFill="1" applyBorder="1" applyAlignment="1">
      <alignment horizontal="center" vertical="center"/>
    </xf>
    <xf numFmtId="0" fontId="38" fillId="24" borderId="4" xfId="0" applyFont="1" applyFill="1" applyBorder="1" applyAlignment="1">
      <alignment horizontal="center" vertical="center"/>
    </xf>
    <xf numFmtId="0" fontId="38" fillId="24" borderId="15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3" fontId="36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center"/>
    </xf>
    <xf numFmtId="167" fontId="10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5" fontId="36" fillId="0" borderId="0" xfId="0" applyNumberFormat="1" applyFont="1" applyAlignment="1">
      <alignment horizontal="center" vertical="center"/>
    </xf>
    <xf numFmtId="3" fontId="2" fillId="21" borderId="6" xfId="0" applyNumberFormat="1" applyFont="1" applyFill="1" applyBorder="1" applyAlignment="1">
      <alignment horizontal="right" vertical="center"/>
    </xf>
    <xf numFmtId="3" fontId="2" fillId="21" borderId="0" xfId="0" applyNumberFormat="1" applyFont="1" applyFill="1" applyBorder="1" applyAlignment="1">
      <alignment horizontal="right" vertical="center"/>
    </xf>
    <xf numFmtId="0" fontId="2" fillId="9" borderId="0" xfId="0" applyFont="1" applyFill="1" applyAlignment="1">
      <alignment horizontal="center" vertical="center"/>
    </xf>
    <xf numFmtId="0" fontId="15" fillId="22" borderId="0" xfId="0" applyFont="1" applyFill="1" applyBorder="1" applyAlignment="1">
      <alignment horizontal="center" vertical="center"/>
    </xf>
    <xf numFmtId="0" fontId="15" fillId="21" borderId="5" xfId="0" applyFont="1" applyFill="1" applyBorder="1" applyAlignment="1">
      <alignment horizontal="center" vertical="center"/>
    </xf>
    <xf numFmtId="0" fontId="15" fillId="21" borderId="12" xfId="0" applyFont="1" applyFill="1" applyBorder="1" applyAlignment="1">
      <alignment horizontal="center" vertical="center"/>
    </xf>
    <xf numFmtId="0" fontId="19" fillId="7" borderId="0" xfId="0" applyFont="1" applyFill="1" applyBorder="1" applyAlignment="1" applyProtection="1">
      <alignment horizontal="center"/>
    </xf>
    <xf numFmtId="0" fontId="19" fillId="13" borderId="0" xfId="0" applyFont="1" applyFill="1" applyBorder="1" applyAlignment="1" applyProtection="1">
      <alignment horizontal="center"/>
    </xf>
    <xf numFmtId="0" fontId="19" fillId="5" borderId="0" xfId="0" applyFont="1" applyFill="1" applyAlignment="1">
      <alignment horizontal="center"/>
    </xf>
    <xf numFmtId="0" fontId="0" fillId="0" borderId="0" xfId="0" applyProtection="1">
      <protection locked="0"/>
    </xf>
  </cellXfs>
  <cellStyles count="2">
    <cellStyle name="Normal" xfId="0" builtinId="0"/>
    <cellStyle name="Percent 2" xfId="1"/>
  </cellStyles>
  <dxfs count="2"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'MAIN PAGE'!$E$11</c:f>
          <c:strCache>
            <c:ptCount val="1"/>
            <c:pt idx="0">
              <c:v>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DATA!$B$18</c:f>
              <c:strCache>
                <c:ptCount val="1"/>
                <c:pt idx="0">
                  <c:v>Target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DATA!$A$19:$A$22</c:f>
              <c:strCache>
                <c:ptCount val="4"/>
                <c:pt idx="0">
                  <c:v>Vacancies solicited</c:v>
                </c:pt>
                <c:pt idx="1">
                  <c:v>Registered Applicants</c:v>
                </c:pt>
                <c:pt idx="2">
                  <c:v>Referred Applicants</c:v>
                </c:pt>
                <c:pt idx="3">
                  <c:v>Placed Applicants</c:v>
                </c:pt>
              </c:strCache>
            </c:strRef>
          </c:cat>
          <c:val>
            <c:numRef>
              <c:f>DATA!$B$19:$B$22</c:f>
              <c:numCache>
                <c:formatCode>#,##0</c:formatCode>
                <c:ptCount val="4"/>
                <c:pt idx="0">
                  <c:v>1690.1323345035612</c:v>
                </c:pt>
                <c:pt idx="1">
                  <c:v>1014.0794007021367</c:v>
                </c:pt>
                <c:pt idx="2">
                  <c:v>801.12272655468803</c:v>
                </c:pt>
                <c:pt idx="3">
                  <c:v>648.90940850929735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B44-4CE4-AC67-E6F552C0A7C1}"/>
            </c:ext>
          </c:extLst>
        </c:ser>
        <c:ser>
          <c:idx val="1"/>
          <c:order val="1"/>
          <c:tx>
            <c:strRef>
              <c:f>DATA!$C$18</c:f>
              <c:strCache>
                <c:ptCount val="1"/>
                <c:pt idx="0">
                  <c:v>Accomplishment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DATA!$A$19:$A$22</c:f>
              <c:strCache>
                <c:ptCount val="4"/>
                <c:pt idx="0">
                  <c:v>Vacancies solicited</c:v>
                </c:pt>
                <c:pt idx="1">
                  <c:v>Registered Applicants</c:v>
                </c:pt>
                <c:pt idx="2">
                  <c:v>Referred Applicants</c:v>
                </c:pt>
                <c:pt idx="3">
                  <c:v>Placed Applicants</c:v>
                </c:pt>
              </c:strCache>
            </c:strRef>
          </c:cat>
          <c:val>
            <c:numRef>
              <c:f>DATA!$C$19:$C$22</c:f>
              <c:numCache>
                <c:formatCode>#,##0</c:formatCode>
                <c:ptCount val="4"/>
                <c:pt idx="0">
                  <c:v>6479</c:v>
                </c:pt>
                <c:pt idx="1">
                  <c:v>2176</c:v>
                </c:pt>
                <c:pt idx="2">
                  <c:v>639</c:v>
                </c:pt>
                <c:pt idx="3">
                  <c:v>457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B44-4CE4-AC67-E6F552C0A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495616"/>
        <c:axId val="68509696"/>
      </c:barChart>
      <c:catAx>
        <c:axId val="68495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9696"/>
        <c:crosses val="autoZero"/>
        <c:auto val="1"/>
        <c:lblAlgn val="ctr"/>
        <c:lblOffset val="100"/>
        <c:noMultiLvlLbl val="0"/>
      </c:catAx>
      <c:valAx>
        <c:axId val="68509696"/>
        <c:scaling>
          <c:orientation val="minMax"/>
        </c:scaling>
        <c:delete val="1"/>
        <c:axPos val="l"/>
        <c:numFmt formatCode="#,##0" sourceLinked="1"/>
        <c:majorTickMark val="out"/>
        <c:minorTickMark val="none"/>
        <c:tickLblPos val="nextTo"/>
        <c:crossAx val="6849561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AUGUST!A1"/><Relationship Id="rId13" Type="http://schemas.openxmlformats.org/officeDocument/2006/relationships/image" Target="../media/image1.png"/><Relationship Id="rId3" Type="http://schemas.openxmlformats.org/officeDocument/2006/relationships/hyperlink" Target="#MARCH!A1"/><Relationship Id="rId7" Type="http://schemas.openxmlformats.org/officeDocument/2006/relationships/hyperlink" Target="#JULY!A1"/><Relationship Id="rId12" Type="http://schemas.openxmlformats.org/officeDocument/2006/relationships/hyperlink" Target="#DECEMBER!A1"/><Relationship Id="rId2" Type="http://schemas.openxmlformats.org/officeDocument/2006/relationships/hyperlink" Target="#FEBRUARY!A1"/><Relationship Id="rId1" Type="http://schemas.openxmlformats.org/officeDocument/2006/relationships/hyperlink" Target="#JANUARY!A1"/><Relationship Id="rId6" Type="http://schemas.openxmlformats.org/officeDocument/2006/relationships/hyperlink" Target="#JUNE!A1"/><Relationship Id="rId11" Type="http://schemas.openxmlformats.org/officeDocument/2006/relationships/hyperlink" Target="#NOVEMBER!A1"/><Relationship Id="rId5" Type="http://schemas.openxmlformats.org/officeDocument/2006/relationships/hyperlink" Target="#MAY!A1"/><Relationship Id="rId15" Type="http://schemas.openxmlformats.org/officeDocument/2006/relationships/hyperlink" Target="#TARGET!A1"/><Relationship Id="rId10" Type="http://schemas.openxmlformats.org/officeDocument/2006/relationships/hyperlink" Target="#OCTOBER!A1"/><Relationship Id="rId4" Type="http://schemas.openxmlformats.org/officeDocument/2006/relationships/hyperlink" Target="#APRIL!A1"/><Relationship Id="rId9" Type="http://schemas.openxmlformats.org/officeDocument/2006/relationships/hyperlink" Target="#SEPTEMBER!A1"/><Relationship Id="rId14" Type="http://schemas.openxmlformats.org/officeDocument/2006/relationships/hyperlink" Target="#'WHOLE YEAR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MAIN PAGE'!A1"/><Relationship Id="rId3" Type="http://schemas.openxmlformats.org/officeDocument/2006/relationships/image" Target="../media/image4.png"/><Relationship Id="rId7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MAIN PAGE'!A1"/><Relationship Id="rId1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'MAIN PAGE'!A1"/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MAIN PAGE'!A1"/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'MAIN PAGE'!A1"/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'MAIN PAGE'!A1"/><Relationship Id="rId1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'MAIN PAGE'!A1"/><Relationship Id="rId1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MAIN PAGE'!A1"/><Relationship Id="rId1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'MAIN PAGE'!A1"/><Relationship Id="rId1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'MAIN PAGE'!A1"/><Relationship Id="rId1" Type="http://schemas.openxmlformats.org/officeDocument/2006/relationships/image" Target="../media/image9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'MAIN PAGE'!A1"/><Relationship Id="rId1" Type="http://schemas.openxmlformats.org/officeDocument/2006/relationships/image" Target="../media/image9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MAIN PAGE'!A1"/><Relationship Id="rId1" Type="http://schemas.openxmlformats.org/officeDocument/2006/relationships/image" Target="../media/image9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'MAIN PAGE'!A1"/><Relationship Id="rId1" Type="http://schemas.openxmlformats.org/officeDocument/2006/relationships/image" Target="../media/image9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'MAIN PAGE'!A1"/><Relationship Id="rId1" Type="http://schemas.openxmlformats.org/officeDocument/2006/relationships/image" Target="../media/image9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'MAIN PAGE'!A1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266692</xdr:colOff>
      <xdr:row>13</xdr:row>
      <xdr:rowOff>49696</xdr:rowOff>
    </xdr:from>
    <xdr:to>
      <xdr:col>9</xdr:col>
      <xdr:colOff>243293</xdr:colOff>
      <xdr:row>25</xdr:row>
      <xdr:rowOff>21166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625040" y="2501348"/>
          <a:ext cx="3654079" cy="1917883"/>
        </a:xfrm>
        <a:prstGeom prst="rect">
          <a:avLst/>
        </a:prstGeom>
        <a:solidFill>
          <a:schemeClr val="accent1"/>
        </a:solidFill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3</xdr:col>
      <xdr:colOff>247642</xdr:colOff>
      <xdr:row>13</xdr:row>
      <xdr:rowOff>113912</xdr:rowOff>
    </xdr:from>
    <xdr:to>
      <xdr:col>9</xdr:col>
      <xdr:colOff>266692</xdr:colOff>
      <xdr:row>15</xdr:row>
      <xdr:rowOff>47236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/>
      </xdr:nvSpPr>
      <xdr:spPr>
        <a:xfrm>
          <a:off x="1612892" y="2495162"/>
          <a:ext cx="3702050" cy="2508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PH" sz="1100" u="sng">
              <a:solidFill>
                <a:schemeClr val="bg1"/>
              </a:solidFill>
            </a:rPr>
            <a:t>Select Month for</a:t>
          </a:r>
          <a:r>
            <a:rPr lang="en-PH" sz="1100" u="sng" baseline="0">
              <a:solidFill>
                <a:schemeClr val="bg1"/>
              </a:solidFill>
            </a:rPr>
            <a:t> inputs</a:t>
          </a:r>
        </a:p>
        <a:p>
          <a:pPr algn="ctr"/>
          <a:endParaRPr lang="en-PH" sz="1100" u="sng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348090</xdr:colOff>
      <xdr:row>15</xdr:row>
      <xdr:rowOff>112171</xdr:rowOff>
    </xdr:from>
    <xdr:to>
      <xdr:col>4</xdr:col>
      <xdr:colOff>554177</xdr:colOff>
      <xdr:row>17</xdr:row>
      <xdr:rowOff>48120</xdr:rowOff>
    </xdr:to>
    <xdr:sp macro="" textlink="">
      <xdr:nvSpPr>
        <xdr:cNvPr id="5" name="Rounded 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1706438" y="2895128"/>
          <a:ext cx="819000" cy="267253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100"/>
            <a:t>January</a:t>
          </a:r>
        </a:p>
      </xdr:txBody>
    </xdr:sp>
    <xdr:clientData/>
  </xdr:twoCellAnchor>
  <xdr:twoCellAnchor>
    <xdr:from>
      <xdr:col>4</xdr:col>
      <xdr:colOff>609539</xdr:colOff>
      <xdr:row>15</xdr:row>
      <xdr:rowOff>110962</xdr:rowOff>
    </xdr:from>
    <xdr:to>
      <xdr:col>6</xdr:col>
      <xdr:colOff>205430</xdr:colOff>
      <xdr:row>17</xdr:row>
      <xdr:rowOff>49509</xdr:rowOff>
    </xdr:to>
    <xdr:sp macro="" textlink="">
      <xdr:nvSpPr>
        <xdr:cNvPr id="6" name="Rounded Rectangle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2580800" y="2893919"/>
          <a:ext cx="821717" cy="269851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100"/>
            <a:t>February</a:t>
          </a:r>
        </a:p>
      </xdr:txBody>
    </xdr:sp>
    <xdr:clientData/>
  </xdr:twoCellAnchor>
  <xdr:twoCellAnchor>
    <xdr:from>
      <xdr:col>6</xdr:col>
      <xdr:colOff>270159</xdr:colOff>
      <xdr:row>15</xdr:row>
      <xdr:rowOff>106869</xdr:rowOff>
    </xdr:from>
    <xdr:to>
      <xdr:col>7</xdr:col>
      <xdr:colOff>476245</xdr:colOff>
      <xdr:row>17</xdr:row>
      <xdr:rowOff>42818</xdr:rowOff>
    </xdr:to>
    <xdr:sp macro="" textlink="">
      <xdr:nvSpPr>
        <xdr:cNvPr id="7" name="Rounded Rectangl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3467246" y="2889826"/>
          <a:ext cx="818999" cy="267253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100"/>
            <a:t>March</a:t>
          </a:r>
        </a:p>
      </xdr:txBody>
    </xdr:sp>
    <xdr:clientData/>
  </xdr:twoCellAnchor>
  <xdr:twoCellAnchor>
    <xdr:from>
      <xdr:col>7</xdr:col>
      <xdr:colOff>549073</xdr:colOff>
      <xdr:row>15</xdr:row>
      <xdr:rowOff>101525</xdr:rowOff>
    </xdr:from>
    <xdr:to>
      <xdr:col>9</xdr:col>
      <xdr:colOff>149024</xdr:colOff>
      <xdr:row>17</xdr:row>
      <xdr:rowOff>40072</xdr:rowOff>
    </xdr:to>
    <xdr:sp macro="" textlink="">
      <xdr:nvSpPr>
        <xdr:cNvPr id="8" name="Rounded Rectangle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4359073" y="2884482"/>
          <a:ext cx="825777" cy="269851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100"/>
            <a:t>April</a:t>
          </a:r>
        </a:p>
      </xdr:txBody>
    </xdr:sp>
    <xdr:clientData/>
  </xdr:twoCellAnchor>
  <xdr:twoCellAnchor>
    <xdr:from>
      <xdr:col>3</xdr:col>
      <xdr:colOff>341584</xdr:colOff>
      <xdr:row>17</xdr:row>
      <xdr:rowOff>138342</xdr:rowOff>
    </xdr:from>
    <xdr:to>
      <xdr:col>4</xdr:col>
      <xdr:colOff>552377</xdr:colOff>
      <xdr:row>19</xdr:row>
      <xdr:rowOff>71693</xdr:rowOff>
    </xdr:to>
    <xdr:sp macro="" textlink="">
      <xdr:nvSpPr>
        <xdr:cNvPr id="23" name="Rounded Rectangle 2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699932" y="3252603"/>
          <a:ext cx="823706" cy="26465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100"/>
            <a:t>May</a:t>
          </a:r>
        </a:p>
      </xdr:txBody>
    </xdr:sp>
    <xdr:clientData/>
  </xdr:twoCellAnchor>
  <xdr:twoCellAnchor>
    <xdr:from>
      <xdr:col>5</xdr:col>
      <xdr:colOff>5069</xdr:colOff>
      <xdr:row>17</xdr:row>
      <xdr:rowOff>131177</xdr:rowOff>
    </xdr:from>
    <xdr:to>
      <xdr:col>6</xdr:col>
      <xdr:colOff>210560</xdr:colOff>
      <xdr:row>19</xdr:row>
      <xdr:rowOff>67126</xdr:rowOff>
    </xdr:to>
    <xdr:sp macro="" textlink="">
      <xdr:nvSpPr>
        <xdr:cNvPr id="24" name="Rounded Rectangle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/>
      </xdr:nvSpPr>
      <xdr:spPr>
        <a:xfrm>
          <a:off x="2589243" y="3245438"/>
          <a:ext cx="818404" cy="267253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100"/>
            <a:t>June</a:t>
          </a:r>
        </a:p>
      </xdr:txBody>
    </xdr:sp>
    <xdr:clientData/>
  </xdr:twoCellAnchor>
  <xdr:twoCellAnchor>
    <xdr:from>
      <xdr:col>6</xdr:col>
      <xdr:colOff>280971</xdr:colOff>
      <xdr:row>17</xdr:row>
      <xdr:rowOff>133038</xdr:rowOff>
    </xdr:from>
    <xdr:to>
      <xdr:col>7</xdr:col>
      <xdr:colOff>491763</xdr:colOff>
      <xdr:row>19</xdr:row>
      <xdr:rowOff>66389</xdr:rowOff>
    </xdr:to>
    <xdr:sp macro="" textlink="">
      <xdr:nvSpPr>
        <xdr:cNvPr id="25" name="Rounded Rectangle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/>
      </xdr:nvSpPr>
      <xdr:spPr>
        <a:xfrm>
          <a:off x="3478058" y="3247299"/>
          <a:ext cx="823705" cy="26465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100"/>
            <a:t>July</a:t>
          </a:r>
        </a:p>
      </xdr:txBody>
    </xdr:sp>
    <xdr:clientData/>
  </xdr:twoCellAnchor>
  <xdr:twoCellAnchor>
    <xdr:from>
      <xdr:col>7</xdr:col>
      <xdr:colOff>551498</xdr:colOff>
      <xdr:row>17</xdr:row>
      <xdr:rowOff>136354</xdr:rowOff>
    </xdr:from>
    <xdr:to>
      <xdr:col>9</xdr:col>
      <xdr:colOff>156155</xdr:colOff>
      <xdr:row>19</xdr:row>
      <xdr:rowOff>72303</xdr:rowOff>
    </xdr:to>
    <xdr:sp macro="" textlink="">
      <xdr:nvSpPr>
        <xdr:cNvPr id="26" name="Rounded Rectangle 2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/>
      </xdr:nvSpPr>
      <xdr:spPr>
        <a:xfrm>
          <a:off x="4361498" y="3250615"/>
          <a:ext cx="830483" cy="267253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100"/>
            <a:t>August</a:t>
          </a:r>
        </a:p>
      </xdr:txBody>
    </xdr:sp>
    <xdr:clientData/>
  </xdr:twoCellAnchor>
  <xdr:twoCellAnchor>
    <xdr:from>
      <xdr:col>3</xdr:col>
      <xdr:colOff>335054</xdr:colOff>
      <xdr:row>20</xdr:row>
      <xdr:rowOff>7194</xdr:rowOff>
    </xdr:from>
    <xdr:to>
      <xdr:col>4</xdr:col>
      <xdr:colOff>545847</xdr:colOff>
      <xdr:row>21</xdr:row>
      <xdr:rowOff>116275</xdr:rowOff>
    </xdr:to>
    <xdr:sp macro="" textlink="">
      <xdr:nvSpPr>
        <xdr:cNvPr id="27" name="Rounded Rectangle 26" descr="sample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/>
      </xdr:nvSpPr>
      <xdr:spPr>
        <a:xfrm>
          <a:off x="1693402" y="3618411"/>
          <a:ext cx="823706" cy="27473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lIns="0" rIns="0" rtlCol="0" anchor="ctr"/>
        <a:lstStyle/>
        <a:p>
          <a:pPr algn="ctr"/>
          <a:r>
            <a:rPr lang="en-PH" sz="1100"/>
            <a:t>September</a:t>
          </a:r>
        </a:p>
      </xdr:txBody>
    </xdr:sp>
    <xdr:clientData/>
  </xdr:twoCellAnchor>
  <xdr:twoCellAnchor>
    <xdr:from>
      <xdr:col>5</xdr:col>
      <xdr:colOff>433</xdr:colOff>
      <xdr:row>20</xdr:row>
      <xdr:rowOff>2735</xdr:rowOff>
    </xdr:from>
    <xdr:to>
      <xdr:col>6</xdr:col>
      <xdr:colOff>214689</xdr:colOff>
      <xdr:row>21</xdr:row>
      <xdr:rowOff>114414</xdr:rowOff>
    </xdr:to>
    <xdr:sp macro="" textlink="">
      <xdr:nvSpPr>
        <xdr:cNvPr id="28" name="Rounded Rectangle 2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/>
      </xdr:nvSpPr>
      <xdr:spPr>
        <a:xfrm>
          <a:off x="2584607" y="3613952"/>
          <a:ext cx="827169" cy="277332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100"/>
            <a:t>October</a:t>
          </a:r>
        </a:p>
      </xdr:txBody>
    </xdr:sp>
    <xdr:clientData/>
  </xdr:twoCellAnchor>
  <xdr:twoCellAnchor>
    <xdr:from>
      <xdr:col>6</xdr:col>
      <xdr:colOff>283371</xdr:colOff>
      <xdr:row>20</xdr:row>
      <xdr:rowOff>4595</xdr:rowOff>
    </xdr:from>
    <xdr:to>
      <xdr:col>7</xdr:col>
      <xdr:colOff>494163</xdr:colOff>
      <xdr:row>21</xdr:row>
      <xdr:rowOff>113676</xdr:rowOff>
    </xdr:to>
    <xdr:sp macro="" textlink="">
      <xdr:nvSpPr>
        <xdr:cNvPr id="29" name="Rounded Rectangle 2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3480458" y="3615812"/>
          <a:ext cx="823705" cy="274734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100"/>
            <a:t>November</a:t>
          </a:r>
        </a:p>
      </xdr:txBody>
    </xdr:sp>
    <xdr:clientData/>
  </xdr:twoCellAnchor>
  <xdr:twoCellAnchor>
    <xdr:from>
      <xdr:col>7</xdr:col>
      <xdr:colOff>556331</xdr:colOff>
      <xdr:row>20</xdr:row>
      <xdr:rowOff>1958</xdr:rowOff>
    </xdr:from>
    <xdr:to>
      <xdr:col>9</xdr:col>
      <xdr:colOff>160988</xdr:colOff>
      <xdr:row>21</xdr:row>
      <xdr:rowOff>113637</xdr:rowOff>
    </xdr:to>
    <xdr:sp macro="" textlink="">
      <xdr:nvSpPr>
        <xdr:cNvPr id="30" name="Rounded Rectangle 2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4366331" y="3613175"/>
          <a:ext cx="830483" cy="277332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100"/>
            <a:t>December</a:t>
          </a:r>
        </a:p>
      </xdr:txBody>
    </xdr:sp>
    <xdr:clientData/>
  </xdr:twoCellAnchor>
  <xdr:twoCellAnchor editAs="oneCell">
    <xdr:from>
      <xdr:col>3</xdr:col>
      <xdr:colOff>258004</xdr:colOff>
      <xdr:row>2</xdr:row>
      <xdr:rowOff>67089</xdr:rowOff>
    </xdr:from>
    <xdr:to>
      <xdr:col>4</xdr:col>
      <xdr:colOff>438979</xdr:colOff>
      <xdr:row>7</xdr:row>
      <xdr:rowOff>1689</xdr:rowOff>
    </xdr:to>
    <xdr:pic>
      <xdr:nvPicPr>
        <xdr:cNvPr id="135102" name="Picture 53" descr="dole_logo.PNG">
          <a:extLst>
            <a:ext uri="{FF2B5EF4-FFF2-40B4-BE49-F238E27FC236}">
              <a16:creationId xmlns:a16="http://schemas.microsoft.com/office/drawing/2014/main" xmlns="" id="{00000000-0008-0000-0000-0000BE0F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6352" y="729698"/>
          <a:ext cx="793888" cy="762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52081</xdr:colOff>
      <xdr:row>6</xdr:row>
      <xdr:rowOff>70193</xdr:rowOff>
    </xdr:from>
    <xdr:ext cx="1177636" cy="415636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SpPr txBox="1"/>
      </xdr:nvSpPr>
      <xdr:spPr>
        <a:xfrm>
          <a:off x="1410429" y="1395410"/>
          <a:ext cx="1177636" cy="4156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PH" sz="900"/>
            <a:t>Department of Labor </a:t>
          </a:r>
        </a:p>
        <a:p>
          <a:pPr algn="ctr"/>
          <a:r>
            <a:rPr lang="en-PH" sz="900"/>
            <a:t>and Employment XI</a:t>
          </a:r>
        </a:p>
      </xdr:txBody>
    </xdr:sp>
    <xdr:clientData/>
  </xdr:oneCellAnchor>
  <xdr:twoCellAnchor>
    <xdr:from>
      <xdr:col>6</xdr:col>
      <xdr:colOff>310844</xdr:colOff>
      <xdr:row>22</xdr:row>
      <xdr:rowOff>41409</xdr:rowOff>
    </xdr:from>
    <xdr:to>
      <xdr:col>9</xdr:col>
      <xdr:colOff>173935</xdr:colOff>
      <xdr:row>24</xdr:row>
      <xdr:rowOff>616</xdr:rowOff>
    </xdr:to>
    <xdr:sp macro="" textlink="">
      <xdr:nvSpPr>
        <xdr:cNvPr id="58" name="Rounded Rectangle 5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00000000-0008-0000-0000-00003A000000}"/>
            </a:ext>
          </a:extLst>
        </xdr:cNvPr>
        <xdr:cNvSpPr/>
      </xdr:nvSpPr>
      <xdr:spPr>
        <a:xfrm>
          <a:off x="3507931" y="3983931"/>
          <a:ext cx="1701830" cy="29051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PH" sz="1100" b="1"/>
            <a:t>WHOLE YEAR</a:t>
          </a:r>
        </a:p>
      </xdr:txBody>
    </xdr:sp>
    <xdr:clientData/>
  </xdr:twoCellAnchor>
  <xdr:twoCellAnchor>
    <xdr:from>
      <xdr:col>3</xdr:col>
      <xdr:colOff>330996</xdr:colOff>
      <xdr:row>22</xdr:row>
      <xdr:rowOff>60040</xdr:rowOff>
    </xdr:from>
    <xdr:to>
      <xdr:col>6</xdr:col>
      <xdr:colOff>231913</xdr:colOff>
      <xdr:row>23</xdr:row>
      <xdr:rowOff>152668</xdr:rowOff>
    </xdr:to>
    <xdr:sp macro="" textlink="">
      <xdr:nvSpPr>
        <xdr:cNvPr id="66" name="Rounded Rectangle 6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00000000-0008-0000-0000-000042000000}"/>
            </a:ext>
          </a:extLst>
        </xdr:cNvPr>
        <xdr:cNvSpPr/>
      </xdr:nvSpPr>
      <xdr:spPr>
        <a:xfrm>
          <a:off x="1689344" y="4002562"/>
          <a:ext cx="1739656" cy="2582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100"/>
            <a:t>T</a:t>
          </a:r>
          <a:r>
            <a:rPr lang="en-PH" sz="1100" baseline="0"/>
            <a:t> A R G E T S</a:t>
          </a:r>
          <a:endParaRPr lang="en-PH" sz="1100"/>
        </a:p>
      </xdr:txBody>
    </xdr:sp>
    <xdr:clientData/>
  </xdr:twoCellAnchor>
  <xdr:oneCellAnchor>
    <xdr:from>
      <xdr:col>12</xdr:col>
      <xdr:colOff>290094</xdr:colOff>
      <xdr:row>28</xdr:row>
      <xdr:rowOff>114117</xdr:rowOff>
    </xdr:from>
    <xdr:ext cx="2931380" cy="248851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xmlns="" id="{00000000-0008-0000-0000-00003D000000}"/>
            </a:ext>
          </a:extLst>
        </xdr:cNvPr>
        <xdr:cNvSpPr txBox="1"/>
      </xdr:nvSpPr>
      <xdr:spPr>
        <a:xfrm>
          <a:off x="6493768" y="5009139"/>
          <a:ext cx="293138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n-PH" sz="1000">
              <a:solidFill>
                <a:schemeClr val="bg1"/>
              </a:solidFill>
            </a:rPr>
            <a:t>For queries please email to: mda.dole11@gmail.com</a:t>
          </a:r>
        </a:p>
      </xdr:txBody>
    </xdr:sp>
    <xdr:clientData/>
  </xdr:oneCellAnchor>
  <xdr:oneCellAnchor>
    <xdr:from>
      <xdr:col>5</xdr:col>
      <xdr:colOff>131470</xdr:colOff>
      <xdr:row>11</xdr:row>
      <xdr:rowOff>138217</xdr:rowOff>
    </xdr:from>
    <xdr:ext cx="1619249" cy="25003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 txBox="1"/>
      </xdr:nvSpPr>
      <xdr:spPr>
        <a:xfrm>
          <a:off x="2715644" y="2291695"/>
          <a:ext cx="1619249" cy="2500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pPr algn="ctr"/>
          <a:r>
            <a:rPr lang="en-PH" sz="1000">
              <a:solidFill>
                <a:srgbClr val="002060"/>
              </a:solidFill>
            </a:rPr>
            <a:t>MUNICIPAL PESO </a:t>
          </a:r>
        </a:p>
      </xdr:txBody>
    </xdr:sp>
    <xdr:clientData/>
  </xdr:oneCellAnchor>
  <xdr:twoCellAnchor>
    <xdr:from>
      <xdr:col>16</xdr:col>
      <xdr:colOff>49696</xdr:colOff>
      <xdr:row>10</xdr:row>
      <xdr:rowOff>16566</xdr:rowOff>
    </xdr:from>
    <xdr:to>
      <xdr:col>16</xdr:col>
      <xdr:colOff>993914</xdr:colOff>
      <xdr:row>12</xdr:row>
      <xdr:rowOff>8903</xdr:rowOff>
    </xdr:to>
    <xdr:sp macro="[0]!printing" textlink="">
      <xdr:nvSpPr>
        <xdr:cNvPr id="32" name="Rounded Rectangle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8324022" y="2004392"/>
          <a:ext cx="944218" cy="290511"/>
        </a:xfrm>
        <a:prstGeom prst="round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PH" sz="1100" b="0"/>
            <a:t>Print Graph</a:t>
          </a:r>
        </a:p>
      </xdr:txBody>
    </xdr:sp>
    <xdr:clientData/>
  </xdr:twoCellAnchor>
  <xdr:twoCellAnchor>
    <xdr:from>
      <xdr:col>18</xdr:col>
      <xdr:colOff>133349</xdr:colOff>
      <xdr:row>26</xdr:row>
      <xdr:rowOff>47625</xdr:rowOff>
    </xdr:from>
    <xdr:to>
      <xdr:col>19</xdr:col>
      <xdr:colOff>2085974</xdr:colOff>
      <xdr:row>29</xdr:row>
      <xdr:rowOff>1862</xdr:rowOff>
    </xdr:to>
    <xdr:sp macro="[0]!kompyut" textlink="">
      <xdr:nvSpPr>
        <xdr:cNvPr id="33" name="Rounded Rectangle 32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/>
      </xdr:nvSpPr>
      <xdr:spPr>
        <a:xfrm>
          <a:off x="8867774" y="4324350"/>
          <a:ext cx="2085975" cy="440012"/>
        </a:xfrm>
        <a:prstGeom prst="roundRect">
          <a:avLst/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PH" sz="1100" b="0"/>
            <a:t>CALCULATE RESULT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238126</xdr:colOff>
      <xdr:row>19</xdr:row>
      <xdr:rowOff>66674</xdr:rowOff>
    </xdr:from>
    <xdr:to>
      <xdr:col>9</xdr:col>
      <xdr:colOff>257176</xdr:colOff>
      <xdr:row>27</xdr:row>
      <xdr:rowOff>9524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5326" y="3181349"/>
          <a:ext cx="1238250" cy="1238250"/>
        </a:xfrm>
        <a:prstGeom prst="rect">
          <a:avLst/>
        </a:prstGeom>
      </xdr:spPr>
    </xdr:pic>
    <xdr:clientData/>
  </xdr:twoCellAnchor>
  <xdr:twoCellAnchor editAs="oneCell">
    <xdr:from>
      <xdr:col>0</xdr:col>
      <xdr:colOff>419102</xdr:colOff>
      <xdr:row>4</xdr:row>
      <xdr:rowOff>152050</xdr:rowOff>
    </xdr:from>
    <xdr:to>
      <xdr:col>3</xdr:col>
      <xdr:colOff>171450</xdr:colOff>
      <xdr:row>13</xdr:row>
      <xdr:rowOff>7201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2" y="837850"/>
          <a:ext cx="1581148" cy="1312476"/>
        </a:xfrm>
        <a:prstGeom prst="rect">
          <a:avLst/>
        </a:prstGeom>
      </xdr:spPr>
    </xdr:pic>
    <xdr:clientData/>
  </xdr:twoCellAnchor>
  <xdr:twoCellAnchor editAs="oneCell">
    <xdr:from>
      <xdr:col>4</xdr:col>
      <xdr:colOff>133350</xdr:colOff>
      <xdr:row>4</xdr:row>
      <xdr:rowOff>113059</xdr:rowOff>
    </xdr:from>
    <xdr:to>
      <xdr:col>6</xdr:col>
      <xdr:colOff>47625</xdr:colOff>
      <xdr:row>12</xdr:row>
      <xdr:rowOff>123824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0" y="798859"/>
          <a:ext cx="1133475" cy="1306165"/>
        </a:xfrm>
        <a:prstGeom prst="rect">
          <a:avLst/>
        </a:prstGeom>
      </xdr:spPr>
    </xdr:pic>
    <xdr:clientData/>
  </xdr:twoCellAnchor>
  <xdr:twoCellAnchor editAs="oneCell">
    <xdr:from>
      <xdr:col>7</xdr:col>
      <xdr:colOff>523876</xdr:colOff>
      <xdr:row>5</xdr:row>
      <xdr:rowOff>47624</xdr:rowOff>
    </xdr:from>
    <xdr:to>
      <xdr:col>9</xdr:col>
      <xdr:colOff>466726</xdr:colOff>
      <xdr:row>12</xdr:row>
      <xdr:rowOff>76199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1076" y="895349"/>
          <a:ext cx="1162050" cy="1162050"/>
        </a:xfrm>
        <a:prstGeom prst="rect">
          <a:avLst/>
        </a:prstGeom>
      </xdr:spPr>
    </xdr:pic>
    <xdr:clientData/>
  </xdr:twoCellAnchor>
  <xdr:twoCellAnchor editAs="oneCell">
    <xdr:from>
      <xdr:col>0</xdr:col>
      <xdr:colOff>485776</xdr:colOff>
      <xdr:row>19</xdr:row>
      <xdr:rowOff>28575</xdr:rowOff>
    </xdr:from>
    <xdr:to>
      <xdr:col>2</xdr:col>
      <xdr:colOff>447675</xdr:colOff>
      <xdr:row>26</xdr:row>
      <xdr:rowOff>76199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6" y="3143250"/>
          <a:ext cx="1181099" cy="1181099"/>
        </a:xfrm>
        <a:prstGeom prst="rect">
          <a:avLst/>
        </a:prstGeom>
      </xdr:spPr>
    </xdr:pic>
    <xdr:clientData/>
  </xdr:twoCellAnchor>
  <xdr:twoCellAnchor editAs="oneCell">
    <xdr:from>
      <xdr:col>4</xdr:col>
      <xdr:colOff>323850</xdr:colOff>
      <xdr:row>19</xdr:row>
      <xdr:rowOff>38100</xdr:rowOff>
    </xdr:from>
    <xdr:to>
      <xdr:col>6</xdr:col>
      <xdr:colOff>304800</xdr:colOff>
      <xdr:row>26</xdr:row>
      <xdr:rowOff>104775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0" y="3152775"/>
          <a:ext cx="1200150" cy="1200150"/>
        </a:xfrm>
        <a:prstGeom prst="rect">
          <a:avLst/>
        </a:prstGeom>
      </xdr:spPr>
    </xdr:pic>
    <xdr:clientData/>
  </xdr:twoCellAnchor>
  <xdr:twoCellAnchor>
    <xdr:from>
      <xdr:col>0</xdr:col>
      <xdr:colOff>185736</xdr:colOff>
      <xdr:row>30</xdr:row>
      <xdr:rowOff>66675</xdr:rowOff>
    </xdr:from>
    <xdr:to>
      <xdr:col>11</xdr:col>
      <xdr:colOff>19049</xdr:colOff>
      <xdr:row>47</xdr:row>
      <xdr:rowOff>114300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171450</xdr:colOff>
      <xdr:row>0</xdr:row>
      <xdr:rowOff>47625</xdr:rowOff>
    </xdr:from>
    <xdr:to>
      <xdr:col>11</xdr:col>
      <xdr:colOff>231510</xdr:colOff>
      <xdr:row>1</xdr:row>
      <xdr:rowOff>123825</xdr:rowOff>
    </xdr:to>
    <xdr:sp macro="" textlink="">
      <xdr:nvSpPr>
        <xdr:cNvPr id="13" name="Rounded Rectangle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/>
      </xdr:nvSpPr>
      <xdr:spPr>
        <a:xfrm>
          <a:off x="5657850" y="47625"/>
          <a:ext cx="1031610" cy="2762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100"/>
            <a:t>MAIN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142876</xdr:colOff>
      <xdr:row>0</xdr:row>
      <xdr:rowOff>123825</xdr:rowOff>
    </xdr:from>
    <xdr:to>
      <xdr:col>1</xdr:col>
      <xdr:colOff>2276476</xdr:colOff>
      <xdr:row>9</xdr:row>
      <xdr:rowOff>39158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142876" y="123825"/>
          <a:ext cx="4743450" cy="1372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 editAs="oneCell">
    <xdr:from>
      <xdr:col>0</xdr:col>
      <xdr:colOff>352425</xdr:colOff>
      <xdr:row>1</xdr:row>
      <xdr:rowOff>28575</xdr:rowOff>
    </xdr:from>
    <xdr:to>
      <xdr:col>0</xdr:col>
      <xdr:colOff>971550</xdr:colOff>
      <xdr:row>4</xdr:row>
      <xdr:rowOff>142875</xdr:rowOff>
    </xdr:to>
    <xdr:pic>
      <xdr:nvPicPr>
        <xdr:cNvPr id="133349" name="Picture 98" descr="dole_logo.PNG">
          <a:extLst>
            <a:ext uri="{FF2B5EF4-FFF2-40B4-BE49-F238E27FC236}">
              <a16:creationId xmlns:a16="http://schemas.microsoft.com/office/drawing/2014/main" xmlns="" id="{00000000-0008-0000-0300-0000E508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90500"/>
          <a:ext cx="619125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133349</xdr:colOff>
      <xdr:row>4</xdr:row>
      <xdr:rowOff>46949</xdr:rowOff>
    </xdr:from>
    <xdr:ext cx="1009651" cy="343576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 txBox="1"/>
      </xdr:nvSpPr>
      <xdr:spPr>
        <a:xfrm>
          <a:off x="133349" y="694649"/>
          <a:ext cx="1009651" cy="3435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PH" sz="700" b="1">
              <a:solidFill>
                <a:schemeClr val="bg1"/>
              </a:solidFill>
            </a:rPr>
            <a:t>Department of Labor </a:t>
          </a:r>
        </a:p>
        <a:p>
          <a:pPr algn="ctr"/>
          <a:r>
            <a:rPr lang="en-PH" sz="700" b="1">
              <a:solidFill>
                <a:schemeClr val="bg1"/>
              </a:solidFill>
            </a:rPr>
            <a:t>and Employment XI</a:t>
          </a:r>
        </a:p>
      </xdr:txBody>
    </xdr:sp>
    <xdr:clientData/>
  </xdr:oneCellAnchor>
  <xdr:oneCellAnchor>
    <xdr:from>
      <xdr:col>0</xdr:col>
      <xdr:colOff>1445684</xdr:colOff>
      <xdr:row>1</xdr:row>
      <xdr:rowOff>12700</xdr:rowOff>
    </xdr:from>
    <xdr:ext cx="3250142" cy="50165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SpPr txBox="1"/>
      </xdr:nvSpPr>
      <xdr:spPr>
        <a:xfrm>
          <a:off x="1445684" y="174625"/>
          <a:ext cx="3250142" cy="501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PH" sz="3000" b="1">
              <a:solidFill>
                <a:schemeClr val="bg1"/>
              </a:solidFill>
            </a:rPr>
            <a:t>DOLE XI PESO SPRS</a:t>
          </a:r>
        </a:p>
      </xdr:txBody>
    </xdr:sp>
    <xdr:clientData/>
  </xdr:oneCellAnchor>
  <xdr:twoCellAnchor>
    <xdr:from>
      <xdr:col>1</xdr:col>
      <xdr:colOff>1133475</xdr:colOff>
      <xdr:row>4</xdr:row>
      <xdr:rowOff>0</xdr:rowOff>
    </xdr:from>
    <xdr:to>
      <xdr:col>1</xdr:col>
      <xdr:colOff>2165085</xdr:colOff>
      <xdr:row>8</xdr:row>
      <xdr:rowOff>125413</xdr:rowOff>
    </xdr:to>
    <xdr:sp macro="" textlink="">
      <xdr:nvSpPr>
        <xdr:cNvPr id="9" name="Rounded Rectangle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SpPr/>
      </xdr:nvSpPr>
      <xdr:spPr>
        <a:xfrm>
          <a:off x="3743325" y="647700"/>
          <a:ext cx="1031610" cy="773113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100"/>
            <a:t>MAIN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142876</xdr:colOff>
      <xdr:row>0</xdr:row>
      <xdr:rowOff>123825</xdr:rowOff>
    </xdr:from>
    <xdr:to>
      <xdr:col>1</xdr:col>
      <xdr:colOff>2276476</xdr:colOff>
      <xdr:row>9</xdr:row>
      <xdr:rowOff>39158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142876" y="123825"/>
          <a:ext cx="4743450" cy="1372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 editAs="oneCell">
    <xdr:from>
      <xdr:col>0</xdr:col>
      <xdr:colOff>352425</xdr:colOff>
      <xdr:row>1</xdr:row>
      <xdr:rowOff>28575</xdr:rowOff>
    </xdr:from>
    <xdr:to>
      <xdr:col>0</xdr:col>
      <xdr:colOff>971550</xdr:colOff>
      <xdr:row>4</xdr:row>
      <xdr:rowOff>142875</xdr:rowOff>
    </xdr:to>
    <xdr:pic>
      <xdr:nvPicPr>
        <xdr:cNvPr id="119478" name="Picture 98" descr="dole_logo.PNG">
          <a:extLst>
            <a:ext uri="{FF2B5EF4-FFF2-40B4-BE49-F238E27FC236}">
              <a16:creationId xmlns:a16="http://schemas.microsoft.com/office/drawing/2014/main" xmlns="" id="{00000000-0008-0000-0400-0000B6D2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90500"/>
          <a:ext cx="619125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133349</xdr:colOff>
      <xdr:row>4</xdr:row>
      <xdr:rowOff>46949</xdr:rowOff>
    </xdr:from>
    <xdr:ext cx="1009651" cy="343576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 txBox="1"/>
      </xdr:nvSpPr>
      <xdr:spPr>
        <a:xfrm>
          <a:off x="133349" y="694649"/>
          <a:ext cx="1009651" cy="3435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PH" sz="700" b="1">
              <a:solidFill>
                <a:schemeClr val="bg1"/>
              </a:solidFill>
            </a:rPr>
            <a:t>Department of Labor </a:t>
          </a:r>
        </a:p>
        <a:p>
          <a:pPr algn="ctr"/>
          <a:r>
            <a:rPr lang="en-PH" sz="700" b="1">
              <a:solidFill>
                <a:schemeClr val="bg1"/>
              </a:solidFill>
            </a:rPr>
            <a:t>and Employment XI</a:t>
          </a:r>
        </a:p>
      </xdr:txBody>
    </xdr:sp>
    <xdr:clientData/>
  </xdr:oneCellAnchor>
  <xdr:oneCellAnchor>
    <xdr:from>
      <xdr:col>0</xdr:col>
      <xdr:colOff>1445684</xdr:colOff>
      <xdr:row>1</xdr:row>
      <xdr:rowOff>12700</xdr:rowOff>
    </xdr:from>
    <xdr:ext cx="3250142" cy="50165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 txBox="1"/>
      </xdr:nvSpPr>
      <xdr:spPr>
        <a:xfrm>
          <a:off x="1445684" y="174625"/>
          <a:ext cx="3250142" cy="501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PH" sz="3000" b="1">
              <a:solidFill>
                <a:schemeClr val="bg1"/>
              </a:solidFill>
            </a:rPr>
            <a:t>DOLE XI PESO SPRS</a:t>
          </a:r>
        </a:p>
      </xdr:txBody>
    </xdr:sp>
    <xdr:clientData/>
  </xdr:oneCellAnchor>
  <xdr:twoCellAnchor>
    <xdr:from>
      <xdr:col>1</xdr:col>
      <xdr:colOff>1190625</xdr:colOff>
      <xdr:row>4</xdr:row>
      <xdr:rowOff>28575</xdr:rowOff>
    </xdr:from>
    <xdr:to>
      <xdr:col>1</xdr:col>
      <xdr:colOff>2222235</xdr:colOff>
      <xdr:row>8</xdr:row>
      <xdr:rowOff>96838</xdr:rowOff>
    </xdr:to>
    <xdr:sp macro="" textlink="">
      <xdr:nvSpPr>
        <xdr:cNvPr id="10" name="Rounded Rectangl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>
        <a:xfrm>
          <a:off x="3800475" y="676275"/>
          <a:ext cx="1031610" cy="715963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100"/>
            <a:t>MAIN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142876</xdr:colOff>
      <xdr:row>0</xdr:row>
      <xdr:rowOff>123825</xdr:rowOff>
    </xdr:from>
    <xdr:to>
      <xdr:col>1</xdr:col>
      <xdr:colOff>2276476</xdr:colOff>
      <xdr:row>9</xdr:row>
      <xdr:rowOff>39158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>
        <a:xfrm>
          <a:off x="142876" y="123825"/>
          <a:ext cx="4743450" cy="1372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 editAs="oneCell">
    <xdr:from>
      <xdr:col>0</xdr:col>
      <xdr:colOff>352425</xdr:colOff>
      <xdr:row>1</xdr:row>
      <xdr:rowOff>28575</xdr:rowOff>
    </xdr:from>
    <xdr:to>
      <xdr:col>0</xdr:col>
      <xdr:colOff>971550</xdr:colOff>
      <xdr:row>4</xdr:row>
      <xdr:rowOff>142875</xdr:rowOff>
    </xdr:to>
    <xdr:pic>
      <xdr:nvPicPr>
        <xdr:cNvPr id="122107" name="Picture 98" descr="dole_logo.PNG">
          <a:extLst>
            <a:ext uri="{FF2B5EF4-FFF2-40B4-BE49-F238E27FC236}">
              <a16:creationId xmlns:a16="http://schemas.microsoft.com/office/drawing/2014/main" xmlns="" id="{00000000-0008-0000-0500-0000FBD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90500"/>
          <a:ext cx="619125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133349</xdr:colOff>
      <xdr:row>4</xdr:row>
      <xdr:rowOff>46949</xdr:rowOff>
    </xdr:from>
    <xdr:ext cx="1009651" cy="343576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 txBox="1"/>
      </xdr:nvSpPr>
      <xdr:spPr>
        <a:xfrm>
          <a:off x="133349" y="694649"/>
          <a:ext cx="1009651" cy="3435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PH" sz="700" b="1">
              <a:solidFill>
                <a:schemeClr val="bg1"/>
              </a:solidFill>
            </a:rPr>
            <a:t>Department of Labor </a:t>
          </a:r>
        </a:p>
        <a:p>
          <a:pPr algn="ctr"/>
          <a:r>
            <a:rPr lang="en-PH" sz="700" b="1">
              <a:solidFill>
                <a:schemeClr val="bg1"/>
              </a:solidFill>
            </a:rPr>
            <a:t>and Employment XI</a:t>
          </a:r>
        </a:p>
      </xdr:txBody>
    </xdr:sp>
    <xdr:clientData/>
  </xdr:oneCellAnchor>
  <xdr:oneCellAnchor>
    <xdr:from>
      <xdr:col>0</xdr:col>
      <xdr:colOff>1445684</xdr:colOff>
      <xdr:row>1</xdr:row>
      <xdr:rowOff>12700</xdr:rowOff>
    </xdr:from>
    <xdr:ext cx="3250142" cy="50165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SpPr txBox="1"/>
      </xdr:nvSpPr>
      <xdr:spPr>
        <a:xfrm>
          <a:off x="1445684" y="174625"/>
          <a:ext cx="3250142" cy="501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PH" sz="3000" b="1">
              <a:solidFill>
                <a:schemeClr val="bg1"/>
              </a:solidFill>
            </a:rPr>
            <a:t>DOLE XI PESO SPRS</a:t>
          </a:r>
        </a:p>
      </xdr:txBody>
    </xdr:sp>
    <xdr:clientData/>
  </xdr:oneCellAnchor>
  <xdr:twoCellAnchor>
    <xdr:from>
      <xdr:col>1</xdr:col>
      <xdr:colOff>1190625</xdr:colOff>
      <xdr:row>4</xdr:row>
      <xdr:rowOff>28575</xdr:rowOff>
    </xdr:from>
    <xdr:to>
      <xdr:col>1</xdr:col>
      <xdr:colOff>2222235</xdr:colOff>
      <xdr:row>8</xdr:row>
      <xdr:rowOff>96838</xdr:rowOff>
    </xdr:to>
    <xdr:sp macro="" textlink="">
      <xdr:nvSpPr>
        <xdr:cNvPr id="17" name="Rounded 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SpPr/>
      </xdr:nvSpPr>
      <xdr:spPr>
        <a:xfrm>
          <a:off x="3800475" y="676275"/>
          <a:ext cx="1031610" cy="715963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100"/>
            <a:t>MAIN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142876</xdr:colOff>
      <xdr:row>0</xdr:row>
      <xdr:rowOff>123825</xdr:rowOff>
    </xdr:from>
    <xdr:to>
      <xdr:col>1</xdr:col>
      <xdr:colOff>2276476</xdr:colOff>
      <xdr:row>9</xdr:row>
      <xdr:rowOff>39158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SpPr/>
      </xdr:nvSpPr>
      <xdr:spPr>
        <a:xfrm>
          <a:off x="142876" y="123825"/>
          <a:ext cx="4743450" cy="1372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 editAs="oneCell">
    <xdr:from>
      <xdr:col>0</xdr:col>
      <xdr:colOff>352425</xdr:colOff>
      <xdr:row>1</xdr:row>
      <xdr:rowOff>28575</xdr:rowOff>
    </xdr:from>
    <xdr:to>
      <xdr:col>0</xdr:col>
      <xdr:colOff>971550</xdr:colOff>
      <xdr:row>4</xdr:row>
      <xdr:rowOff>142875</xdr:rowOff>
    </xdr:to>
    <xdr:pic>
      <xdr:nvPicPr>
        <xdr:cNvPr id="123131" name="Picture 98" descr="dole_logo.PNG">
          <a:extLst>
            <a:ext uri="{FF2B5EF4-FFF2-40B4-BE49-F238E27FC236}">
              <a16:creationId xmlns:a16="http://schemas.microsoft.com/office/drawing/2014/main" xmlns="" id="{00000000-0008-0000-0600-0000FBE0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90500"/>
          <a:ext cx="619125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133349</xdr:colOff>
      <xdr:row>4</xdr:row>
      <xdr:rowOff>46949</xdr:rowOff>
    </xdr:from>
    <xdr:ext cx="1009651" cy="343576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SpPr txBox="1"/>
      </xdr:nvSpPr>
      <xdr:spPr>
        <a:xfrm>
          <a:off x="133349" y="694649"/>
          <a:ext cx="1009651" cy="3435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PH" sz="700" b="1">
              <a:solidFill>
                <a:schemeClr val="bg1"/>
              </a:solidFill>
            </a:rPr>
            <a:t>Department of Labor </a:t>
          </a:r>
        </a:p>
        <a:p>
          <a:pPr algn="ctr"/>
          <a:r>
            <a:rPr lang="en-PH" sz="700" b="1">
              <a:solidFill>
                <a:schemeClr val="bg1"/>
              </a:solidFill>
            </a:rPr>
            <a:t>and Employment XI</a:t>
          </a:r>
        </a:p>
      </xdr:txBody>
    </xdr:sp>
    <xdr:clientData/>
  </xdr:oneCellAnchor>
  <xdr:oneCellAnchor>
    <xdr:from>
      <xdr:col>0</xdr:col>
      <xdr:colOff>1445684</xdr:colOff>
      <xdr:row>1</xdr:row>
      <xdr:rowOff>12700</xdr:rowOff>
    </xdr:from>
    <xdr:ext cx="3250142" cy="50165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SpPr txBox="1"/>
      </xdr:nvSpPr>
      <xdr:spPr>
        <a:xfrm>
          <a:off x="1445684" y="174625"/>
          <a:ext cx="3250142" cy="501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PH" sz="3000" b="1">
              <a:solidFill>
                <a:schemeClr val="bg1"/>
              </a:solidFill>
            </a:rPr>
            <a:t>DOLE XI PESO SPRS</a:t>
          </a:r>
        </a:p>
      </xdr:txBody>
    </xdr:sp>
    <xdr:clientData/>
  </xdr:oneCellAnchor>
  <xdr:twoCellAnchor>
    <xdr:from>
      <xdr:col>1</xdr:col>
      <xdr:colOff>1190625</xdr:colOff>
      <xdr:row>4</xdr:row>
      <xdr:rowOff>28575</xdr:rowOff>
    </xdr:from>
    <xdr:to>
      <xdr:col>1</xdr:col>
      <xdr:colOff>2222235</xdr:colOff>
      <xdr:row>8</xdr:row>
      <xdr:rowOff>96838</xdr:rowOff>
    </xdr:to>
    <xdr:sp macro="" textlink="">
      <xdr:nvSpPr>
        <xdr:cNvPr id="17" name="Rounded 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SpPr/>
      </xdr:nvSpPr>
      <xdr:spPr>
        <a:xfrm>
          <a:off x="3800475" y="676275"/>
          <a:ext cx="1031610" cy="715963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100"/>
            <a:t>MAIN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142876</xdr:colOff>
      <xdr:row>0</xdr:row>
      <xdr:rowOff>123825</xdr:rowOff>
    </xdr:from>
    <xdr:to>
      <xdr:col>1</xdr:col>
      <xdr:colOff>2276476</xdr:colOff>
      <xdr:row>9</xdr:row>
      <xdr:rowOff>39158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SpPr/>
      </xdr:nvSpPr>
      <xdr:spPr>
        <a:xfrm>
          <a:off x="142876" y="123825"/>
          <a:ext cx="4743450" cy="1372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 editAs="oneCell">
    <xdr:from>
      <xdr:col>0</xdr:col>
      <xdr:colOff>352425</xdr:colOff>
      <xdr:row>1</xdr:row>
      <xdr:rowOff>28575</xdr:rowOff>
    </xdr:from>
    <xdr:to>
      <xdr:col>0</xdr:col>
      <xdr:colOff>971550</xdr:colOff>
      <xdr:row>4</xdr:row>
      <xdr:rowOff>142875</xdr:rowOff>
    </xdr:to>
    <xdr:pic>
      <xdr:nvPicPr>
        <xdr:cNvPr id="124155" name="Picture 98" descr="dole_logo.PNG">
          <a:extLst>
            <a:ext uri="{FF2B5EF4-FFF2-40B4-BE49-F238E27FC236}">
              <a16:creationId xmlns:a16="http://schemas.microsoft.com/office/drawing/2014/main" xmlns="" id="{00000000-0008-0000-0700-0000FBE4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90500"/>
          <a:ext cx="619125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133349</xdr:colOff>
      <xdr:row>4</xdr:row>
      <xdr:rowOff>46949</xdr:rowOff>
    </xdr:from>
    <xdr:ext cx="1009651" cy="343576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SpPr txBox="1"/>
      </xdr:nvSpPr>
      <xdr:spPr>
        <a:xfrm>
          <a:off x="133349" y="694649"/>
          <a:ext cx="1009651" cy="3435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PH" sz="700" b="1">
              <a:solidFill>
                <a:schemeClr val="bg1"/>
              </a:solidFill>
            </a:rPr>
            <a:t>Department of Labor </a:t>
          </a:r>
        </a:p>
        <a:p>
          <a:pPr algn="ctr"/>
          <a:r>
            <a:rPr lang="en-PH" sz="700" b="1">
              <a:solidFill>
                <a:schemeClr val="bg1"/>
              </a:solidFill>
            </a:rPr>
            <a:t>and Employment XI</a:t>
          </a:r>
        </a:p>
      </xdr:txBody>
    </xdr:sp>
    <xdr:clientData/>
  </xdr:oneCellAnchor>
  <xdr:oneCellAnchor>
    <xdr:from>
      <xdr:col>0</xdr:col>
      <xdr:colOff>1445684</xdr:colOff>
      <xdr:row>1</xdr:row>
      <xdr:rowOff>12700</xdr:rowOff>
    </xdr:from>
    <xdr:ext cx="3250142" cy="50165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SpPr txBox="1"/>
      </xdr:nvSpPr>
      <xdr:spPr>
        <a:xfrm>
          <a:off x="1445684" y="174625"/>
          <a:ext cx="3250142" cy="501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PH" sz="3000" b="1">
              <a:solidFill>
                <a:schemeClr val="bg1"/>
              </a:solidFill>
            </a:rPr>
            <a:t>DOLE XI PESO SPRS</a:t>
          </a:r>
        </a:p>
      </xdr:txBody>
    </xdr:sp>
    <xdr:clientData/>
  </xdr:oneCellAnchor>
  <xdr:twoCellAnchor>
    <xdr:from>
      <xdr:col>1</xdr:col>
      <xdr:colOff>1190625</xdr:colOff>
      <xdr:row>4</xdr:row>
      <xdr:rowOff>28575</xdr:rowOff>
    </xdr:from>
    <xdr:to>
      <xdr:col>1</xdr:col>
      <xdr:colOff>2222235</xdr:colOff>
      <xdr:row>8</xdr:row>
      <xdr:rowOff>96838</xdr:rowOff>
    </xdr:to>
    <xdr:sp macro="" textlink="">
      <xdr:nvSpPr>
        <xdr:cNvPr id="17" name="Rounded 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SpPr/>
      </xdr:nvSpPr>
      <xdr:spPr>
        <a:xfrm>
          <a:off x="3800475" y="676275"/>
          <a:ext cx="1031610" cy="715963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100"/>
            <a:t>MAIN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142876</xdr:colOff>
      <xdr:row>0</xdr:row>
      <xdr:rowOff>123825</xdr:rowOff>
    </xdr:from>
    <xdr:to>
      <xdr:col>1</xdr:col>
      <xdr:colOff>2276476</xdr:colOff>
      <xdr:row>9</xdr:row>
      <xdr:rowOff>39158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SpPr/>
      </xdr:nvSpPr>
      <xdr:spPr>
        <a:xfrm>
          <a:off x="142876" y="123825"/>
          <a:ext cx="4743450" cy="1372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 editAs="oneCell">
    <xdr:from>
      <xdr:col>0</xdr:col>
      <xdr:colOff>352425</xdr:colOff>
      <xdr:row>1</xdr:row>
      <xdr:rowOff>28575</xdr:rowOff>
    </xdr:from>
    <xdr:to>
      <xdr:col>0</xdr:col>
      <xdr:colOff>971550</xdr:colOff>
      <xdr:row>4</xdr:row>
      <xdr:rowOff>142875</xdr:rowOff>
    </xdr:to>
    <xdr:pic>
      <xdr:nvPicPr>
        <xdr:cNvPr id="125179" name="Picture 98" descr="dole_logo.PNG">
          <a:extLst>
            <a:ext uri="{FF2B5EF4-FFF2-40B4-BE49-F238E27FC236}">
              <a16:creationId xmlns:a16="http://schemas.microsoft.com/office/drawing/2014/main" xmlns="" id="{00000000-0008-0000-0800-0000FBE8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90500"/>
          <a:ext cx="619125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133349</xdr:colOff>
      <xdr:row>4</xdr:row>
      <xdr:rowOff>46949</xdr:rowOff>
    </xdr:from>
    <xdr:ext cx="1009651" cy="343576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 txBox="1"/>
      </xdr:nvSpPr>
      <xdr:spPr>
        <a:xfrm>
          <a:off x="133349" y="694649"/>
          <a:ext cx="1009651" cy="3435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PH" sz="700" b="1">
              <a:solidFill>
                <a:schemeClr val="bg1"/>
              </a:solidFill>
            </a:rPr>
            <a:t>Department of Labor </a:t>
          </a:r>
        </a:p>
        <a:p>
          <a:pPr algn="ctr"/>
          <a:r>
            <a:rPr lang="en-PH" sz="700" b="1">
              <a:solidFill>
                <a:schemeClr val="bg1"/>
              </a:solidFill>
            </a:rPr>
            <a:t>and Employment XI</a:t>
          </a:r>
        </a:p>
      </xdr:txBody>
    </xdr:sp>
    <xdr:clientData/>
  </xdr:oneCellAnchor>
  <xdr:oneCellAnchor>
    <xdr:from>
      <xdr:col>0</xdr:col>
      <xdr:colOff>1445684</xdr:colOff>
      <xdr:row>1</xdr:row>
      <xdr:rowOff>12700</xdr:rowOff>
    </xdr:from>
    <xdr:ext cx="3250142" cy="50165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SpPr txBox="1"/>
      </xdr:nvSpPr>
      <xdr:spPr>
        <a:xfrm>
          <a:off x="1445684" y="174625"/>
          <a:ext cx="3250142" cy="501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PH" sz="3000" b="1">
              <a:solidFill>
                <a:schemeClr val="bg1"/>
              </a:solidFill>
            </a:rPr>
            <a:t>DOLE XI PESO SPRS</a:t>
          </a:r>
        </a:p>
      </xdr:txBody>
    </xdr:sp>
    <xdr:clientData/>
  </xdr:oneCellAnchor>
  <xdr:twoCellAnchor>
    <xdr:from>
      <xdr:col>1</xdr:col>
      <xdr:colOff>1190625</xdr:colOff>
      <xdr:row>4</xdr:row>
      <xdr:rowOff>28575</xdr:rowOff>
    </xdr:from>
    <xdr:to>
      <xdr:col>1</xdr:col>
      <xdr:colOff>2222235</xdr:colOff>
      <xdr:row>8</xdr:row>
      <xdr:rowOff>96838</xdr:rowOff>
    </xdr:to>
    <xdr:sp macro="" textlink="">
      <xdr:nvSpPr>
        <xdr:cNvPr id="17" name="Rounded 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SpPr/>
      </xdr:nvSpPr>
      <xdr:spPr>
        <a:xfrm>
          <a:off x="3800475" y="676275"/>
          <a:ext cx="1031610" cy="715963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100"/>
            <a:t>MAIN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142876</xdr:colOff>
      <xdr:row>0</xdr:row>
      <xdr:rowOff>123825</xdr:rowOff>
    </xdr:from>
    <xdr:to>
      <xdr:col>1</xdr:col>
      <xdr:colOff>2276476</xdr:colOff>
      <xdr:row>9</xdr:row>
      <xdr:rowOff>39158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/>
      </xdr:nvSpPr>
      <xdr:spPr>
        <a:xfrm>
          <a:off x="142876" y="123825"/>
          <a:ext cx="4743450" cy="1372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 editAs="oneCell">
    <xdr:from>
      <xdr:col>0</xdr:col>
      <xdr:colOff>352425</xdr:colOff>
      <xdr:row>1</xdr:row>
      <xdr:rowOff>28575</xdr:rowOff>
    </xdr:from>
    <xdr:to>
      <xdr:col>0</xdr:col>
      <xdr:colOff>971550</xdr:colOff>
      <xdr:row>4</xdr:row>
      <xdr:rowOff>142875</xdr:rowOff>
    </xdr:to>
    <xdr:pic>
      <xdr:nvPicPr>
        <xdr:cNvPr id="126203" name="Picture 98" descr="dole_logo.PNG">
          <a:extLst>
            <a:ext uri="{FF2B5EF4-FFF2-40B4-BE49-F238E27FC236}">
              <a16:creationId xmlns:a16="http://schemas.microsoft.com/office/drawing/2014/main" xmlns="" id="{00000000-0008-0000-0900-0000FBE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90500"/>
          <a:ext cx="619125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133349</xdr:colOff>
      <xdr:row>4</xdr:row>
      <xdr:rowOff>46949</xdr:rowOff>
    </xdr:from>
    <xdr:ext cx="1009651" cy="343576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 txBox="1"/>
      </xdr:nvSpPr>
      <xdr:spPr>
        <a:xfrm>
          <a:off x="133349" y="694649"/>
          <a:ext cx="1009651" cy="3435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PH" sz="700" b="1">
              <a:solidFill>
                <a:schemeClr val="bg1"/>
              </a:solidFill>
            </a:rPr>
            <a:t>Department of Labor </a:t>
          </a:r>
        </a:p>
        <a:p>
          <a:pPr algn="ctr"/>
          <a:r>
            <a:rPr lang="en-PH" sz="700" b="1">
              <a:solidFill>
                <a:schemeClr val="bg1"/>
              </a:solidFill>
            </a:rPr>
            <a:t>and Employment XI</a:t>
          </a:r>
        </a:p>
      </xdr:txBody>
    </xdr:sp>
    <xdr:clientData/>
  </xdr:oneCellAnchor>
  <xdr:oneCellAnchor>
    <xdr:from>
      <xdr:col>0</xdr:col>
      <xdr:colOff>1445684</xdr:colOff>
      <xdr:row>1</xdr:row>
      <xdr:rowOff>12700</xdr:rowOff>
    </xdr:from>
    <xdr:ext cx="3250142" cy="50165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 txBox="1"/>
      </xdr:nvSpPr>
      <xdr:spPr>
        <a:xfrm>
          <a:off x="1445684" y="174625"/>
          <a:ext cx="3250142" cy="501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PH" sz="3000" b="1">
              <a:solidFill>
                <a:schemeClr val="bg1"/>
              </a:solidFill>
            </a:rPr>
            <a:t>DOLE XI PESO SPRS</a:t>
          </a:r>
        </a:p>
      </xdr:txBody>
    </xdr:sp>
    <xdr:clientData/>
  </xdr:oneCellAnchor>
  <xdr:twoCellAnchor>
    <xdr:from>
      <xdr:col>1</xdr:col>
      <xdr:colOff>1190625</xdr:colOff>
      <xdr:row>4</xdr:row>
      <xdr:rowOff>28575</xdr:rowOff>
    </xdr:from>
    <xdr:to>
      <xdr:col>1</xdr:col>
      <xdr:colOff>2222235</xdr:colOff>
      <xdr:row>8</xdr:row>
      <xdr:rowOff>96838</xdr:rowOff>
    </xdr:to>
    <xdr:sp macro="" textlink="">
      <xdr:nvSpPr>
        <xdr:cNvPr id="17" name="Rounded 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/>
      </xdr:nvSpPr>
      <xdr:spPr>
        <a:xfrm>
          <a:off x="3800475" y="676275"/>
          <a:ext cx="1031610" cy="715963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100"/>
            <a:t>MAIN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142876</xdr:colOff>
      <xdr:row>0</xdr:row>
      <xdr:rowOff>123825</xdr:rowOff>
    </xdr:from>
    <xdr:to>
      <xdr:col>1</xdr:col>
      <xdr:colOff>2276476</xdr:colOff>
      <xdr:row>9</xdr:row>
      <xdr:rowOff>39158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/>
      </xdr:nvSpPr>
      <xdr:spPr>
        <a:xfrm>
          <a:off x="142876" y="123825"/>
          <a:ext cx="4743450" cy="1372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 editAs="oneCell">
    <xdr:from>
      <xdr:col>0</xdr:col>
      <xdr:colOff>352425</xdr:colOff>
      <xdr:row>1</xdr:row>
      <xdr:rowOff>28575</xdr:rowOff>
    </xdr:from>
    <xdr:to>
      <xdr:col>0</xdr:col>
      <xdr:colOff>971550</xdr:colOff>
      <xdr:row>4</xdr:row>
      <xdr:rowOff>142875</xdr:rowOff>
    </xdr:to>
    <xdr:pic>
      <xdr:nvPicPr>
        <xdr:cNvPr id="127227" name="Picture 98" descr="dole_logo.PNG">
          <a:extLst>
            <a:ext uri="{FF2B5EF4-FFF2-40B4-BE49-F238E27FC236}">
              <a16:creationId xmlns:a16="http://schemas.microsoft.com/office/drawing/2014/main" xmlns="" id="{00000000-0008-0000-0A00-0000FBF0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90500"/>
          <a:ext cx="619125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133349</xdr:colOff>
      <xdr:row>4</xdr:row>
      <xdr:rowOff>46949</xdr:rowOff>
    </xdr:from>
    <xdr:ext cx="1009651" cy="343576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 txBox="1"/>
      </xdr:nvSpPr>
      <xdr:spPr>
        <a:xfrm>
          <a:off x="133349" y="694649"/>
          <a:ext cx="1009651" cy="3435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PH" sz="700" b="1">
              <a:solidFill>
                <a:schemeClr val="bg1"/>
              </a:solidFill>
            </a:rPr>
            <a:t>Department of Labor </a:t>
          </a:r>
        </a:p>
        <a:p>
          <a:pPr algn="ctr"/>
          <a:r>
            <a:rPr lang="en-PH" sz="700" b="1">
              <a:solidFill>
                <a:schemeClr val="bg1"/>
              </a:solidFill>
            </a:rPr>
            <a:t>and Employment XI</a:t>
          </a:r>
        </a:p>
      </xdr:txBody>
    </xdr:sp>
    <xdr:clientData/>
  </xdr:oneCellAnchor>
  <xdr:oneCellAnchor>
    <xdr:from>
      <xdr:col>0</xdr:col>
      <xdr:colOff>1445684</xdr:colOff>
      <xdr:row>1</xdr:row>
      <xdr:rowOff>12700</xdr:rowOff>
    </xdr:from>
    <xdr:ext cx="3250142" cy="50165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 txBox="1"/>
      </xdr:nvSpPr>
      <xdr:spPr>
        <a:xfrm>
          <a:off x="1445684" y="174625"/>
          <a:ext cx="3250142" cy="501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PH" sz="3000" b="1">
              <a:solidFill>
                <a:schemeClr val="bg1"/>
              </a:solidFill>
            </a:rPr>
            <a:t>DOLE XI PESO SPRS</a:t>
          </a:r>
        </a:p>
      </xdr:txBody>
    </xdr:sp>
    <xdr:clientData/>
  </xdr:oneCellAnchor>
  <xdr:twoCellAnchor>
    <xdr:from>
      <xdr:col>1</xdr:col>
      <xdr:colOff>1190625</xdr:colOff>
      <xdr:row>4</xdr:row>
      <xdr:rowOff>28575</xdr:rowOff>
    </xdr:from>
    <xdr:to>
      <xdr:col>1</xdr:col>
      <xdr:colOff>2222235</xdr:colOff>
      <xdr:row>8</xdr:row>
      <xdr:rowOff>96838</xdr:rowOff>
    </xdr:to>
    <xdr:sp macro="" textlink="">
      <xdr:nvSpPr>
        <xdr:cNvPr id="17" name="Rounded 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/>
      </xdr:nvSpPr>
      <xdr:spPr>
        <a:xfrm>
          <a:off x="3800475" y="676275"/>
          <a:ext cx="1031610" cy="715963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100"/>
            <a:t>MAIN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142876</xdr:colOff>
      <xdr:row>0</xdr:row>
      <xdr:rowOff>123825</xdr:rowOff>
    </xdr:from>
    <xdr:to>
      <xdr:col>1</xdr:col>
      <xdr:colOff>2276476</xdr:colOff>
      <xdr:row>9</xdr:row>
      <xdr:rowOff>39158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SpPr/>
      </xdr:nvSpPr>
      <xdr:spPr>
        <a:xfrm>
          <a:off x="142876" y="123825"/>
          <a:ext cx="4743450" cy="1372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 editAs="oneCell">
    <xdr:from>
      <xdr:col>0</xdr:col>
      <xdr:colOff>352425</xdr:colOff>
      <xdr:row>1</xdr:row>
      <xdr:rowOff>28575</xdr:rowOff>
    </xdr:from>
    <xdr:to>
      <xdr:col>0</xdr:col>
      <xdr:colOff>971550</xdr:colOff>
      <xdr:row>4</xdr:row>
      <xdr:rowOff>142875</xdr:rowOff>
    </xdr:to>
    <xdr:pic>
      <xdr:nvPicPr>
        <xdr:cNvPr id="128251" name="Picture 98" descr="dole_logo.PNG">
          <a:extLst>
            <a:ext uri="{FF2B5EF4-FFF2-40B4-BE49-F238E27FC236}">
              <a16:creationId xmlns:a16="http://schemas.microsoft.com/office/drawing/2014/main" xmlns="" id="{00000000-0008-0000-0B00-0000FBF4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90500"/>
          <a:ext cx="619125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133349</xdr:colOff>
      <xdr:row>4</xdr:row>
      <xdr:rowOff>46949</xdr:rowOff>
    </xdr:from>
    <xdr:ext cx="1009651" cy="343576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SpPr txBox="1"/>
      </xdr:nvSpPr>
      <xdr:spPr>
        <a:xfrm>
          <a:off x="133349" y="694649"/>
          <a:ext cx="1009651" cy="3435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PH" sz="700" b="1">
              <a:solidFill>
                <a:schemeClr val="bg1"/>
              </a:solidFill>
            </a:rPr>
            <a:t>Department of Labor </a:t>
          </a:r>
        </a:p>
        <a:p>
          <a:pPr algn="ctr"/>
          <a:r>
            <a:rPr lang="en-PH" sz="700" b="1">
              <a:solidFill>
                <a:schemeClr val="bg1"/>
              </a:solidFill>
            </a:rPr>
            <a:t>and Employment XI</a:t>
          </a:r>
        </a:p>
      </xdr:txBody>
    </xdr:sp>
    <xdr:clientData/>
  </xdr:oneCellAnchor>
  <xdr:oneCellAnchor>
    <xdr:from>
      <xdr:col>0</xdr:col>
      <xdr:colOff>1445684</xdr:colOff>
      <xdr:row>1</xdr:row>
      <xdr:rowOff>12700</xdr:rowOff>
    </xdr:from>
    <xdr:ext cx="3250142" cy="50165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SpPr txBox="1"/>
      </xdr:nvSpPr>
      <xdr:spPr>
        <a:xfrm>
          <a:off x="1445684" y="174625"/>
          <a:ext cx="3250142" cy="501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PH" sz="3000" b="1">
              <a:solidFill>
                <a:schemeClr val="bg1"/>
              </a:solidFill>
            </a:rPr>
            <a:t>DOLE XI PESO SPRS</a:t>
          </a:r>
        </a:p>
      </xdr:txBody>
    </xdr:sp>
    <xdr:clientData/>
  </xdr:oneCellAnchor>
  <xdr:twoCellAnchor>
    <xdr:from>
      <xdr:col>1</xdr:col>
      <xdr:colOff>1190625</xdr:colOff>
      <xdr:row>4</xdr:row>
      <xdr:rowOff>28575</xdr:rowOff>
    </xdr:from>
    <xdr:to>
      <xdr:col>1</xdr:col>
      <xdr:colOff>2222235</xdr:colOff>
      <xdr:row>8</xdr:row>
      <xdr:rowOff>96838</xdr:rowOff>
    </xdr:to>
    <xdr:sp macro="" textlink="">
      <xdr:nvSpPr>
        <xdr:cNvPr id="17" name="Rounded 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SpPr/>
      </xdr:nvSpPr>
      <xdr:spPr>
        <a:xfrm>
          <a:off x="3800475" y="676275"/>
          <a:ext cx="1031610" cy="715963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100"/>
            <a:t>MAIN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142876</xdr:colOff>
      <xdr:row>0</xdr:row>
      <xdr:rowOff>123825</xdr:rowOff>
    </xdr:from>
    <xdr:to>
      <xdr:col>1</xdr:col>
      <xdr:colOff>2276476</xdr:colOff>
      <xdr:row>9</xdr:row>
      <xdr:rowOff>39158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SpPr/>
      </xdr:nvSpPr>
      <xdr:spPr>
        <a:xfrm>
          <a:off x="142876" y="123825"/>
          <a:ext cx="4743450" cy="1372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 editAs="oneCell">
    <xdr:from>
      <xdr:col>0</xdr:col>
      <xdr:colOff>352425</xdr:colOff>
      <xdr:row>1</xdr:row>
      <xdr:rowOff>28575</xdr:rowOff>
    </xdr:from>
    <xdr:to>
      <xdr:col>0</xdr:col>
      <xdr:colOff>971550</xdr:colOff>
      <xdr:row>4</xdr:row>
      <xdr:rowOff>142875</xdr:rowOff>
    </xdr:to>
    <xdr:pic>
      <xdr:nvPicPr>
        <xdr:cNvPr id="129275" name="Picture 98" descr="dole_logo.PNG">
          <a:extLst>
            <a:ext uri="{FF2B5EF4-FFF2-40B4-BE49-F238E27FC236}">
              <a16:creationId xmlns:a16="http://schemas.microsoft.com/office/drawing/2014/main" xmlns="" id="{00000000-0008-0000-0C00-0000FBF8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90500"/>
          <a:ext cx="619125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133349</xdr:colOff>
      <xdr:row>4</xdr:row>
      <xdr:rowOff>46949</xdr:rowOff>
    </xdr:from>
    <xdr:ext cx="1009651" cy="343576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SpPr txBox="1"/>
      </xdr:nvSpPr>
      <xdr:spPr>
        <a:xfrm>
          <a:off x="133349" y="694649"/>
          <a:ext cx="1009651" cy="3435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PH" sz="700" b="1">
              <a:solidFill>
                <a:schemeClr val="bg1"/>
              </a:solidFill>
            </a:rPr>
            <a:t>Department of Labor </a:t>
          </a:r>
        </a:p>
        <a:p>
          <a:pPr algn="ctr"/>
          <a:r>
            <a:rPr lang="en-PH" sz="700" b="1">
              <a:solidFill>
                <a:schemeClr val="bg1"/>
              </a:solidFill>
            </a:rPr>
            <a:t>and Employment XI</a:t>
          </a:r>
        </a:p>
      </xdr:txBody>
    </xdr:sp>
    <xdr:clientData/>
  </xdr:oneCellAnchor>
  <xdr:oneCellAnchor>
    <xdr:from>
      <xdr:col>0</xdr:col>
      <xdr:colOff>1445684</xdr:colOff>
      <xdr:row>1</xdr:row>
      <xdr:rowOff>12700</xdr:rowOff>
    </xdr:from>
    <xdr:ext cx="3250142" cy="50165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SpPr txBox="1"/>
      </xdr:nvSpPr>
      <xdr:spPr>
        <a:xfrm>
          <a:off x="1445684" y="174625"/>
          <a:ext cx="3250142" cy="501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PH" sz="3000" b="1">
              <a:solidFill>
                <a:schemeClr val="bg1"/>
              </a:solidFill>
            </a:rPr>
            <a:t>DOLE XI PESO SPRS</a:t>
          </a:r>
        </a:p>
      </xdr:txBody>
    </xdr:sp>
    <xdr:clientData/>
  </xdr:oneCellAnchor>
  <xdr:twoCellAnchor>
    <xdr:from>
      <xdr:col>1</xdr:col>
      <xdr:colOff>1190625</xdr:colOff>
      <xdr:row>4</xdr:row>
      <xdr:rowOff>28575</xdr:rowOff>
    </xdr:from>
    <xdr:to>
      <xdr:col>1</xdr:col>
      <xdr:colOff>2222235</xdr:colOff>
      <xdr:row>8</xdr:row>
      <xdr:rowOff>96838</xdr:rowOff>
    </xdr:to>
    <xdr:sp macro="" textlink="">
      <xdr:nvSpPr>
        <xdr:cNvPr id="17" name="Rounded 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SpPr/>
      </xdr:nvSpPr>
      <xdr:spPr>
        <a:xfrm>
          <a:off x="3800475" y="676275"/>
          <a:ext cx="1031610" cy="715963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100"/>
            <a:t>MAIN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142876</xdr:colOff>
      <xdr:row>0</xdr:row>
      <xdr:rowOff>123825</xdr:rowOff>
    </xdr:from>
    <xdr:to>
      <xdr:col>1</xdr:col>
      <xdr:colOff>2276476</xdr:colOff>
      <xdr:row>9</xdr:row>
      <xdr:rowOff>39158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SpPr/>
      </xdr:nvSpPr>
      <xdr:spPr>
        <a:xfrm>
          <a:off x="142876" y="123825"/>
          <a:ext cx="4743450" cy="1372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 editAs="oneCell">
    <xdr:from>
      <xdr:col>0</xdr:col>
      <xdr:colOff>352425</xdr:colOff>
      <xdr:row>1</xdr:row>
      <xdr:rowOff>28575</xdr:rowOff>
    </xdr:from>
    <xdr:to>
      <xdr:col>0</xdr:col>
      <xdr:colOff>971550</xdr:colOff>
      <xdr:row>4</xdr:row>
      <xdr:rowOff>142875</xdr:rowOff>
    </xdr:to>
    <xdr:pic>
      <xdr:nvPicPr>
        <xdr:cNvPr id="130299" name="Picture 98" descr="dole_logo.PNG">
          <a:extLst>
            <a:ext uri="{FF2B5EF4-FFF2-40B4-BE49-F238E27FC236}">
              <a16:creationId xmlns:a16="http://schemas.microsoft.com/office/drawing/2014/main" xmlns="" id="{00000000-0008-0000-0D00-0000FBF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90500"/>
          <a:ext cx="619125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133349</xdr:colOff>
      <xdr:row>4</xdr:row>
      <xdr:rowOff>46949</xdr:rowOff>
    </xdr:from>
    <xdr:ext cx="1009651" cy="343576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SpPr txBox="1"/>
      </xdr:nvSpPr>
      <xdr:spPr>
        <a:xfrm>
          <a:off x="133349" y="694649"/>
          <a:ext cx="1009651" cy="3435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PH" sz="700" b="1">
              <a:solidFill>
                <a:schemeClr val="bg1"/>
              </a:solidFill>
            </a:rPr>
            <a:t>Department of Labor </a:t>
          </a:r>
        </a:p>
        <a:p>
          <a:pPr algn="ctr"/>
          <a:r>
            <a:rPr lang="en-PH" sz="700" b="1">
              <a:solidFill>
                <a:schemeClr val="bg1"/>
              </a:solidFill>
            </a:rPr>
            <a:t>and Employment XI</a:t>
          </a:r>
        </a:p>
      </xdr:txBody>
    </xdr:sp>
    <xdr:clientData/>
  </xdr:oneCellAnchor>
  <xdr:oneCellAnchor>
    <xdr:from>
      <xdr:col>0</xdr:col>
      <xdr:colOff>1445684</xdr:colOff>
      <xdr:row>1</xdr:row>
      <xdr:rowOff>12700</xdr:rowOff>
    </xdr:from>
    <xdr:ext cx="3250142" cy="50165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SpPr txBox="1"/>
      </xdr:nvSpPr>
      <xdr:spPr>
        <a:xfrm>
          <a:off x="1445684" y="174625"/>
          <a:ext cx="3250142" cy="501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PH" sz="3000" b="1">
              <a:solidFill>
                <a:schemeClr val="bg1"/>
              </a:solidFill>
            </a:rPr>
            <a:t>DOLE XI PESO SPRS</a:t>
          </a:r>
        </a:p>
      </xdr:txBody>
    </xdr:sp>
    <xdr:clientData/>
  </xdr:oneCellAnchor>
  <xdr:twoCellAnchor>
    <xdr:from>
      <xdr:col>1</xdr:col>
      <xdr:colOff>1190625</xdr:colOff>
      <xdr:row>4</xdr:row>
      <xdr:rowOff>28575</xdr:rowOff>
    </xdr:from>
    <xdr:to>
      <xdr:col>1</xdr:col>
      <xdr:colOff>2222235</xdr:colOff>
      <xdr:row>8</xdr:row>
      <xdr:rowOff>96838</xdr:rowOff>
    </xdr:to>
    <xdr:sp macro="" textlink="">
      <xdr:nvSpPr>
        <xdr:cNvPr id="17" name="Rounded 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SpPr/>
      </xdr:nvSpPr>
      <xdr:spPr>
        <a:xfrm>
          <a:off x="3800475" y="676275"/>
          <a:ext cx="1031610" cy="715963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100"/>
            <a:t>MAIN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142876</xdr:colOff>
      <xdr:row>0</xdr:row>
      <xdr:rowOff>123825</xdr:rowOff>
    </xdr:from>
    <xdr:to>
      <xdr:col>1</xdr:col>
      <xdr:colOff>2276476</xdr:colOff>
      <xdr:row>9</xdr:row>
      <xdr:rowOff>39158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xmlns="" id="{00000000-0008-0000-0E00-00000D000000}"/>
            </a:ext>
          </a:extLst>
        </xdr:cNvPr>
        <xdr:cNvSpPr/>
      </xdr:nvSpPr>
      <xdr:spPr>
        <a:xfrm>
          <a:off x="142876" y="123825"/>
          <a:ext cx="4743450" cy="1372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 editAs="oneCell">
    <xdr:from>
      <xdr:col>0</xdr:col>
      <xdr:colOff>352425</xdr:colOff>
      <xdr:row>1</xdr:row>
      <xdr:rowOff>28575</xdr:rowOff>
    </xdr:from>
    <xdr:to>
      <xdr:col>0</xdr:col>
      <xdr:colOff>971550</xdr:colOff>
      <xdr:row>4</xdr:row>
      <xdr:rowOff>142875</xdr:rowOff>
    </xdr:to>
    <xdr:pic>
      <xdr:nvPicPr>
        <xdr:cNvPr id="131323" name="Picture 98" descr="dole_logo.PNG">
          <a:extLst>
            <a:ext uri="{FF2B5EF4-FFF2-40B4-BE49-F238E27FC236}">
              <a16:creationId xmlns:a16="http://schemas.microsoft.com/office/drawing/2014/main" xmlns="" id="{00000000-0008-0000-0E00-0000FB00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90500"/>
          <a:ext cx="619125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133349</xdr:colOff>
      <xdr:row>4</xdr:row>
      <xdr:rowOff>46949</xdr:rowOff>
    </xdr:from>
    <xdr:ext cx="1009651" cy="343576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E00-00000F000000}"/>
            </a:ext>
          </a:extLst>
        </xdr:cNvPr>
        <xdr:cNvSpPr txBox="1"/>
      </xdr:nvSpPr>
      <xdr:spPr>
        <a:xfrm>
          <a:off x="133349" y="694649"/>
          <a:ext cx="1009651" cy="3435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PH" sz="700" b="1">
              <a:solidFill>
                <a:schemeClr val="bg1"/>
              </a:solidFill>
            </a:rPr>
            <a:t>Department of Labor </a:t>
          </a:r>
        </a:p>
        <a:p>
          <a:pPr algn="ctr"/>
          <a:r>
            <a:rPr lang="en-PH" sz="700" b="1">
              <a:solidFill>
                <a:schemeClr val="bg1"/>
              </a:solidFill>
            </a:rPr>
            <a:t>and Employment XI</a:t>
          </a:r>
        </a:p>
      </xdr:txBody>
    </xdr:sp>
    <xdr:clientData/>
  </xdr:oneCellAnchor>
  <xdr:oneCellAnchor>
    <xdr:from>
      <xdr:col>0</xdr:col>
      <xdr:colOff>1445684</xdr:colOff>
      <xdr:row>1</xdr:row>
      <xdr:rowOff>12700</xdr:rowOff>
    </xdr:from>
    <xdr:ext cx="3250142" cy="50165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E00-000010000000}"/>
            </a:ext>
          </a:extLst>
        </xdr:cNvPr>
        <xdr:cNvSpPr txBox="1"/>
      </xdr:nvSpPr>
      <xdr:spPr>
        <a:xfrm>
          <a:off x="1445684" y="174625"/>
          <a:ext cx="3250142" cy="501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PH" sz="3000" b="1">
              <a:solidFill>
                <a:schemeClr val="bg1"/>
              </a:solidFill>
            </a:rPr>
            <a:t>DOLE XI PESO SPRS</a:t>
          </a:r>
        </a:p>
      </xdr:txBody>
    </xdr:sp>
    <xdr:clientData/>
  </xdr:oneCellAnchor>
  <xdr:twoCellAnchor>
    <xdr:from>
      <xdr:col>1</xdr:col>
      <xdr:colOff>1190625</xdr:colOff>
      <xdr:row>4</xdr:row>
      <xdr:rowOff>28575</xdr:rowOff>
    </xdr:from>
    <xdr:to>
      <xdr:col>1</xdr:col>
      <xdr:colOff>2222235</xdr:colOff>
      <xdr:row>8</xdr:row>
      <xdr:rowOff>96838</xdr:rowOff>
    </xdr:to>
    <xdr:sp macro="" textlink="">
      <xdr:nvSpPr>
        <xdr:cNvPr id="17" name="Rounded 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E00-000011000000}"/>
            </a:ext>
          </a:extLst>
        </xdr:cNvPr>
        <xdr:cNvSpPr/>
      </xdr:nvSpPr>
      <xdr:spPr>
        <a:xfrm>
          <a:off x="3800475" y="676275"/>
          <a:ext cx="1031610" cy="715963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100"/>
            <a:t>MAIN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142876</xdr:colOff>
      <xdr:row>0</xdr:row>
      <xdr:rowOff>123825</xdr:rowOff>
    </xdr:from>
    <xdr:to>
      <xdr:col>1</xdr:col>
      <xdr:colOff>2276476</xdr:colOff>
      <xdr:row>9</xdr:row>
      <xdr:rowOff>39158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xmlns="" id="{00000000-0008-0000-0F00-00000D000000}"/>
            </a:ext>
          </a:extLst>
        </xdr:cNvPr>
        <xdr:cNvSpPr/>
      </xdr:nvSpPr>
      <xdr:spPr>
        <a:xfrm>
          <a:off x="142876" y="123825"/>
          <a:ext cx="4743450" cy="1372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 editAs="oneCell">
    <xdr:from>
      <xdr:col>0</xdr:col>
      <xdr:colOff>352425</xdr:colOff>
      <xdr:row>1</xdr:row>
      <xdr:rowOff>28575</xdr:rowOff>
    </xdr:from>
    <xdr:to>
      <xdr:col>0</xdr:col>
      <xdr:colOff>971550</xdr:colOff>
      <xdr:row>4</xdr:row>
      <xdr:rowOff>142875</xdr:rowOff>
    </xdr:to>
    <xdr:pic>
      <xdr:nvPicPr>
        <xdr:cNvPr id="132347" name="Picture 98" descr="dole_logo.PNG">
          <a:extLst>
            <a:ext uri="{FF2B5EF4-FFF2-40B4-BE49-F238E27FC236}">
              <a16:creationId xmlns:a16="http://schemas.microsoft.com/office/drawing/2014/main" xmlns="" id="{00000000-0008-0000-0F00-0000FB040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190500"/>
          <a:ext cx="619125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133349</xdr:colOff>
      <xdr:row>4</xdr:row>
      <xdr:rowOff>46949</xdr:rowOff>
    </xdr:from>
    <xdr:ext cx="1009651" cy="343576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F00-00000F000000}"/>
            </a:ext>
          </a:extLst>
        </xdr:cNvPr>
        <xdr:cNvSpPr txBox="1"/>
      </xdr:nvSpPr>
      <xdr:spPr>
        <a:xfrm>
          <a:off x="133349" y="694649"/>
          <a:ext cx="1009651" cy="3435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PH" sz="700" b="1">
              <a:solidFill>
                <a:schemeClr val="bg1"/>
              </a:solidFill>
            </a:rPr>
            <a:t>Department of Labor </a:t>
          </a:r>
        </a:p>
        <a:p>
          <a:pPr algn="ctr"/>
          <a:r>
            <a:rPr lang="en-PH" sz="700" b="1">
              <a:solidFill>
                <a:schemeClr val="bg1"/>
              </a:solidFill>
            </a:rPr>
            <a:t>and Employment XI</a:t>
          </a:r>
        </a:p>
      </xdr:txBody>
    </xdr:sp>
    <xdr:clientData/>
  </xdr:oneCellAnchor>
  <xdr:oneCellAnchor>
    <xdr:from>
      <xdr:col>0</xdr:col>
      <xdr:colOff>1445684</xdr:colOff>
      <xdr:row>1</xdr:row>
      <xdr:rowOff>12700</xdr:rowOff>
    </xdr:from>
    <xdr:ext cx="3250142" cy="50165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F00-000010000000}"/>
            </a:ext>
          </a:extLst>
        </xdr:cNvPr>
        <xdr:cNvSpPr txBox="1"/>
      </xdr:nvSpPr>
      <xdr:spPr>
        <a:xfrm>
          <a:off x="1445684" y="174625"/>
          <a:ext cx="3250142" cy="5016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PH" sz="3000" b="1">
              <a:solidFill>
                <a:schemeClr val="bg1"/>
              </a:solidFill>
            </a:rPr>
            <a:t>DOLE XI PESO SPRS</a:t>
          </a:r>
        </a:p>
      </xdr:txBody>
    </xdr:sp>
    <xdr:clientData/>
  </xdr:oneCellAnchor>
  <xdr:twoCellAnchor>
    <xdr:from>
      <xdr:col>1</xdr:col>
      <xdr:colOff>1190625</xdr:colOff>
      <xdr:row>4</xdr:row>
      <xdr:rowOff>28575</xdr:rowOff>
    </xdr:from>
    <xdr:to>
      <xdr:col>1</xdr:col>
      <xdr:colOff>2222235</xdr:colOff>
      <xdr:row>8</xdr:row>
      <xdr:rowOff>96838</xdr:rowOff>
    </xdr:to>
    <xdr:sp macro="" textlink="">
      <xdr:nvSpPr>
        <xdr:cNvPr id="17" name="Rounded 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F00-000011000000}"/>
            </a:ext>
          </a:extLst>
        </xdr:cNvPr>
        <xdr:cNvSpPr/>
      </xdr:nvSpPr>
      <xdr:spPr>
        <a:xfrm>
          <a:off x="3800475" y="676275"/>
          <a:ext cx="1031610" cy="715963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100"/>
            <a:t>MAIN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838200</xdr:colOff>
      <xdr:row>1</xdr:row>
      <xdr:rowOff>9525</xdr:rowOff>
    </xdr:from>
    <xdr:to>
      <xdr:col>0</xdr:col>
      <xdr:colOff>1466850</xdr:colOff>
      <xdr:row>4</xdr:row>
      <xdr:rowOff>123825</xdr:rowOff>
    </xdr:to>
    <xdr:pic>
      <xdr:nvPicPr>
        <xdr:cNvPr id="120381" name="Picture 4" descr="dole_logo.PNG">
          <a:extLst>
            <a:ext uri="{FF2B5EF4-FFF2-40B4-BE49-F238E27FC236}">
              <a16:creationId xmlns:a16="http://schemas.microsoft.com/office/drawing/2014/main" xmlns="" id="{00000000-0008-0000-1000-00003DD6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171450"/>
          <a:ext cx="628650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571580</xdr:colOff>
      <xdr:row>4</xdr:row>
      <xdr:rowOff>27899</xdr:rowOff>
    </xdr:from>
    <xdr:ext cx="1132417" cy="448351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1000-000006000000}"/>
            </a:ext>
          </a:extLst>
        </xdr:cNvPr>
        <xdr:cNvSpPr txBox="1"/>
      </xdr:nvSpPr>
      <xdr:spPr>
        <a:xfrm>
          <a:off x="571580" y="662899"/>
          <a:ext cx="1132417" cy="4483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en-PH" sz="800">
              <a:solidFill>
                <a:schemeClr val="bg1"/>
              </a:solidFill>
            </a:rPr>
            <a:t>Department of Labor </a:t>
          </a:r>
        </a:p>
        <a:p>
          <a:pPr algn="ctr"/>
          <a:r>
            <a:rPr lang="en-PH" sz="800">
              <a:solidFill>
                <a:schemeClr val="bg1"/>
              </a:solidFill>
            </a:rPr>
            <a:t>and Employment XI</a:t>
          </a:r>
        </a:p>
      </xdr:txBody>
    </xdr:sp>
    <xdr:clientData/>
  </xdr:oneCellAnchor>
  <xdr:oneCellAnchor>
    <xdr:from>
      <xdr:col>0</xdr:col>
      <xdr:colOff>1566413</xdr:colOff>
      <xdr:row>0</xdr:row>
      <xdr:rowOff>127000</xdr:rowOff>
    </xdr:from>
    <xdr:ext cx="4635501" cy="624418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1000-000007000000}"/>
            </a:ext>
          </a:extLst>
        </xdr:cNvPr>
        <xdr:cNvSpPr txBox="1"/>
      </xdr:nvSpPr>
      <xdr:spPr>
        <a:xfrm>
          <a:off x="1566413" y="127000"/>
          <a:ext cx="4635501" cy="6244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r>
            <a:rPr lang="en-PH" sz="4400" b="1">
              <a:solidFill>
                <a:schemeClr val="bg1"/>
              </a:solidFill>
            </a:rPr>
            <a:t>DOLE XI PESO SPRS</a:t>
          </a:r>
        </a:p>
      </xdr:txBody>
    </xdr:sp>
    <xdr:clientData/>
  </xdr:oneCellAnchor>
  <xdr:twoCellAnchor>
    <xdr:from>
      <xdr:col>18</xdr:col>
      <xdr:colOff>81644</xdr:colOff>
      <xdr:row>1</xdr:row>
      <xdr:rowOff>133350</xdr:rowOff>
    </xdr:from>
    <xdr:to>
      <xdr:col>19</xdr:col>
      <xdr:colOff>544287</xdr:colOff>
      <xdr:row>8</xdr:row>
      <xdr:rowOff>68036</xdr:rowOff>
    </xdr:to>
    <xdr:sp macro="" textlink="">
      <xdr:nvSpPr>
        <xdr:cNvPr id="10" name="Rounded Rectangl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1000-00000A000000}"/>
            </a:ext>
          </a:extLst>
        </xdr:cNvPr>
        <xdr:cNvSpPr/>
      </xdr:nvSpPr>
      <xdr:spPr>
        <a:xfrm>
          <a:off x="14872608" y="296636"/>
          <a:ext cx="1306286" cy="11049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PH" sz="1200"/>
            <a:t>MAIN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Z43"/>
  <sheetViews>
    <sheetView topLeftCell="C1" zoomScale="85" zoomScaleNormal="85" workbookViewId="0">
      <selection activeCell="E11" sqref="E11:I12"/>
    </sheetView>
  </sheetViews>
  <sheetFormatPr defaultRowHeight="12.75" x14ac:dyDescent="0.2"/>
  <cols>
    <col min="1" max="1" width="2.140625" customWidth="1"/>
    <col min="2" max="2" width="2.5703125" customWidth="1"/>
    <col min="3" max="3" width="2" customWidth="1"/>
    <col min="10" max="10" width="6.5703125" customWidth="1"/>
    <col min="11" max="11" width="1.7109375" customWidth="1"/>
    <col min="13" max="13" width="10.5703125" customWidth="1"/>
    <col min="14" max="15" width="10.85546875" customWidth="1"/>
    <col min="16" max="16" width="1.85546875" customWidth="1"/>
    <col min="17" max="17" width="15.5703125" customWidth="1"/>
    <col min="18" max="18" width="2.28515625" customWidth="1"/>
    <col min="19" max="19" width="2" customWidth="1"/>
    <col min="20" max="20" width="33.85546875" customWidth="1"/>
    <col min="21" max="21" width="6.7109375" customWidth="1"/>
    <col min="22" max="22" width="8.140625" customWidth="1"/>
    <col min="23" max="23" width="9.5703125" customWidth="1"/>
    <col min="24" max="24" width="8" customWidth="1"/>
    <col min="25" max="25" width="2.7109375" customWidth="1"/>
  </cols>
  <sheetData>
    <row r="1" spans="1:26" x14ac:dyDescent="0.2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x14ac:dyDescent="0.2">
      <c r="A2" s="7"/>
      <c r="B2" s="7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247"/>
      <c r="T2" s="248"/>
      <c r="U2" s="248"/>
      <c r="V2" s="249"/>
      <c r="W2" s="7"/>
      <c r="X2" s="7"/>
      <c r="Y2" s="7"/>
      <c r="Z2" s="7"/>
    </row>
    <row r="3" spans="1:26" ht="12.75" customHeight="1" x14ac:dyDescent="0.2">
      <c r="A3" s="7"/>
      <c r="B3" s="7"/>
      <c r="C3" s="9"/>
      <c r="D3" s="290" t="s">
        <v>381</v>
      </c>
      <c r="E3" s="291"/>
      <c r="F3" s="291"/>
      <c r="G3" s="291"/>
      <c r="H3" s="291"/>
      <c r="I3" s="291"/>
      <c r="J3" s="291"/>
      <c r="K3" s="291"/>
      <c r="L3" s="291"/>
      <c r="M3" s="291"/>
      <c r="N3" s="291"/>
      <c r="O3" s="291"/>
      <c r="P3" s="291"/>
      <c r="Q3" s="291"/>
      <c r="R3" s="9"/>
      <c r="S3" s="304" t="s">
        <v>406</v>
      </c>
      <c r="T3" s="305"/>
      <c r="U3" s="284" t="s">
        <v>423</v>
      </c>
      <c r="V3" s="287" t="str">
        <f>(V8+V23+V24) &amp; " pts"</f>
        <v>18 pts</v>
      </c>
      <c r="W3" s="7"/>
      <c r="X3" s="7"/>
      <c r="Y3" s="7"/>
      <c r="Z3" s="7"/>
    </row>
    <row r="4" spans="1:26" ht="12.75" customHeight="1" x14ac:dyDescent="0.2">
      <c r="A4" s="7"/>
      <c r="B4" s="7"/>
      <c r="C4" s="9"/>
      <c r="D4" s="291"/>
      <c r="E4" s="291"/>
      <c r="F4" s="291"/>
      <c r="G4" s="291"/>
      <c r="H4" s="291"/>
      <c r="I4" s="291"/>
      <c r="J4" s="291"/>
      <c r="K4" s="291"/>
      <c r="L4" s="291"/>
      <c r="M4" s="291"/>
      <c r="N4" s="291"/>
      <c r="O4" s="291"/>
      <c r="P4" s="291"/>
      <c r="Q4" s="291"/>
      <c r="R4" s="9"/>
      <c r="S4" s="306"/>
      <c r="T4" s="307"/>
      <c r="U4" s="285"/>
      <c r="V4" s="288"/>
      <c r="W4" s="7"/>
      <c r="X4" s="7"/>
      <c r="Y4" s="7"/>
      <c r="Z4" s="7"/>
    </row>
    <row r="5" spans="1:26" x14ac:dyDescent="0.2">
      <c r="A5" s="7"/>
      <c r="B5" s="7"/>
      <c r="C5" s="9"/>
      <c r="D5" s="291"/>
      <c r="E5" s="291"/>
      <c r="F5" s="291"/>
      <c r="G5" s="291"/>
      <c r="H5" s="291"/>
      <c r="I5" s="291"/>
      <c r="J5" s="291"/>
      <c r="K5" s="291"/>
      <c r="L5" s="291"/>
      <c r="M5" s="291"/>
      <c r="N5" s="291"/>
      <c r="O5" s="291"/>
      <c r="P5" s="291"/>
      <c r="Q5" s="291"/>
      <c r="R5" s="9"/>
      <c r="S5" s="308"/>
      <c r="T5" s="309"/>
      <c r="U5" s="286"/>
      <c r="V5" s="289"/>
      <c r="W5" s="7"/>
      <c r="X5" s="7"/>
      <c r="Y5" s="7"/>
      <c r="Z5" s="7"/>
    </row>
    <row r="6" spans="1:26" x14ac:dyDescent="0.2">
      <c r="A6" s="7"/>
      <c r="B6" s="7"/>
      <c r="C6" s="9"/>
      <c r="D6" s="291"/>
      <c r="E6" s="291"/>
      <c r="F6" s="291"/>
      <c r="G6" s="291"/>
      <c r="H6" s="291"/>
      <c r="I6" s="291"/>
      <c r="J6" s="291"/>
      <c r="K6" s="291"/>
      <c r="L6" s="291"/>
      <c r="M6" s="291"/>
      <c r="N6" s="291"/>
      <c r="O6" s="291"/>
      <c r="P6" s="291"/>
      <c r="Q6" s="291"/>
      <c r="R6" s="9"/>
      <c r="S6" s="302" t="s">
        <v>427</v>
      </c>
      <c r="T6" s="303"/>
      <c r="U6" s="259"/>
      <c r="V6" s="281"/>
      <c r="W6" s="7"/>
      <c r="X6" s="7"/>
      <c r="Y6" s="7"/>
      <c r="Z6" s="7"/>
    </row>
    <row r="7" spans="1:26" x14ac:dyDescent="0.2">
      <c r="A7" s="7"/>
      <c r="B7" s="7"/>
      <c r="C7" s="9"/>
      <c r="D7" s="291"/>
      <c r="E7" s="291"/>
      <c r="F7" s="291"/>
      <c r="G7" s="291"/>
      <c r="H7" s="291"/>
      <c r="I7" s="291"/>
      <c r="J7" s="291"/>
      <c r="K7" s="291"/>
      <c r="L7" s="291"/>
      <c r="M7" s="291"/>
      <c r="N7" s="291"/>
      <c r="O7" s="291"/>
      <c r="P7" s="291"/>
      <c r="Q7" s="291"/>
      <c r="R7" s="9"/>
      <c r="S7" s="250"/>
      <c r="T7" s="251"/>
      <c r="U7" s="259"/>
      <c r="V7" s="281"/>
      <c r="W7" s="7"/>
      <c r="X7" s="7"/>
      <c r="Y7" s="7"/>
      <c r="Z7" s="7"/>
    </row>
    <row r="8" spans="1:26" x14ac:dyDescent="0.2">
      <c r="A8" s="7"/>
      <c r="B8" s="7"/>
      <c r="C8" s="9"/>
      <c r="D8" s="292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P8" s="293"/>
      <c r="Q8" s="293"/>
      <c r="R8" s="9"/>
      <c r="S8" s="254" t="s">
        <v>407</v>
      </c>
      <c r="T8" s="251"/>
      <c r="U8" s="260">
        <v>90</v>
      </c>
      <c r="V8" s="282">
        <f>V9+V20</f>
        <v>15</v>
      </c>
      <c r="W8" s="7"/>
      <c r="X8" s="7"/>
      <c r="Y8" s="7"/>
      <c r="Z8" s="7"/>
    </row>
    <row r="9" spans="1:26" x14ac:dyDescent="0.2">
      <c r="A9" s="7"/>
      <c r="B9" s="7"/>
      <c r="C9" s="9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9"/>
      <c r="S9" s="250"/>
      <c r="T9" s="255" t="s">
        <v>408</v>
      </c>
      <c r="U9" s="256">
        <v>70</v>
      </c>
      <c r="V9" s="283">
        <f>V10+V14+V17</f>
        <v>7</v>
      </c>
      <c r="W9" s="7"/>
      <c r="X9" s="7"/>
      <c r="Y9" s="7"/>
      <c r="Z9" s="7"/>
    </row>
    <row r="10" spans="1:26" x14ac:dyDescent="0.2">
      <c r="A10" s="7"/>
      <c r="B10" s="7"/>
      <c r="C10" s="9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9"/>
      <c r="S10" s="250"/>
      <c r="T10" s="255" t="s">
        <v>409</v>
      </c>
      <c r="U10" s="257">
        <v>25</v>
      </c>
      <c r="V10" s="283">
        <f>V11+V12+V13</f>
        <v>7</v>
      </c>
      <c r="W10" s="7"/>
      <c r="X10" s="7"/>
      <c r="Y10" s="7"/>
      <c r="Z10" s="7"/>
    </row>
    <row r="11" spans="1:26" ht="12" customHeight="1" x14ac:dyDescent="0.2">
      <c r="A11" s="7"/>
      <c r="B11" s="7"/>
      <c r="C11" s="9"/>
      <c r="D11" s="8"/>
      <c r="E11" s="295" t="s">
        <v>0</v>
      </c>
      <c r="F11" s="296"/>
      <c r="G11" s="296"/>
      <c r="H11" s="296"/>
      <c r="I11" s="297"/>
      <c r="J11" s="8"/>
      <c r="K11" s="9"/>
      <c r="L11" s="9"/>
      <c r="M11" s="9"/>
      <c r="N11" s="9"/>
      <c r="O11" s="9"/>
      <c r="P11" s="9"/>
      <c r="Q11" s="8"/>
      <c r="R11" s="9"/>
      <c r="S11" s="250"/>
      <c r="T11" s="255" t="s">
        <v>410</v>
      </c>
      <c r="U11" s="257">
        <v>5</v>
      </c>
      <c r="V11" s="283">
        <v>1</v>
      </c>
      <c r="W11" s="7"/>
      <c r="X11" s="7"/>
      <c r="Y11" s="7"/>
      <c r="Z11" s="7"/>
    </row>
    <row r="12" spans="1:26" ht="12.75" customHeight="1" x14ac:dyDescent="0.2">
      <c r="A12" s="7"/>
      <c r="B12" s="7"/>
      <c r="C12" s="9"/>
      <c r="D12" s="8"/>
      <c r="E12" s="298"/>
      <c r="F12" s="299"/>
      <c r="G12" s="299"/>
      <c r="H12" s="299"/>
      <c r="I12" s="300"/>
      <c r="J12" s="8"/>
      <c r="K12" s="9"/>
      <c r="L12" s="230" t="s">
        <v>371</v>
      </c>
      <c r="M12" s="7"/>
      <c r="N12" s="7"/>
      <c r="O12" s="234">
        <f>TARGET!L10</f>
        <v>1690.1323345035612</v>
      </c>
      <c r="P12" s="9"/>
      <c r="Q12" s="8"/>
      <c r="R12" s="9"/>
      <c r="S12" s="250"/>
      <c r="T12" s="255" t="s">
        <v>411</v>
      </c>
      <c r="U12" s="257">
        <v>10</v>
      </c>
      <c r="V12" s="283">
        <v>4</v>
      </c>
      <c r="W12" s="7"/>
      <c r="X12" s="7"/>
      <c r="Y12" s="7"/>
      <c r="Z12" s="7"/>
    </row>
    <row r="13" spans="1:26" ht="14.25" x14ac:dyDescent="0.2">
      <c r="A13" s="7"/>
      <c r="B13" s="7"/>
      <c r="C13" s="9"/>
      <c r="D13" s="8"/>
      <c r="E13" s="8"/>
      <c r="F13" s="8"/>
      <c r="G13" s="8"/>
      <c r="H13" s="8"/>
      <c r="I13" s="8"/>
      <c r="J13" s="8"/>
      <c r="K13" s="9"/>
      <c r="L13" s="230" t="s">
        <v>372</v>
      </c>
      <c r="M13" s="7"/>
      <c r="N13" s="7"/>
      <c r="O13" s="234">
        <f>TARGET!L11</f>
        <v>1014.0794007021367</v>
      </c>
      <c r="P13" s="9"/>
      <c r="Q13" s="8"/>
      <c r="R13" s="9"/>
      <c r="S13" s="250"/>
      <c r="T13" s="255" t="s">
        <v>412</v>
      </c>
      <c r="U13" s="257">
        <v>10</v>
      </c>
      <c r="V13" s="283">
        <v>2</v>
      </c>
      <c r="W13" s="7"/>
      <c r="X13" s="7"/>
      <c r="Y13" s="7"/>
      <c r="Z13" s="7"/>
    </row>
    <row r="14" spans="1:26" ht="14.25" x14ac:dyDescent="0.2">
      <c r="A14" s="7"/>
      <c r="B14" s="7"/>
      <c r="C14" s="9"/>
      <c r="D14" s="8"/>
      <c r="E14" s="8"/>
      <c r="F14" s="8"/>
      <c r="G14" s="8"/>
      <c r="H14" s="8"/>
      <c r="I14" s="8"/>
      <c r="J14" s="8"/>
      <c r="K14" s="9"/>
      <c r="L14" s="230" t="s">
        <v>373</v>
      </c>
      <c r="M14" s="7"/>
      <c r="N14" s="7"/>
      <c r="O14" s="234">
        <f>TARGET!L12</f>
        <v>801.12272655468803</v>
      </c>
      <c r="P14" s="9"/>
      <c r="Q14" s="8"/>
      <c r="R14" s="9"/>
      <c r="S14" s="250"/>
      <c r="T14" s="255" t="s">
        <v>413</v>
      </c>
      <c r="U14" s="257">
        <v>25</v>
      </c>
      <c r="V14" s="283">
        <f>V15+V16</f>
        <v>0</v>
      </c>
      <c r="W14" s="7"/>
      <c r="X14" s="7"/>
      <c r="Y14" s="7"/>
      <c r="Z14" s="7"/>
    </row>
    <row r="15" spans="1:26" ht="12.75" customHeight="1" x14ac:dyDescent="0.2">
      <c r="A15" s="7"/>
      <c r="B15" s="7"/>
      <c r="C15" s="9"/>
      <c r="D15" s="8"/>
      <c r="E15" s="8"/>
      <c r="F15" s="8"/>
      <c r="G15" s="8"/>
      <c r="H15" s="8"/>
      <c r="I15" s="8"/>
      <c r="J15" s="8"/>
      <c r="K15" s="9"/>
      <c r="L15" s="230" t="s">
        <v>374</v>
      </c>
      <c r="M15" s="7"/>
      <c r="N15" s="7"/>
      <c r="O15" s="234">
        <f>TARGET!L13</f>
        <v>648.90940850929735</v>
      </c>
      <c r="P15" s="9"/>
      <c r="Q15" s="8"/>
      <c r="R15" s="9"/>
      <c r="S15" s="250"/>
      <c r="T15" s="255" t="s">
        <v>414</v>
      </c>
      <c r="U15" s="257">
        <v>5</v>
      </c>
      <c r="V15" s="283">
        <v>0</v>
      </c>
      <c r="W15" s="7"/>
      <c r="X15" s="7"/>
      <c r="Y15" s="7"/>
      <c r="Z15" s="7"/>
    </row>
    <row r="16" spans="1:26" x14ac:dyDescent="0.2">
      <c r="A16" s="7"/>
      <c r="B16" s="7"/>
      <c r="C16" s="9"/>
      <c r="D16" s="8"/>
      <c r="E16" s="8"/>
      <c r="F16" s="8"/>
      <c r="G16" s="8"/>
      <c r="H16" s="8"/>
      <c r="I16" s="8"/>
      <c r="J16" s="8"/>
      <c r="K16" s="9"/>
      <c r="L16" s="7"/>
      <c r="M16" s="7"/>
      <c r="N16" s="7"/>
      <c r="O16" s="7"/>
      <c r="P16" s="9"/>
      <c r="Q16" s="8"/>
      <c r="R16" s="9"/>
      <c r="S16" s="250"/>
      <c r="T16" s="255" t="s">
        <v>415</v>
      </c>
      <c r="U16" s="257">
        <v>20</v>
      </c>
      <c r="V16" s="283">
        <v>0</v>
      </c>
      <c r="W16" s="7"/>
      <c r="X16" s="7"/>
      <c r="Y16" s="7"/>
      <c r="Z16" s="7"/>
    </row>
    <row r="17" spans="1:26" x14ac:dyDescent="0.2">
      <c r="A17" s="7"/>
      <c r="B17" s="7"/>
      <c r="C17" s="9"/>
      <c r="D17" s="8"/>
      <c r="E17" s="8"/>
      <c r="F17" s="8"/>
      <c r="G17" s="8"/>
      <c r="H17" s="8"/>
      <c r="I17" s="8"/>
      <c r="J17" s="8"/>
      <c r="K17" s="9"/>
      <c r="L17" s="301" t="s">
        <v>376</v>
      </c>
      <c r="M17" s="301"/>
      <c r="N17" s="301"/>
      <c r="O17" s="301"/>
      <c r="P17" s="9"/>
      <c r="Q17" s="8"/>
      <c r="R17" s="9"/>
      <c r="S17" s="250"/>
      <c r="T17" s="255" t="s">
        <v>416</v>
      </c>
      <c r="U17" s="257">
        <v>20</v>
      </c>
      <c r="V17" s="283">
        <f>V18+V19</f>
        <v>0</v>
      </c>
      <c r="W17" s="7"/>
      <c r="X17" s="7"/>
      <c r="Y17" s="7"/>
      <c r="Z17" s="7"/>
    </row>
    <row r="18" spans="1:26" x14ac:dyDescent="0.2">
      <c r="A18" s="7"/>
      <c r="B18" s="7"/>
      <c r="C18" s="9"/>
      <c r="D18" s="8"/>
      <c r="E18" s="8"/>
      <c r="F18" s="8"/>
      <c r="G18" s="8"/>
      <c r="H18" s="8"/>
      <c r="I18" s="8"/>
      <c r="J18" s="8"/>
      <c r="K18" s="9"/>
      <c r="L18" s="7"/>
      <c r="M18" s="7"/>
      <c r="N18" s="7"/>
      <c r="O18" s="7"/>
      <c r="P18" s="9"/>
      <c r="Q18" s="8"/>
      <c r="R18" s="9"/>
      <c r="S18" s="250"/>
      <c r="T18" s="255" t="s">
        <v>417</v>
      </c>
      <c r="U18" s="257">
        <v>10</v>
      </c>
      <c r="V18" s="283">
        <v>0</v>
      </c>
      <c r="W18" s="7"/>
      <c r="X18" s="7"/>
      <c r="Y18" s="7"/>
      <c r="Z18" s="7"/>
    </row>
    <row r="19" spans="1:26" ht="14.25" x14ac:dyDescent="0.2">
      <c r="A19" s="7"/>
      <c r="B19" s="7"/>
      <c r="C19" s="9"/>
      <c r="D19" s="8"/>
      <c r="E19" s="8"/>
      <c r="F19" s="8"/>
      <c r="G19" s="8"/>
      <c r="H19" s="8"/>
      <c r="I19" s="8"/>
      <c r="J19" s="8"/>
      <c r="K19" s="9"/>
      <c r="L19" s="230" t="s">
        <v>375</v>
      </c>
      <c r="M19" s="7"/>
      <c r="N19" s="238">
        <f>IF(ISERR(O19/O12),0,O19/O12)</f>
        <v>3.8334276362466388</v>
      </c>
      <c r="O19" s="235">
        <f>'WHOLE YEAR'!R15</f>
        <v>6479</v>
      </c>
      <c r="P19" s="9"/>
      <c r="Q19" s="8"/>
      <c r="R19" s="9"/>
      <c r="S19" s="250"/>
      <c r="T19" s="255" t="s">
        <v>418</v>
      </c>
      <c r="U19" s="257">
        <v>10</v>
      </c>
      <c r="V19" s="283">
        <v>0</v>
      </c>
      <c r="W19" s="7"/>
      <c r="X19" s="7"/>
      <c r="Y19" s="7"/>
      <c r="Z19" s="7"/>
    </row>
    <row r="20" spans="1:26" ht="14.25" x14ac:dyDescent="0.2">
      <c r="A20" s="7"/>
      <c r="B20" s="7"/>
      <c r="C20" s="9"/>
      <c r="D20" s="8"/>
      <c r="E20" s="8"/>
      <c r="F20" s="8"/>
      <c r="G20" s="8"/>
      <c r="H20" s="8"/>
      <c r="I20" s="8"/>
      <c r="J20" s="8"/>
      <c r="K20" s="9"/>
      <c r="L20" s="230" t="s">
        <v>379</v>
      </c>
      <c r="M20" s="7"/>
      <c r="N20" s="239">
        <f>IF(ISERR(O20/O13),0,O20/O13)</f>
        <v>2.14578858272179</v>
      </c>
      <c r="O20" s="236">
        <f>'WHOLE YEAR'!R47</f>
        <v>2176</v>
      </c>
      <c r="P20" s="9"/>
      <c r="Q20" s="8"/>
      <c r="R20" s="9"/>
      <c r="S20" s="250"/>
      <c r="T20" s="255" t="s">
        <v>443</v>
      </c>
      <c r="U20" s="257">
        <v>20</v>
      </c>
      <c r="V20" s="283">
        <f>V21+V22</f>
        <v>8</v>
      </c>
      <c r="W20" s="7"/>
      <c r="X20" s="7"/>
      <c r="Y20" s="7"/>
      <c r="Z20" s="7"/>
    </row>
    <row r="21" spans="1:26" ht="14.25" x14ac:dyDescent="0.2">
      <c r="A21" s="7"/>
      <c r="B21" s="7"/>
      <c r="C21" s="9"/>
      <c r="D21" s="8"/>
      <c r="E21" s="8"/>
      <c r="F21" s="8"/>
      <c r="G21" s="8"/>
      <c r="H21" s="8"/>
      <c r="I21" s="8"/>
      <c r="J21" s="8"/>
      <c r="K21" s="9"/>
      <c r="L21" s="230" t="s">
        <v>377</v>
      </c>
      <c r="M21" s="7"/>
      <c r="N21" s="239">
        <f>IF(ISERR(O21/O14),0,O21/O14)</f>
        <v>0.79763059868253428</v>
      </c>
      <c r="O21" s="236">
        <f>'WHOLE YEAR'!R83</f>
        <v>639</v>
      </c>
      <c r="P21" s="9"/>
      <c r="Q21" s="8"/>
      <c r="R21" s="9"/>
      <c r="S21" s="250"/>
      <c r="T21" s="255" t="s">
        <v>419</v>
      </c>
      <c r="U21" s="257">
        <v>20</v>
      </c>
      <c r="V21" s="283">
        <v>8</v>
      </c>
      <c r="W21" s="7"/>
      <c r="X21" s="7"/>
      <c r="Y21" s="7"/>
      <c r="Z21" s="7"/>
    </row>
    <row r="22" spans="1:26" ht="14.25" x14ac:dyDescent="0.2">
      <c r="A22" s="7"/>
      <c r="B22" s="7"/>
      <c r="C22" s="9"/>
      <c r="D22" s="8"/>
      <c r="E22" s="8"/>
      <c r="F22" s="8"/>
      <c r="G22" s="8"/>
      <c r="H22" s="8"/>
      <c r="I22" s="8"/>
      <c r="J22" s="8"/>
      <c r="K22" s="9"/>
      <c r="L22" s="230" t="s">
        <v>378</v>
      </c>
      <c r="M22" s="7"/>
      <c r="N22" s="240">
        <f>IF(ISERR(O22/O15),0,O22/O15)</f>
        <v>0.70425855135902571</v>
      </c>
      <c r="O22" s="237">
        <f>'WHOLE YEAR'!R123</f>
        <v>457</v>
      </c>
      <c r="P22" s="9"/>
      <c r="Q22" s="8"/>
      <c r="R22" s="9"/>
      <c r="S22" s="250"/>
      <c r="T22" s="255" t="s">
        <v>420</v>
      </c>
      <c r="U22" s="257">
        <v>20</v>
      </c>
      <c r="V22" s="283">
        <v>0</v>
      </c>
      <c r="W22" s="7"/>
      <c r="X22" s="7"/>
      <c r="Y22" s="7"/>
      <c r="Z22" s="7"/>
    </row>
    <row r="23" spans="1:26" x14ac:dyDescent="0.2">
      <c r="A23" s="7"/>
      <c r="B23" s="7"/>
      <c r="C23" s="9"/>
      <c r="D23" s="8"/>
      <c r="E23" s="8"/>
      <c r="F23" s="8"/>
      <c r="G23" s="8"/>
      <c r="H23" s="8"/>
      <c r="I23" s="8"/>
      <c r="J23" s="8"/>
      <c r="K23" s="9"/>
      <c r="L23" s="7"/>
      <c r="M23" s="7"/>
      <c r="N23" s="7"/>
      <c r="O23" s="7"/>
      <c r="P23" s="9"/>
      <c r="Q23" s="8"/>
      <c r="R23" s="9"/>
      <c r="S23" s="254" t="s">
        <v>421</v>
      </c>
      <c r="T23" s="251"/>
      <c r="U23" s="257">
        <v>5</v>
      </c>
      <c r="V23" s="283">
        <v>3</v>
      </c>
      <c r="W23" s="7"/>
      <c r="X23" s="7"/>
      <c r="Y23" s="7"/>
      <c r="Z23" s="7"/>
    </row>
    <row r="24" spans="1:26" x14ac:dyDescent="0.2">
      <c r="A24" s="7"/>
      <c r="B24" s="7"/>
      <c r="C24" s="9"/>
      <c r="D24" s="8"/>
      <c r="E24" s="8"/>
      <c r="F24" s="8"/>
      <c r="G24" s="8"/>
      <c r="H24" s="8"/>
      <c r="I24" s="8"/>
      <c r="J24" s="8"/>
      <c r="K24" s="9"/>
      <c r="L24" s="7"/>
      <c r="M24" s="7"/>
      <c r="N24" s="7"/>
      <c r="O24" s="7"/>
      <c r="P24" s="9"/>
      <c r="Q24" s="8"/>
      <c r="R24" s="9"/>
      <c r="S24" s="254" t="s">
        <v>422</v>
      </c>
      <c r="T24" s="251"/>
      <c r="U24" s="257">
        <v>5</v>
      </c>
      <c r="V24" s="283">
        <v>0</v>
      </c>
      <c r="W24" s="7"/>
      <c r="X24" s="7"/>
      <c r="Y24" s="7"/>
      <c r="Z24" s="7"/>
    </row>
    <row r="25" spans="1:26" ht="9.75" customHeight="1" x14ac:dyDescent="0.2">
      <c r="A25" s="7"/>
      <c r="B25" s="7"/>
      <c r="C25" s="9"/>
      <c r="D25" s="8"/>
      <c r="E25" s="8"/>
      <c r="F25" s="8"/>
      <c r="G25" s="8"/>
      <c r="H25" s="8"/>
      <c r="I25" s="8"/>
      <c r="J25" s="8"/>
      <c r="K25" s="9"/>
      <c r="L25" s="9"/>
      <c r="M25" s="9"/>
      <c r="N25" s="9"/>
      <c r="O25" s="9"/>
      <c r="P25" s="9"/>
      <c r="Q25" s="8"/>
      <c r="R25" s="9"/>
      <c r="S25" s="250"/>
      <c r="T25" s="251"/>
      <c r="U25" s="257"/>
      <c r="V25" s="281"/>
      <c r="W25" s="7"/>
      <c r="X25" s="7"/>
      <c r="Y25" s="7"/>
      <c r="Z25" s="7"/>
    </row>
    <row r="26" spans="1:26" x14ac:dyDescent="0.2">
      <c r="A26" s="7"/>
      <c r="B26" s="7"/>
      <c r="C26" s="9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9"/>
      <c r="S26" s="250"/>
      <c r="T26" s="251"/>
      <c r="U26" s="257"/>
      <c r="V26" s="281"/>
      <c r="W26" s="7"/>
      <c r="X26" s="7"/>
      <c r="Y26" s="7"/>
      <c r="Z26" s="7"/>
    </row>
    <row r="27" spans="1:26" x14ac:dyDescent="0.2">
      <c r="A27" s="7"/>
      <c r="B27" s="7"/>
      <c r="C27" s="9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9"/>
      <c r="S27" s="250"/>
      <c r="T27" s="251"/>
      <c r="U27" s="257"/>
      <c r="V27" s="281"/>
      <c r="W27" s="7"/>
      <c r="X27" s="7"/>
      <c r="Y27" s="7"/>
      <c r="Z27" s="7"/>
    </row>
    <row r="28" spans="1:26" x14ac:dyDescent="0.2">
      <c r="A28" s="7"/>
      <c r="B28" s="7"/>
      <c r="C28" s="9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9"/>
      <c r="S28" s="250"/>
      <c r="T28" s="251"/>
      <c r="U28" s="257"/>
      <c r="V28" s="281"/>
      <c r="W28" s="7"/>
      <c r="X28" s="7"/>
      <c r="Y28" s="7"/>
      <c r="Z28" s="7"/>
    </row>
    <row r="29" spans="1:26" x14ac:dyDescent="0.2">
      <c r="A29" s="7"/>
      <c r="B29" s="7"/>
      <c r="C29" s="9"/>
      <c r="D29" s="86" t="s">
        <v>380</v>
      </c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9"/>
      <c r="S29" s="250"/>
      <c r="T29" s="251"/>
      <c r="U29" s="257"/>
      <c r="V29" s="281"/>
      <c r="W29" s="7"/>
      <c r="X29" s="7"/>
      <c r="Y29" s="7"/>
      <c r="Z29" s="7"/>
    </row>
    <row r="30" spans="1:26" x14ac:dyDescent="0.2">
      <c r="A30" s="7"/>
      <c r="B30" s="7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10"/>
      <c r="O30" s="294"/>
      <c r="P30" s="294"/>
      <c r="Q30" s="294"/>
      <c r="R30" s="294"/>
      <c r="S30" s="252"/>
      <c r="T30" s="253"/>
      <c r="U30" s="258"/>
      <c r="V30" s="261"/>
      <c r="W30" s="7"/>
      <c r="X30" s="7"/>
      <c r="Y30" s="7"/>
      <c r="Z30" s="7"/>
    </row>
    <row r="31" spans="1:26" x14ac:dyDescent="0.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ht="14.25" customHeight="1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</sheetData>
  <sheetProtection password="CE28" sheet="1" objects="1" scenarios="1" selectLockedCells="1"/>
  <mergeCells count="9">
    <mergeCell ref="U3:U5"/>
    <mergeCell ref="V3:V5"/>
    <mergeCell ref="D3:Q7"/>
    <mergeCell ref="D8:Q8"/>
    <mergeCell ref="O30:R30"/>
    <mergeCell ref="E11:I12"/>
    <mergeCell ref="L17:O17"/>
    <mergeCell ref="S6:T6"/>
    <mergeCell ref="S3:T5"/>
  </mergeCells>
  <dataValidations count="1">
    <dataValidation type="list" allowBlank="1" showInputMessage="1" showErrorMessage="1" sqref="S6:T6">
      <formula1>class</formula1>
    </dataValidation>
  </dataValidations>
  <pageMargins left="0.7" right="0.7" top="0.75" bottom="0.75" header="0.3" footer="0.3"/>
  <pageSetup paperSize="768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D39"/>
  <sheetViews>
    <sheetView workbookViewId="0">
      <selection activeCell="B33" sqref="B33"/>
    </sheetView>
  </sheetViews>
  <sheetFormatPr defaultRowHeight="12.75" x14ac:dyDescent="0.2"/>
  <cols>
    <col min="1" max="1" width="25.140625" customWidth="1"/>
    <col min="3" max="3" width="15.42578125" customWidth="1"/>
  </cols>
  <sheetData>
    <row r="2" spans="1:2" x14ac:dyDescent="0.2">
      <c r="A2" t="s">
        <v>293</v>
      </c>
    </row>
    <row r="3" spans="1:2" x14ac:dyDescent="0.2">
      <c r="A3" s="241" t="s">
        <v>382</v>
      </c>
    </row>
    <row r="4" spans="1:2" x14ac:dyDescent="0.2">
      <c r="A4" t="s">
        <v>383</v>
      </c>
      <c r="B4" s="233">
        <f>'WHOLE YEAR'!R17</f>
        <v>641</v>
      </c>
    </row>
    <row r="5" spans="1:2" x14ac:dyDescent="0.2">
      <c r="A5" t="s">
        <v>385</v>
      </c>
      <c r="B5" s="233">
        <f>'WHOLE YEAR'!R18</f>
        <v>380</v>
      </c>
    </row>
    <row r="6" spans="1:2" x14ac:dyDescent="0.2">
      <c r="A6" t="s">
        <v>386</v>
      </c>
      <c r="B6" s="233">
        <f>'WHOLE YEAR'!R19</f>
        <v>261</v>
      </c>
    </row>
    <row r="7" spans="1:2" x14ac:dyDescent="0.2">
      <c r="A7" t="s">
        <v>384</v>
      </c>
      <c r="B7" s="233">
        <f>'WHOLE YEAR'!R20</f>
        <v>5688</v>
      </c>
    </row>
    <row r="8" spans="1:2" x14ac:dyDescent="0.2">
      <c r="A8" t="s">
        <v>383</v>
      </c>
      <c r="B8" s="233">
        <f>'WHOLE YEAR'!R21</f>
        <v>4850</v>
      </c>
    </row>
    <row r="9" spans="1:2" x14ac:dyDescent="0.2">
      <c r="A9" t="s">
        <v>385</v>
      </c>
      <c r="B9" s="233">
        <f>'WHOLE YEAR'!R22</f>
        <v>838</v>
      </c>
    </row>
    <row r="10" spans="1:2" x14ac:dyDescent="0.2">
      <c r="A10" t="s">
        <v>386</v>
      </c>
      <c r="B10" s="233">
        <f>'WHOLE YEAR'!R23</f>
        <v>150</v>
      </c>
    </row>
    <row r="11" spans="1:2" x14ac:dyDescent="0.2">
      <c r="A11" s="242" t="s">
        <v>387</v>
      </c>
    </row>
    <row r="12" spans="1:2" x14ac:dyDescent="0.2">
      <c r="A12" t="s">
        <v>385</v>
      </c>
    </row>
    <row r="13" spans="1:2" x14ac:dyDescent="0.2">
      <c r="A13" t="s">
        <v>386</v>
      </c>
    </row>
    <row r="18" spans="1:4" x14ac:dyDescent="0.2">
      <c r="A18" s="242" t="s">
        <v>405</v>
      </c>
      <c r="B18" s="242" t="s">
        <v>400</v>
      </c>
      <c r="C18" s="242" t="s">
        <v>401</v>
      </c>
    </row>
    <row r="19" spans="1:4" x14ac:dyDescent="0.2">
      <c r="A19" s="242" t="s">
        <v>375</v>
      </c>
      <c r="B19" s="233">
        <f>TARGET!L10</f>
        <v>1690.1323345035612</v>
      </c>
      <c r="C19" s="233">
        <f>'WHOLE YEAR'!R15</f>
        <v>6479</v>
      </c>
    </row>
    <row r="20" spans="1:4" x14ac:dyDescent="0.2">
      <c r="A20" s="242" t="s">
        <v>402</v>
      </c>
      <c r="B20" s="233">
        <f>TARGET!L11</f>
        <v>1014.0794007021367</v>
      </c>
      <c r="C20" s="233">
        <f>'WHOLE YEAR'!R47</f>
        <v>2176</v>
      </c>
    </row>
    <row r="21" spans="1:4" x14ac:dyDescent="0.2">
      <c r="A21" s="242" t="s">
        <v>403</v>
      </c>
      <c r="B21" s="233">
        <f>TARGET!L12</f>
        <v>801.12272655468803</v>
      </c>
      <c r="C21" s="233">
        <f>'WHOLE YEAR'!R83</f>
        <v>639</v>
      </c>
    </row>
    <row r="22" spans="1:4" x14ac:dyDescent="0.2">
      <c r="A22" s="242" t="s">
        <v>404</v>
      </c>
      <c r="B22" s="233">
        <f>TARGET!L13</f>
        <v>648.90940850929735</v>
      </c>
      <c r="C22" s="233">
        <f>'WHOLE YEAR'!R123</f>
        <v>457</v>
      </c>
    </row>
    <row r="26" spans="1:4" x14ac:dyDescent="0.2">
      <c r="A26" s="242" t="s">
        <v>388</v>
      </c>
      <c r="B26" s="242" t="s">
        <v>385</v>
      </c>
      <c r="C26" s="242" t="s">
        <v>386</v>
      </c>
      <c r="D26" s="242" t="s">
        <v>391</v>
      </c>
    </row>
    <row r="27" spans="1:4" x14ac:dyDescent="0.2">
      <c r="A27" s="242" t="s">
        <v>389</v>
      </c>
      <c r="B27">
        <v>65</v>
      </c>
      <c r="C27">
        <v>12</v>
      </c>
      <c r="D27">
        <f>B27+C27</f>
        <v>77</v>
      </c>
    </row>
    <row r="28" spans="1:4" x14ac:dyDescent="0.2">
      <c r="A28" s="242" t="s">
        <v>390</v>
      </c>
      <c r="B28">
        <v>43</v>
      </c>
      <c r="C28">
        <v>24</v>
      </c>
      <c r="D28">
        <f>B28+C28</f>
        <v>67</v>
      </c>
    </row>
    <row r="33" spans="1:1" x14ac:dyDescent="0.2">
      <c r="A33" s="242" t="s">
        <v>424</v>
      </c>
    </row>
    <row r="34" spans="1:1" x14ac:dyDescent="0.2">
      <c r="A34" s="242" t="s">
        <v>425</v>
      </c>
    </row>
    <row r="35" spans="1:1" x14ac:dyDescent="0.2">
      <c r="A35" s="242" t="s">
        <v>426</v>
      </c>
    </row>
    <row r="36" spans="1:1" x14ac:dyDescent="0.2">
      <c r="A36" s="242" t="s">
        <v>427</v>
      </c>
    </row>
    <row r="37" spans="1:1" x14ac:dyDescent="0.2">
      <c r="A37" s="242" t="s">
        <v>428</v>
      </c>
    </row>
    <row r="38" spans="1:1" x14ac:dyDescent="0.2">
      <c r="A38" s="242" t="s">
        <v>430</v>
      </c>
    </row>
    <row r="39" spans="1:1" x14ac:dyDescent="0.2">
      <c r="A39" s="242" t="s">
        <v>429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O29"/>
  <sheetViews>
    <sheetView topLeftCell="A13" workbookViewId="0">
      <selection activeCell="M46" sqref="M46"/>
    </sheetView>
  </sheetViews>
  <sheetFormatPr defaultRowHeight="12.75" x14ac:dyDescent="0.2"/>
  <cols>
    <col min="1" max="1" width="9.140625" customWidth="1"/>
    <col min="10" max="10" width="8.140625" customWidth="1"/>
    <col min="11" max="11" width="6.42578125" customWidth="1"/>
    <col min="12" max="12" width="5" customWidth="1"/>
    <col min="13" max="13" width="25.5703125" customWidth="1"/>
    <col min="15" max="15" width="15.42578125" bestFit="1" customWidth="1"/>
  </cols>
  <sheetData>
    <row r="1" spans="1:15" ht="15.75" x14ac:dyDescent="0.25">
      <c r="A1" s="315" t="str">
        <f xml:space="preserve"> 'MAIN PAGE'!E11 &amp; " EMPLOYMENT STATISTICS "</f>
        <v xml:space="preserve">  EMPLOYMENT STATISTICS </v>
      </c>
      <c r="B1" s="315"/>
      <c r="C1" s="315"/>
      <c r="D1" s="315"/>
      <c r="E1" s="315"/>
      <c r="F1" s="315"/>
      <c r="G1" s="315"/>
      <c r="H1" s="315"/>
      <c r="I1" s="315"/>
      <c r="J1" s="315"/>
      <c r="K1" s="315"/>
      <c r="L1" s="315"/>
      <c r="M1" s="243"/>
    </row>
    <row r="2" spans="1:15" x14ac:dyDescent="0.2">
      <c r="A2" s="316" t="str">
        <f ca="1">"Data generated as of  " &amp;  TEXT(TODAY(),"mmmm d, yyyy")</f>
        <v>Data generated as of  July 25, 2020</v>
      </c>
      <c r="B2" s="317"/>
      <c r="C2" s="317"/>
      <c r="D2" s="317"/>
      <c r="E2" s="317"/>
      <c r="F2" s="317"/>
      <c r="G2" s="317"/>
      <c r="H2" s="317"/>
      <c r="I2" s="317"/>
      <c r="J2" s="317"/>
      <c r="K2" s="317"/>
      <c r="L2" s="317"/>
    </row>
    <row r="11" spans="1:15" x14ac:dyDescent="0.2">
      <c r="O11" s="246"/>
    </row>
    <row r="13" spans="1:15" ht="12.75" customHeight="1" x14ac:dyDescent="0.2">
      <c r="A13" s="312">
        <f>TARGET!I3</f>
        <v>56206.565852960004</v>
      </c>
      <c r="B13" s="312"/>
      <c r="C13" s="312"/>
      <c r="D13" s="312"/>
      <c r="E13" s="318">
        <f>TARGET!L2</f>
        <v>0.95399999999999996</v>
      </c>
      <c r="F13" s="318"/>
      <c r="G13" s="318"/>
      <c r="H13" s="318">
        <f>TARGET!L4</f>
        <v>0.16600000000000001</v>
      </c>
      <c r="I13" s="318"/>
      <c r="J13" s="318"/>
      <c r="K13" s="318"/>
    </row>
    <row r="14" spans="1:15" ht="12.75" customHeight="1" x14ac:dyDescent="0.2">
      <c r="A14" s="312"/>
      <c r="B14" s="312"/>
      <c r="C14" s="312"/>
      <c r="D14" s="312"/>
      <c r="E14" s="318"/>
      <c r="F14" s="318"/>
      <c r="G14" s="318"/>
      <c r="H14" s="318"/>
      <c r="I14" s="318"/>
      <c r="J14" s="318"/>
      <c r="K14" s="318"/>
    </row>
    <row r="15" spans="1:15" x14ac:dyDescent="0.2">
      <c r="A15" s="313" t="e">
        <f>"Total Population of " &amp; LEFT(TRIM('MAIN PAGE'!E11),FIND("~",SUBSTITUTE('MAIN PAGE'!E11," ","~",LEN(TRIM('MAIN PAGE'!E11))-LEN(SUBSTITUTE(TRIM('MAIN PAGE'!E11)," ",""))))-1)</f>
        <v>#VALUE!</v>
      </c>
      <c r="B15" s="313"/>
      <c r="C15" s="313"/>
      <c r="D15" s="313"/>
      <c r="E15" s="310" t="s">
        <v>395</v>
      </c>
      <c r="F15" s="310"/>
      <c r="G15" s="310"/>
      <c r="H15" s="310" t="s">
        <v>396</v>
      </c>
      <c r="I15" s="310"/>
      <c r="J15" s="310"/>
      <c r="K15" s="310"/>
    </row>
    <row r="20" spans="1:11" x14ac:dyDescent="0.2">
      <c r="A20" s="314"/>
      <c r="B20" s="314"/>
      <c r="C20" s="314"/>
      <c r="D20" s="314"/>
      <c r="E20" s="245"/>
      <c r="F20" s="245"/>
      <c r="G20" s="245"/>
    </row>
    <row r="27" spans="1:11" ht="12.75" customHeight="1" x14ac:dyDescent="0.2">
      <c r="A27" s="312">
        <f>'WHOLE YEAR'!R15</f>
        <v>6479</v>
      </c>
      <c r="B27" s="312"/>
      <c r="C27" s="312"/>
      <c r="D27" s="312"/>
      <c r="E27" s="312">
        <f>'WHOLE YEAR'!R83</f>
        <v>639</v>
      </c>
      <c r="F27" s="312"/>
      <c r="G27" s="312"/>
      <c r="H27" s="312">
        <f>'WHOLE YEAR'!R123</f>
        <v>457</v>
      </c>
      <c r="I27" s="312"/>
      <c r="J27" s="312"/>
    </row>
    <row r="28" spans="1:11" ht="12.75" customHeight="1" x14ac:dyDescent="0.2">
      <c r="A28" s="312"/>
      <c r="B28" s="312"/>
      <c r="C28" s="312"/>
      <c r="D28" s="312"/>
      <c r="E28" s="312"/>
      <c r="F28" s="312"/>
      <c r="G28" s="312"/>
      <c r="H28" s="312"/>
      <c r="I28" s="312"/>
      <c r="J28" s="312"/>
    </row>
    <row r="29" spans="1:11" x14ac:dyDescent="0.2">
      <c r="A29" s="313" t="s">
        <v>397</v>
      </c>
      <c r="B29" s="314"/>
      <c r="C29" s="314"/>
      <c r="D29" s="314"/>
      <c r="E29" s="310" t="s">
        <v>398</v>
      </c>
      <c r="F29" s="311"/>
      <c r="G29" s="311"/>
      <c r="H29" s="310" t="s">
        <v>399</v>
      </c>
      <c r="I29" s="310"/>
      <c r="J29" s="310"/>
      <c r="K29" s="310"/>
    </row>
  </sheetData>
  <sheetProtection selectLockedCells="1" selectUnlockedCells="1"/>
  <mergeCells count="15">
    <mergeCell ref="A1:L1"/>
    <mergeCell ref="H15:K15"/>
    <mergeCell ref="H27:J28"/>
    <mergeCell ref="A2:L2"/>
    <mergeCell ref="H13:K14"/>
    <mergeCell ref="A20:D20"/>
    <mergeCell ref="A13:D14"/>
    <mergeCell ref="A15:D15"/>
    <mergeCell ref="E13:G14"/>
    <mergeCell ref="E15:G15"/>
    <mergeCell ref="E29:G29"/>
    <mergeCell ref="E27:G28"/>
    <mergeCell ref="A29:D29"/>
    <mergeCell ref="A27:D28"/>
    <mergeCell ref="H29:K29"/>
  </mergeCells>
  <pageMargins left="0.25" right="0.25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442"/>
  <sheetViews>
    <sheetView topLeftCell="B1" workbookViewId="0">
      <pane ySplit="13" topLeftCell="A14" activePane="bottomLeft" state="frozen"/>
      <selection pane="bottomLeft" activeCell="I13" sqref="I13"/>
    </sheetView>
  </sheetViews>
  <sheetFormatPr defaultRowHeight="12.75" x14ac:dyDescent="0.2"/>
  <cols>
    <col min="1" max="1" width="39.140625" style="1" customWidth="1"/>
    <col min="2" max="2" width="36.42578125" style="31" customWidth="1"/>
    <col min="3" max="3" width="4.140625" style="23" customWidth="1"/>
    <col min="4" max="4" width="2" style="24" customWidth="1"/>
    <col min="5" max="5" width="2.85546875" style="65" customWidth="1"/>
    <col min="6" max="6" width="9.140625" style="65" customWidth="1"/>
    <col min="7" max="7" width="9.140625" style="65"/>
    <col min="8" max="8" width="11" style="65" customWidth="1"/>
    <col min="9" max="9" width="10.85546875" style="65" bestFit="1" customWidth="1"/>
    <col min="10" max="10" width="4" style="65" customWidth="1"/>
    <col min="11" max="11" width="17.28515625" style="65" customWidth="1"/>
    <col min="12" max="12" width="9" style="65" customWidth="1"/>
    <col min="13" max="13" width="9.140625" style="65"/>
    <col min="15" max="15" width="15.42578125" bestFit="1" customWidth="1"/>
  </cols>
  <sheetData>
    <row r="1" spans="1:14" x14ac:dyDescent="0.2">
      <c r="A1" s="13"/>
      <c r="B1" s="29"/>
      <c r="C1" s="21"/>
      <c r="D1" s="37"/>
      <c r="E1" s="16"/>
      <c r="F1" s="322" t="s">
        <v>363</v>
      </c>
      <c r="G1" s="322"/>
      <c r="H1" s="322"/>
      <c r="I1" s="322"/>
      <c r="J1" s="16"/>
      <c r="K1" s="119" t="s">
        <v>299</v>
      </c>
      <c r="L1" s="232">
        <v>0.64</v>
      </c>
      <c r="M1" s="120" t="s">
        <v>306</v>
      </c>
      <c r="N1" s="7"/>
    </row>
    <row r="2" spans="1:14" x14ac:dyDescent="0.2">
      <c r="A2" s="13"/>
      <c r="B2" s="29"/>
      <c r="C2" s="21"/>
      <c r="D2" s="37"/>
      <c r="E2" s="16"/>
      <c r="F2" s="115" t="s">
        <v>365</v>
      </c>
      <c r="G2" s="108"/>
      <c r="H2" s="108"/>
      <c r="I2" s="111">
        <f>SUM(I13)*I$11+I13</f>
        <v>55028.946400000001</v>
      </c>
      <c r="J2" s="16"/>
      <c r="K2" s="119" t="s">
        <v>300</v>
      </c>
      <c r="L2" s="232">
        <v>0.95399999999999996</v>
      </c>
      <c r="M2" s="120" t="s">
        <v>307</v>
      </c>
      <c r="N2" s="7"/>
    </row>
    <row r="3" spans="1:14" x14ac:dyDescent="0.2">
      <c r="A3" s="13"/>
      <c r="B3" s="29"/>
      <c r="C3" s="21"/>
      <c r="D3" s="37"/>
      <c r="E3" s="16"/>
      <c r="F3" s="115" t="s">
        <v>366</v>
      </c>
      <c r="G3" s="108"/>
      <c r="H3" s="108"/>
      <c r="I3" s="111">
        <f>SUM(I2)*I11+I2</f>
        <v>56206.565852960004</v>
      </c>
      <c r="J3" s="16"/>
      <c r="K3" s="119" t="s">
        <v>301</v>
      </c>
      <c r="L3" s="232">
        <v>4.5999999999999999E-2</v>
      </c>
      <c r="M3" s="120" t="s">
        <v>307</v>
      </c>
      <c r="N3" s="7"/>
    </row>
    <row r="4" spans="1:14" x14ac:dyDescent="0.2">
      <c r="A4" s="13"/>
      <c r="B4" s="29"/>
      <c r="C4" s="21"/>
      <c r="D4" s="37"/>
      <c r="E4" s="16"/>
      <c r="F4" s="115" t="s">
        <v>448</v>
      </c>
      <c r="G4" s="112"/>
      <c r="H4" s="112"/>
      <c r="I4" s="111">
        <f>SUM(I3)*I11+I3</f>
        <v>57409.38636221335</v>
      </c>
      <c r="J4" s="16"/>
      <c r="K4" s="119" t="s">
        <v>302</v>
      </c>
      <c r="L4" s="232">
        <v>0.16600000000000001</v>
      </c>
      <c r="M4" s="120" t="s">
        <v>308</v>
      </c>
      <c r="N4" s="7"/>
    </row>
    <row r="5" spans="1:14" x14ac:dyDescent="0.2">
      <c r="A5" s="13"/>
      <c r="B5" s="29"/>
      <c r="C5" s="21"/>
      <c r="D5" s="37"/>
      <c r="E5" s="16"/>
      <c r="F5" s="115"/>
      <c r="G5" s="112"/>
      <c r="H5" s="112"/>
      <c r="I5" s="111"/>
      <c r="J5" s="16"/>
      <c r="K5" s="105" t="s">
        <v>310</v>
      </c>
      <c r="L5" s="232">
        <v>1</v>
      </c>
      <c r="M5" s="105" t="s">
        <v>309</v>
      </c>
      <c r="N5" s="106"/>
    </row>
    <row r="6" spans="1:14" x14ac:dyDescent="0.2">
      <c r="A6" s="13"/>
      <c r="B6" s="29"/>
      <c r="C6" s="21"/>
      <c r="D6" s="37"/>
      <c r="E6" s="16"/>
      <c r="F6" s="115"/>
      <c r="G6" s="112"/>
      <c r="H6" s="116"/>
      <c r="I6" s="111"/>
      <c r="J6" s="16"/>
      <c r="K6" s="105" t="s">
        <v>303</v>
      </c>
      <c r="L6" s="232">
        <v>0.6</v>
      </c>
      <c r="M6" s="105" t="s">
        <v>309</v>
      </c>
      <c r="N6" s="106"/>
    </row>
    <row r="7" spans="1:14" x14ac:dyDescent="0.2">
      <c r="A7" s="13"/>
      <c r="B7" s="29"/>
      <c r="C7" s="21"/>
      <c r="D7" s="37"/>
      <c r="E7" s="16"/>
      <c r="F7" s="225" t="s">
        <v>449</v>
      </c>
      <c r="G7" s="226"/>
      <c r="H7" s="227"/>
      <c r="I7" s="228">
        <f>I4*L1</f>
        <v>36742.007271816547</v>
      </c>
      <c r="J7" s="16"/>
      <c r="K7" s="105" t="s">
        <v>304</v>
      </c>
      <c r="L7" s="232">
        <v>0.79</v>
      </c>
      <c r="M7" s="105" t="s">
        <v>311</v>
      </c>
      <c r="N7" s="106"/>
    </row>
    <row r="8" spans="1:14" x14ac:dyDescent="0.2">
      <c r="A8" s="13"/>
      <c r="B8" s="29"/>
      <c r="C8" s="21"/>
      <c r="D8" s="37"/>
      <c r="E8" s="16"/>
      <c r="F8" s="115" t="s">
        <v>392</v>
      </c>
      <c r="G8" s="113"/>
      <c r="H8" s="116"/>
      <c r="I8" s="111">
        <f>I7*L2</f>
        <v>35051.874937312983</v>
      </c>
      <c r="J8" s="16"/>
      <c r="K8" s="105" t="s">
        <v>305</v>
      </c>
      <c r="L8" s="232">
        <v>0.81</v>
      </c>
      <c r="M8" s="105" t="s">
        <v>312</v>
      </c>
      <c r="N8" s="106"/>
    </row>
    <row r="9" spans="1:14" x14ac:dyDescent="0.2">
      <c r="A9" s="14"/>
      <c r="B9" s="29"/>
      <c r="C9" s="21"/>
      <c r="D9" s="37"/>
      <c r="E9" s="16"/>
      <c r="F9" s="115" t="s">
        <v>393</v>
      </c>
      <c r="G9" s="114"/>
      <c r="H9" s="116"/>
      <c r="I9" s="111">
        <f>I7*L3</f>
        <v>1690.1323345035612</v>
      </c>
      <c r="J9" s="16"/>
      <c r="K9" s="323"/>
      <c r="L9" s="324"/>
      <c r="M9" s="323" t="s">
        <v>313</v>
      </c>
      <c r="N9" s="324"/>
    </row>
    <row r="10" spans="1:14" x14ac:dyDescent="0.2">
      <c r="A10" s="15"/>
      <c r="B10" s="29"/>
      <c r="C10" s="21"/>
      <c r="D10" s="37"/>
      <c r="E10" s="16"/>
      <c r="F10" s="115" t="s">
        <v>394</v>
      </c>
      <c r="G10" s="117"/>
      <c r="H10" s="118"/>
      <c r="I10" s="111">
        <f>I8*L4</f>
        <v>5818.6112395939554</v>
      </c>
      <c r="J10" s="16"/>
      <c r="K10" s="124" t="s">
        <v>367</v>
      </c>
      <c r="L10" s="144">
        <f>I9*L5</f>
        <v>1690.1323345035612</v>
      </c>
      <c r="M10" s="319">
        <f>L10-B15</f>
        <v>1690.1323345035612</v>
      </c>
      <c r="N10" s="320"/>
    </row>
    <row r="11" spans="1:14" ht="15.75" x14ac:dyDescent="0.25">
      <c r="A11" s="5" t="s">
        <v>0</v>
      </c>
      <c r="B11" s="12" t="s">
        <v>283</v>
      </c>
      <c r="C11" s="22"/>
      <c r="D11" s="38"/>
      <c r="E11" s="17"/>
      <c r="F11" s="110" t="s">
        <v>362</v>
      </c>
      <c r="G11" s="142"/>
      <c r="H11" s="143"/>
      <c r="I11" s="229">
        <v>2.1399999999999999E-2</v>
      </c>
      <c r="J11" s="17"/>
      <c r="K11" s="124" t="s">
        <v>368</v>
      </c>
      <c r="L11" s="144">
        <f>I9*L6</f>
        <v>1014.0794007021367</v>
      </c>
      <c r="M11" s="319">
        <f>L11-B47</f>
        <v>1014.0794007021367</v>
      </c>
      <c r="N11" s="320"/>
    </row>
    <row r="12" spans="1:14" x14ac:dyDescent="0.2">
      <c r="A12" s="48" t="s">
        <v>1</v>
      </c>
      <c r="B12" s="11"/>
      <c r="C12" s="18"/>
      <c r="D12" s="39"/>
      <c r="E12" s="18"/>
      <c r="F12" s="321" t="str">
        <f>'MAIN PAGE'!E11</f>
        <v xml:space="preserve"> </v>
      </c>
      <c r="G12" s="321"/>
      <c r="H12" s="321"/>
      <c r="I12" s="321"/>
      <c r="J12" s="104"/>
      <c r="K12" s="124" t="s">
        <v>369</v>
      </c>
      <c r="L12" s="144">
        <f>L11*L7</f>
        <v>801.12272655468803</v>
      </c>
      <c r="M12" s="319">
        <f>L12-B83</f>
        <v>801.12272655468803</v>
      </c>
      <c r="N12" s="320"/>
    </row>
    <row r="13" spans="1:14" ht="15" x14ac:dyDescent="0.2">
      <c r="A13" s="73" t="s">
        <v>3</v>
      </c>
      <c r="B13" s="77"/>
      <c r="C13" s="19"/>
      <c r="D13" s="40"/>
      <c r="E13" s="19"/>
      <c r="F13" s="123" t="s">
        <v>364</v>
      </c>
      <c r="G13" s="109"/>
      <c r="H13" s="121"/>
      <c r="I13" s="122">
        <v>53876</v>
      </c>
      <c r="J13" s="19"/>
      <c r="K13" s="124" t="s">
        <v>370</v>
      </c>
      <c r="L13" s="144">
        <f>L12*L8</f>
        <v>648.90940850929735</v>
      </c>
      <c r="M13" s="319">
        <f>L13-B123</f>
        <v>648.90940850929735</v>
      </c>
      <c r="N13" s="320"/>
    </row>
    <row r="14" spans="1:14" x14ac:dyDescent="0.2">
      <c r="A14" s="51" t="s">
        <v>4</v>
      </c>
      <c r="B14" s="49"/>
      <c r="C14" s="98"/>
      <c r="D14" s="40"/>
      <c r="E14" s="19"/>
      <c r="F14" s="244"/>
      <c r="G14" s="19"/>
      <c r="H14" s="19"/>
      <c r="I14" s="19"/>
      <c r="J14" s="19"/>
      <c r="K14" s="19"/>
      <c r="L14" s="63"/>
      <c r="M14" s="63"/>
      <c r="N14" s="43"/>
    </row>
    <row r="15" spans="1:14" ht="15.75" x14ac:dyDescent="0.25">
      <c r="A15" s="47" t="s">
        <v>23</v>
      </c>
      <c r="B15" s="145">
        <f>B16+B23+B30+B33+B40+B43</f>
        <v>0</v>
      </c>
      <c r="C15" s="99"/>
      <c r="D15" s="37"/>
      <c r="E15" s="16"/>
      <c r="F15" s="103"/>
      <c r="G15" s="102"/>
      <c r="H15" s="101"/>
      <c r="I15" s="16"/>
      <c r="J15" s="16"/>
      <c r="K15" s="45"/>
      <c r="L15" s="63"/>
      <c r="M15" s="63"/>
      <c r="N15" s="43"/>
    </row>
    <row r="16" spans="1:14" ht="15.75" x14ac:dyDescent="0.25">
      <c r="A16" s="46" t="s">
        <v>24</v>
      </c>
      <c r="B16" s="145">
        <f>B17+B20</f>
        <v>0</v>
      </c>
      <c r="C16" s="99"/>
      <c r="D16" s="37"/>
      <c r="E16" s="16"/>
      <c r="F16" s="103"/>
      <c r="G16" s="138" t="s">
        <v>286</v>
      </c>
      <c r="H16" s="128"/>
      <c r="I16" s="129"/>
      <c r="J16" s="130"/>
      <c r="K16" s="131"/>
      <c r="L16" s="131"/>
      <c r="M16" s="132"/>
      <c r="N16" s="43"/>
    </row>
    <row r="17" spans="1:14" ht="15.75" x14ac:dyDescent="0.25">
      <c r="A17" s="2" t="s">
        <v>25</v>
      </c>
      <c r="B17" s="145">
        <f>B18+B19</f>
        <v>0</v>
      </c>
      <c r="C17" s="99"/>
      <c r="D17" s="37"/>
      <c r="E17" s="16"/>
      <c r="F17" s="102"/>
      <c r="G17" s="139" t="s">
        <v>287</v>
      </c>
      <c r="H17" s="125"/>
      <c r="I17" s="125"/>
      <c r="J17" s="125"/>
      <c r="K17" s="126" t="s">
        <v>288</v>
      </c>
      <c r="L17" s="21"/>
      <c r="M17" s="133"/>
      <c r="N17" s="43"/>
    </row>
    <row r="18" spans="1:14" ht="15.75" x14ac:dyDescent="0.25">
      <c r="A18" s="2" t="s">
        <v>26</v>
      </c>
      <c r="B18" s="146"/>
      <c r="C18" s="99"/>
      <c r="D18" s="37"/>
      <c r="E18" s="16"/>
      <c r="F18" s="102"/>
      <c r="G18" s="139" t="s">
        <v>294</v>
      </c>
      <c r="H18" s="125"/>
      <c r="I18" s="125"/>
      <c r="J18" s="125"/>
      <c r="K18" s="126" t="s">
        <v>289</v>
      </c>
      <c r="L18" s="21"/>
      <c r="M18" s="133"/>
      <c r="N18" s="43"/>
    </row>
    <row r="19" spans="1:14" ht="15.75" x14ac:dyDescent="0.25">
      <c r="A19" s="2" t="s">
        <v>182</v>
      </c>
      <c r="B19" s="146"/>
      <c r="C19" s="99"/>
      <c r="D19" s="37"/>
      <c r="E19" s="16"/>
      <c r="F19" s="102"/>
      <c r="G19" s="139" t="s">
        <v>295</v>
      </c>
      <c r="H19" s="125"/>
      <c r="I19" s="125"/>
      <c r="J19" s="125"/>
      <c r="K19" s="126" t="s">
        <v>290</v>
      </c>
      <c r="L19" s="21"/>
      <c r="M19" s="133"/>
      <c r="N19" s="43"/>
    </row>
    <row r="20" spans="1:14" ht="15.75" x14ac:dyDescent="0.25">
      <c r="A20" s="2" t="s">
        <v>6</v>
      </c>
      <c r="B20" s="145">
        <f>B21+B22</f>
        <v>0</v>
      </c>
      <c r="C20" s="99"/>
      <c r="D20" s="37"/>
      <c r="E20" s="16"/>
      <c r="F20" s="102"/>
      <c r="G20" s="139" t="s">
        <v>296</v>
      </c>
      <c r="H20" s="125"/>
      <c r="I20" s="125"/>
      <c r="J20" s="125"/>
      <c r="K20" s="126" t="s">
        <v>291</v>
      </c>
      <c r="L20" s="21"/>
      <c r="M20" s="133"/>
      <c r="N20" s="43"/>
    </row>
    <row r="21" spans="1:14" ht="15.75" x14ac:dyDescent="0.25">
      <c r="A21" s="2" t="s">
        <v>27</v>
      </c>
      <c r="B21" s="146"/>
      <c r="C21" s="99"/>
      <c r="D21" s="37"/>
      <c r="E21" s="16"/>
      <c r="F21" s="107"/>
      <c r="G21" s="140" t="s">
        <v>297</v>
      </c>
      <c r="H21" s="127"/>
      <c r="I21" s="127"/>
      <c r="J21" s="127"/>
      <c r="K21" s="126" t="s">
        <v>292</v>
      </c>
      <c r="L21" s="21"/>
      <c r="M21" s="133"/>
      <c r="N21" s="43"/>
    </row>
    <row r="22" spans="1:14" ht="15.75" x14ac:dyDescent="0.25">
      <c r="A22" s="2" t="s">
        <v>183</v>
      </c>
      <c r="B22" s="146"/>
      <c r="C22" s="99"/>
      <c r="D22" s="37"/>
      <c r="E22" s="16"/>
      <c r="F22" s="107"/>
      <c r="G22" s="141" t="s">
        <v>298</v>
      </c>
      <c r="H22" s="134"/>
      <c r="I22" s="134"/>
      <c r="J22" s="134"/>
      <c r="K22" s="135" t="s">
        <v>293</v>
      </c>
      <c r="L22" s="136"/>
      <c r="M22" s="137"/>
      <c r="N22" s="43"/>
    </row>
    <row r="23" spans="1:14" ht="15.75" x14ac:dyDescent="0.25">
      <c r="A23" s="46" t="s">
        <v>28</v>
      </c>
      <c r="B23" s="145">
        <f>B24+B27</f>
        <v>0</v>
      </c>
      <c r="C23" s="99"/>
      <c r="D23" s="37"/>
      <c r="E23" s="16"/>
      <c r="F23" s="16"/>
      <c r="G23" s="16"/>
      <c r="H23" s="16"/>
      <c r="I23" s="16"/>
      <c r="J23" s="16"/>
      <c r="K23" s="16"/>
      <c r="L23" s="16"/>
      <c r="M23" s="45"/>
      <c r="N23" s="43"/>
    </row>
    <row r="24" spans="1:14" ht="15.75" x14ac:dyDescent="0.25">
      <c r="A24" s="2" t="s">
        <v>29</v>
      </c>
      <c r="B24" s="145">
        <f>B25+B26</f>
        <v>0</v>
      </c>
      <c r="C24" s="99"/>
      <c r="D24" s="37"/>
      <c r="E24" s="16"/>
      <c r="F24" s="16"/>
      <c r="G24" s="16"/>
      <c r="H24" s="16"/>
      <c r="I24" s="16"/>
      <c r="J24" s="16"/>
      <c r="K24" s="45"/>
      <c r="L24" s="16"/>
      <c r="M24" s="16"/>
      <c r="N24" s="43"/>
    </row>
    <row r="25" spans="1:14" ht="15.75" x14ac:dyDescent="0.25">
      <c r="A25" s="2" t="s">
        <v>30</v>
      </c>
      <c r="B25" s="146"/>
      <c r="C25" s="99"/>
      <c r="D25" s="37"/>
      <c r="E25" s="16"/>
      <c r="F25" s="16"/>
      <c r="G25" s="16"/>
      <c r="H25" s="16"/>
      <c r="I25" s="16"/>
      <c r="J25" s="16"/>
      <c r="K25" s="45"/>
      <c r="L25" s="63"/>
      <c r="M25" s="63"/>
      <c r="N25" s="43"/>
    </row>
    <row r="26" spans="1:14" ht="15.75" x14ac:dyDescent="0.25">
      <c r="A26" s="2" t="s">
        <v>184</v>
      </c>
      <c r="B26" s="146"/>
      <c r="C26" s="99"/>
      <c r="D26" s="37"/>
      <c r="E26" s="16"/>
      <c r="F26" s="16"/>
      <c r="G26" s="16"/>
      <c r="H26" s="16"/>
      <c r="I26" s="16"/>
      <c r="J26" s="16"/>
      <c r="K26" s="45"/>
      <c r="L26" s="63"/>
      <c r="M26" s="63"/>
      <c r="N26" s="43"/>
    </row>
    <row r="27" spans="1:14" ht="15.75" x14ac:dyDescent="0.25">
      <c r="A27" s="2" t="s">
        <v>31</v>
      </c>
      <c r="B27" s="145">
        <f>B28+B29</f>
        <v>0</v>
      </c>
      <c r="C27" s="99"/>
      <c r="D27" s="37"/>
      <c r="E27" s="16"/>
      <c r="F27" s="16"/>
      <c r="G27" s="16"/>
      <c r="H27" s="16"/>
      <c r="I27" s="16"/>
      <c r="J27" s="16"/>
      <c r="K27" s="45"/>
      <c r="L27" s="63"/>
      <c r="M27" s="63"/>
      <c r="N27" s="43"/>
    </row>
    <row r="28" spans="1:14" ht="15.75" x14ac:dyDescent="0.25">
      <c r="A28" s="2" t="s">
        <v>32</v>
      </c>
      <c r="B28" s="146"/>
      <c r="C28" s="99"/>
      <c r="D28" s="37"/>
      <c r="E28" s="16"/>
      <c r="F28" s="16"/>
      <c r="G28" s="16"/>
      <c r="H28" s="16"/>
      <c r="I28" s="16"/>
      <c r="J28" s="16"/>
      <c r="K28" s="45"/>
      <c r="L28" s="63"/>
      <c r="M28" s="63"/>
      <c r="N28" s="43"/>
    </row>
    <row r="29" spans="1:14" ht="15.75" x14ac:dyDescent="0.25">
      <c r="A29" s="2" t="s">
        <v>185</v>
      </c>
      <c r="B29" s="146"/>
      <c r="C29" s="99"/>
      <c r="D29" s="37"/>
      <c r="E29" s="16"/>
      <c r="F29" s="16"/>
      <c r="G29" s="16"/>
      <c r="H29" s="16"/>
      <c r="I29" s="16"/>
      <c r="J29" s="16"/>
      <c r="K29" s="45"/>
      <c r="L29" s="63"/>
      <c r="M29" s="63"/>
      <c r="N29" s="43"/>
    </row>
    <row r="30" spans="1:14" ht="15.75" x14ac:dyDescent="0.25">
      <c r="A30" s="46" t="s">
        <v>33</v>
      </c>
      <c r="B30" s="145">
        <f>B31+B32</f>
        <v>0</v>
      </c>
      <c r="C30" s="99"/>
      <c r="D30" s="37"/>
      <c r="E30" s="16"/>
      <c r="F30" s="16"/>
      <c r="G30" s="16"/>
      <c r="H30" s="16"/>
      <c r="I30" s="16"/>
      <c r="J30" s="16"/>
      <c r="K30" s="45"/>
      <c r="L30" s="63"/>
      <c r="M30" s="63"/>
      <c r="N30" s="43"/>
    </row>
    <row r="31" spans="1:14" ht="15.75" x14ac:dyDescent="0.25">
      <c r="A31" s="2" t="s">
        <v>34</v>
      </c>
      <c r="B31" s="146"/>
      <c r="C31" s="99"/>
      <c r="D31" s="37"/>
      <c r="E31" s="16"/>
      <c r="F31" s="16"/>
      <c r="G31" s="16"/>
      <c r="H31" s="16"/>
      <c r="I31" s="16"/>
      <c r="J31" s="16"/>
      <c r="K31" s="45"/>
      <c r="L31" s="63"/>
      <c r="M31" s="63"/>
      <c r="N31" s="43"/>
    </row>
    <row r="32" spans="1:14" ht="15.75" x14ac:dyDescent="0.25">
      <c r="A32" s="2" t="s">
        <v>186</v>
      </c>
      <c r="B32" s="146"/>
      <c r="C32" s="99"/>
      <c r="D32" s="37"/>
      <c r="E32" s="16"/>
      <c r="F32" s="16"/>
      <c r="G32" s="16"/>
      <c r="H32" s="16"/>
      <c r="I32" s="16"/>
      <c r="J32" s="16"/>
      <c r="K32" s="45"/>
      <c r="L32" s="63"/>
      <c r="M32" s="63"/>
      <c r="N32" s="43"/>
    </row>
    <row r="33" spans="1:15" ht="15.75" x14ac:dyDescent="0.25">
      <c r="A33" s="46" t="s">
        <v>35</v>
      </c>
      <c r="B33" s="145">
        <f>B34+B37</f>
        <v>0</v>
      </c>
      <c r="C33" s="99"/>
      <c r="D33" s="37"/>
      <c r="E33" s="16"/>
      <c r="F33" s="16"/>
      <c r="G33" s="16"/>
      <c r="H33" s="16"/>
      <c r="I33" s="16"/>
      <c r="J33" s="16"/>
      <c r="K33" s="45"/>
      <c r="L33" s="63"/>
      <c r="M33" s="63"/>
      <c r="N33" s="43"/>
    </row>
    <row r="34" spans="1:15" ht="15.75" x14ac:dyDescent="0.25">
      <c r="A34" s="2" t="s">
        <v>36</v>
      </c>
      <c r="B34" s="145">
        <f>B35+B36</f>
        <v>0</v>
      </c>
      <c r="C34" s="99"/>
      <c r="D34" s="37"/>
      <c r="E34" s="16"/>
      <c r="F34" s="16"/>
      <c r="G34" s="16"/>
      <c r="H34" s="16"/>
      <c r="I34" s="16"/>
      <c r="J34" s="16"/>
      <c r="K34" s="45"/>
      <c r="L34" s="63"/>
      <c r="M34" s="63"/>
      <c r="N34" s="43"/>
    </row>
    <row r="35" spans="1:15" ht="15.75" x14ac:dyDescent="0.25">
      <c r="A35" s="2" t="s">
        <v>37</v>
      </c>
      <c r="B35" s="146"/>
      <c r="C35" s="99"/>
      <c r="D35" s="37"/>
      <c r="E35" s="16"/>
      <c r="F35" s="16"/>
      <c r="G35" s="16"/>
      <c r="H35" s="16"/>
      <c r="I35" s="16"/>
      <c r="J35" s="16"/>
      <c r="K35" s="45"/>
      <c r="L35" s="63"/>
      <c r="M35" s="63"/>
      <c r="N35" s="43"/>
    </row>
    <row r="36" spans="1:15" ht="15.75" x14ac:dyDescent="0.25">
      <c r="A36" s="2" t="s">
        <v>187</v>
      </c>
      <c r="B36" s="146"/>
      <c r="C36" s="99"/>
      <c r="D36" s="37"/>
      <c r="E36" s="16"/>
      <c r="F36" s="16"/>
      <c r="G36" s="16"/>
      <c r="H36" s="16"/>
      <c r="I36" s="16"/>
      <c r="J36" s="16"/>
      <c r="K36" s="45"/>
      <c r="L36" s="63"/>
      <c r="M36" s="63"/>
      <c r="N36" s="43"/>
    </row>
    <row r="37" spans="1:15" ht="15.75" x14ac:dyDescent="0.25">
      <c r="A37" s="2" t="s">
        <v>38</v>
      </c>
      <c r="B37" s="145">
        <f>B38+B39</f>
        <v>0</v>
      </c>
      <c r="C37" s="99"/>
      <c r="D37" s="37"/>
      <c r="E37" s="16"/>
      <c r="F37" s="16"/>
      <c r="G37" s="16"/>
      <c r="H37" s="16"/>
      <c r="I37" s="16"/>
      <c r="J37" s="16"/>
      <c r="K37" s="45"/>
      <c r="L37" s="63"/>
      <c r="M37" s="63"/>
      <c r="N37" s="43"/>
    </row>
    <row r="38" spans="1:15" ht="15.75" x14ac:dyDescent="0.25">
      <c r="A38" s="2" t="s">
        <v>39</v>
      </c>
      <c r="B38" s="146"/>
      <c r="C38" s="99"/>
      <c r="D38" s="37"/>
      <c r="E38" s="16"/>
      <c r="F38" s="16"/>
      <c r="G38" s="16"/>
      <c r="H38" s="16"/>
      <c r="I38" s="16"/>
      <c r="J38" s="16"/>
      <c r="K38" s="45"/>
      <c r="L38" s="63"/>
      <c r="M38" s="63"/>
      <c r="N38" s="43"/>
    </row>
    <row r="39" spans="1:15" ht="15.75" x14ac:dyDescent="0.25">
      <c r="A39" s="2" t="s">
        <v>188</v>
      </c>
      <c r="B39" s="146"/>
      <c r="C39" s="99"/>
      <c r="D39" s="37"/>
      <c r="E39" s="16"/>
      <c r="F39" s="16"/>
      <c r="G39" s="16"/>
      <c r="H39" s="16"/>
      <c r="I39" s="16"/>
      <c r="J39" s="16"/>
      <c r="K39" s="45"/>
      <c r="L39" s="63"/>
      <c r="M39" s="63"/>
      <c r="N39" s="43"/>
    </row>
    <row r="40" spans="1:15" ht="15.75" x14ac:dyDescent="0.25">
      <c r="A40" s="46" t="s">
        <v>279</v>
      </c>
      <c r="B40" s="145">
        <f>B41+B42</f>
        <v>0</v>
      </c>
      <c r="C40" s="99"/>
      <c r="D40" s="37"/>
      <c r="E40" s="16"/>
      <c r="F40" s="16"/>
      <c r="G40" s="16"/>
      <c r="H40" s="16"/>
      <c r="I40" s="16"/>
      <c r="J40" s="16"/>
      <c r="K40" s="45"/>
      <c r="L40" s="63"/>
      <c r="M40" s="63"/>
      <c r="N40" s="43"/>
    </row>
    <row r="41" spans="1:15" ht="15.75" x14ac:dyDescent="0.25">
      <c r="A41" s="2" t="s">
        <v>317</v>
      </c>
      <c r="B41" s="146"/>
      <c r="C41" s="99"/>
      <c r="D41" s="37"/>
      <c r="E41" s="16"/>
      <c r="F41" s="16"/>
      <c r="G41" s="16"/>
      <c r="H41" s="16"/>
      <c r="I41" s="16"/>
      <c r="J41" s="16"/>
      <c r="K41" s="45"/>
      <c r="L41" s="63"/>
      <c r="M41" s="63"/>
      <c r="N41" s="43"/>
    </row>
    <row r="42" spans="1:15" ht="15.75" x14ac:dyDescent="0.25">
      <c r="A42" s="2" t="s">
        <v>318</v>
      </c>
      <c r="B42" s="146"/>
      <c r="C42" s="99"/>
      <c r="D42" s="37"/>
      <c r="E42" s="16"/>
      <c r="F42" s="16"/>
      <c r="G42" s="16"/>
      <c r="H42" s="16"/>
      <c r="I42" s="16"/>
      <c r="J42" s="16"/>
      <c r="K42" s="45"/>
      <c r="L42" s="63"/>
      <c r="M42" s="63"/>
      <c r="N42" s="43"/>
    </row>
    <row r="43" spans="1:15" ht="15.75" x14ac:dyDescent="0.25">
      <c r="A43" s="46" t="s">
        <v>314</v>
      </c>
      <c r="B43" s="145">
        <f>B44+B45</f>
        <v>0</v>
      </c>
      <c r="C43" s="99"/>
      <c r="D43" s="37"/>
      <c r="E43" s="16"/>
      <c r="F43" s="16"/>
      <c r="G43" s="16"/>
      <c r="H43" s="16"/>
      <c r="I43" s="16"/>
      <c r="J43" s="16"/>
      <c r="K43" s="45"/>
      <c r="L43" s="63"/>
      <c r="M43" s="63"/>
      <c r="N43" s="43"/>
      <c r="O43" s="231"/>
    </row>
    <row r="44" spans="1:15" ht="15.75" x14ac:dyDescent="0.25">
      <c r="A44" s="2" t="s">
        <v>315</v>
      </c>
      <c r="B44" s="146"/>
      <c r="C44" s="99"/>
      <c r="D44" s="37"/>
      <c r="E44" s="16"/>
      <c r="F44" s="16"/>
      <c r="G44" s="16"/>
      <c r="H44" s="16"/>
      <c r="I44" s="16"/>
      <c r="J44" s="16"/>
      <c r="K44" s="45"/>
      <c r="L44" s="63"/>
      <c r="M44" s="63"/>
      <c r="N44" s="43"/>
    </row>
    <row r="45" spans="1:15" ht="15.75" x14ac:dyDescent="0.25">
      <c r="A45" s="2" t="s">
        <v>316</v>
      </c>
      <c r="B45" s="146"/>
      <c r="C45" s="99"/>
      <c r="D45" s="37"/>
      <c r="E45" s="16"/>
      <c r="F45" s="16"/>
      <c r="G45" s="16"/>
      <c r="H45" s="16"/>
      <c r="I45" s="16"/>
      <c r="J45" s="16"/>
      <c r="K45" s="45"/>
      <c r="L45" s="63"/>
      <c r="M45" s="63"/>
      <c r="N45" s="43"/>
    </row>
    <row r="46" spans="1:15" ht="15.75" x14ac:dyDescent="0.25">
      <c r="A46" s="46" t="s">
        <v>280</v>
      </c>
      <c r="B46" s="146"/>
      <c r="C46" s="99"/>
      <c r="D46" s="37"/>
      <c r="E46" s="16"/>
      <c r="F46" s="16"/>
      <c r="G46" s="16"/>
      <c r="H46" s="16"/>
      <c r="I46" s="16"/>
      <c r="J46" s="16"/>
      <c r="K46" s="45"/>
      <c r="L46" s="63"/>
      <c r="M46" s="63"/>
      <c r="N46" s="43"/>
    </row>
    <row r="47" spans="1:15" ht="15.75" x14ac:dyDescent="0.25">
      <c r="A47" s="47" t="s">
        <v>40</v>
      </c>
      <c r="B47" s="145">
        <f>B48+B55+B58+B61+B68+B71+B74+B77+B80</f>
        <v>0</v>
      </c>
      <c r="C47" s="99"/>
      <c r="D47" s="37"/>
      <c r="E47" s="16"/>
      <c r="F47" s="16"/>
      <c r="G47" s="16"/>
      <c r="H47" s="16"/>
      <c r="I47" s="16"/>
      <c r="J47" s="16"/>
      <c r="K47" s="45"/>
      <c r="L47" s="63"/>
      <c r="M47" s="63"/>
      <c r="N47" s="43"/>
    </row>
    <row r="48" spans="1:15" ht="15.75" x14ac:dyDescent="0.25">
      <c r="A48" s="46" t="s">
        <v>5</v>
      </c>
      <c r="B48" s="145">
        <f>B49+B52</f>
        <v>0</v>
      </c>
      <c r="C48" s="99"/>
      <c r="D48" s="37"/>
      <c r="E48" s="16"/>
      <c r="F48" s="16"/>
      <c r="G48" s="16"/>
      <c r="H48" s="16"/>
      <c r="I48" s="16"/>
      <c r="J48" s="16"/>
      <c r="K48" s="45"/>
      <c r="L48" s="63"/>
      <c r="M48" s="63"/>
      <c r="N48" s="43"/>
    </row>
    <row r="49" spans="1:14" ht="15.75" x14ac:dyDescent="0.25">
      <c r="A49" s="2" t="s">
        <v>274</v>
      </c>
      <c r="B49" s="145">
        <f>B50+B51</f>
        <v>0</v>
      </c>
      <c r="C49" s="99"/>
      <c r="D49" s="37"/>
      <c r="E49" s="16"/>
      <c r="F49" s="16"/>
      <c r="G49" s="16"/>
      <c r="H49" s="16"/>
      <c r="I49" s="16"/>
      <c r="J49" s="16"/>
      <c r="K49" s="45"/>
      <c r="L49" s="63"/>
      <c r="M49" s="63"/>
      <c r="N49" s="43"/>
    </row>
    <row r="50" spans="1:14" ht="15.75" x14ac:dyDescent="0.25">
      <c r="A50" s="2" t="s">
        <v>277</v>
      </c>
      <c r="B50" s="146"/>
      <c r="C50" s="99"/>
      <c r="D50" s="37"/>
      <c r="E50" s="16"/>
      <c r="F50" s="16"/>
      <c r="G50" s="16"/>
      <c r="H50" s="16"/>
      <c r="I50" s="16"/>
      <c r="J50" s="16"/>
      <c r="K50" s="45"/>
      <c r="L50" s="63"/>
      <c r="M50" s="63"/>
      <c r="N50" s="43"/>
    </row>
    <row r="51" spans="1:14" ht="15.75" x14ac:dyDescent="0.25">
      <c r="A51" s="2" t="s">
        <v>278</v>
      </c>
      <c r="B51" s="146"/>
      <c r="C51" s="99"/>
      <c r="D51" s="37"/>
      <c r="E51" s="16"/>
      <c r="F51" s="16"/>
      <c r="G51" s="16"/>
      <c r="H51" s="16"/>
      <c r="I51" s="16"/>
      <c r="J51" s="16"/>
      <c r="K51" s="45"/>
      <c r="L51" s="63"/>
      <c r="M51" s="63"/>
      <c r="N51" s="43"/>
    </row>
    <row r="52" spans="1:14" ht="15.75" x14ac:dyDescent="0.25">
      <c r="A52" s="2" t="s">
        <v>6</v>
      </c>
      <c r="B52" s="145">
        <f>B53+B54</f>
        <v>0</v>
      </c>
      <c r="C52" s="99"/>
      <c r="D52" s="37"/>
      <c r="E52" s="16"/>
      <c r="F52" s="16"/>
      <c r="G52" s="16"/>
      <c r="H52" s="16"/>
      <c r="I52" s="16"/>
      <c r="J52" s="16"/>
      <c r="K52" s="45"/>
      <c r="L52" s="63"/>
      <c r="M52" s="63"/>
      <c r="N52" s="43"/>
    </row>
    <row r="53" spans="1:14" ht="15.75" x14ac:dyDescent="0.25">
      <c r="A53" s="2" t="s">
        <v>275</v>
      </c>
      <c r="B53" s="146"/>
      <c r="C53" s="99"/>
      <c r="D53" s="37"/>
      <c r="E53" s="16"/>
      <c r="F53" s="16"/>
      <c r="G53" s="16"/>
      <c r="H53" s="16"/>
      <c r="I53" s="16"/>
      <c r="J53" s="16"/>
      <c r="K53" s="45"/>
      <c r="L53" s="63"/>
      <c r="M53" s="63"/>
      <c r="N53" s="43"/>
    </row>
    <row r="54" spans="1:14" ht="15.75" x14ac:dyDescent="0.25">
      <c r="A54" s="2" t="s">
        <v>276</v>
      </c>
      <c r="B54" s="146"/>
      <c r="C54" s="99"/>
      <c r="D54" s="37"/>
      <c r="E54" s="16"/>
      <c r="F54" s="16"/>
      <c r="G54" s="16"/>
      <c r="H54" s="16"/>
      <c r="I54" s="16"/>
      <c r="J54" s="16"/>
      <c r="K54" s="45"/>
      <c r="L54" s="63"/>
      <c r="M54" s="63"/>
      <c r="N54" s="43"/>
    </row>
    <row r="55" spans="1:14" ht="15.75" x14ac:dyDescent="0.25">
      <c r="A55" s="46" t="s">
        <v>41</v>
      </c>
      <c r="B55" s="145">
        <f>B56+B57</f>
        <v>0</v>
      </c>
      <c r="C55" s="99"/>
      <c r="D55" s="37"/>
      <c r="E55" s="16"/>
      <c r="F55" s="16"/>
      <c r="G55" s="16"/>
      <c r="H55" s="16"/>
      <c r="I55" s="16"/>
      <c r="J55" s="16"/>
      <c r="K55" s="45"/>
      <c r="L55" s="63"/>
      <c r="M55" s="63"/>
      <c r="N55" s="43"/>
    </row>
    <row r="56" spans="1:14" ht="15.75" x14ac:dyDescent="0.25">
      <c r="A56" s="2" t="s">
        <v>42</v>
      </c>
      <c r="B56" s="146"/>
      <c r="C56" s="99"/>
      <c r="D56" s="37"/>
      <c r="E56" s="16"/>
      <c r="F56" s="16"/>
      <c r="G56" s="16"/>
      <c r="H56" s="16"/>
      <c r="I56" s="16"/>
      <c r="J56" s="16"/>
      <c r="K56" s="45"/>
      <c r="L56" s="63"/>
      <c r="M56" s="63"/>
      <c r="N56" s="43"/>
    </row>
    <row r="57" spans="1:14" ht="15.75" x14ac:dyDescent="0.25">
      <c r="A57" s="2" t="s">
        <v>189</v>
      </c>
      <c r="B57" s="146"/>
      <c r="C57" s="99"/>
      <c r="D57" s="37"/>
      <c r="E57" s="16"/>
      <c r="F57" s="16"/>
      <c r="G57" s="16"/>
      <c r="H57" s="16"/>
      <c r="I57" s="16"/>
      <c r="J57" s="16"/>
      <c r="K57" s="45"/>
      <c r="L57" s="63"/>
      <c r="M57" s="63"/>
      <c r="N57" s="43"/>
    </row>
    <row r="58" spans="1:14" ht="15.75" x14ac:dyDescent="0.25">
      <c r="A58" s="46" t="s">
        <v>43</v>
      </c>
      <c r="B58" s="145">
        <f>B59+B60</f>
        <v>0</v>
      </c>
      <c r="C58" s="99"/>
      <c r="D58" s="37"/>
      <c r="E58" s="16"/>
      <c r="F58" s="16"/>
      <c r="G58" s="16"/>
      <c r="H58" s="16"/>
      <c r="I58" s="16"/>
      <c r="J58" s="16"/>
      <c r="K58" s="45"/>
      <c r="L58" s="63"/>
      <c r="M58" s="63"/>
      <c r="N58" s="43"/>
    </row>
    <row r="59" spans="1:14" ht="15.75" x14ac:dyDescent="0.25">
      <c r="A59" s="2" t="s">
        <v>44</v>
      </c>
      <c r="B59" s="146"/>
      <c r="C59" s="99"/>
      <c r="D59" s="37"/>
      <c r="E59" s="16"/>
      <c r="F59" s="16"/>
      <c r="G59" s="16"/>
      <c r="H59" s="16"/>
      <c r="I59" s="16"/>
      <c r="J59" s="16"/>
      <c r="K59" s="45"/>
      <c r="L59" s="63"/>
      <c r="M59" s="63"/>
      <c r="N59" s="43"/>
    </row>
    <row r="60" spans="1:14" ht="15.75" x14ac:dyDescent="0.25">
      <c r="A60" s="2" t="s">
        <v>190</v>
      </c>
      <c r="B60" s="146"/>
      <c r="C60" s="99"/>
      <c r="D60" s="37"/>
      <c r="E60" s="16"/>
      <c r="F60" s="16"/>
      <c r="G60" s="16"/>
      <c r="H60" s="16"/>
      <c r="I60" s="16"/>
      <c r="J60" s="16"/>
      <c r="K60" s="45"/>
      <c r="L60" s="63"/>
      <c r="M60" s="63"/>
      <c r="N60" s="43"/>
    </row>
    <row r="61" spans="1:14" ht="15.75" x14ac:dyDescent="0.25">
      <c r="A61" s="46" t="s">
        <v>7</v>
      </c>
      <c r="B61" s="145">
        <f>B62+B65</f>
        <v>0</v>
      </c>
      <c r="C61" s="99"/>
      <c r="D61" s="37"/>
      <c r="E61" s="16"/>
      <c r="F61" s="16"/>
      <c r="G61" s="16"/>
      <c r="H61" s="16"/>
      <c r="I61" s="16"/>
      <c r="J61" s="16"/>
      <c r="K61" s="45"/>
      <c r="L61" s="63"/>
      <c r="M61" s="63"/>
      <c r="N61" s="43"/>
    </row>
    <row r="62" spans="1:14" ht="15.75" x14ac:dyDescent="0.25">
      <c r="A62" s="2" t="s">
        <v>45</v>
      </c>
      <c r="B62" s="145">
        <f>B63+B64</f>
        <v>0</v>
      </c>
      <c r="C62" s="99"/>
      <c r="D62" s="37"/>
      <c r="E62" s="16"/>
      <c r="F62" s="16"/>
      <c r="G62" s="16"/>
      <c r="H62" s="16"/>
      <c r="I62" s="16"/>
      <c r="J62" s="16"/>
      <c r="K62" s="45"/>
      <c r="L62" s="63"/>
      <c r="M62" s="63"/>
      <c r="N62" s="43"/>
    </row>
    <row r="63" spans="1:14" ht="15.75" x14ac:dyDescent="0.25">
      <c r="A63" s="2" t="s">
        <v>46</v>
      </c>
      <c r="B63" s="146"/>
      <c r="C63" s="99"/>
      <c r="D63" s="37"/>
      <c r="E63" s="16"/>
      <c r="F63" s="16"/>
      <c r="G63" s="16"/>
      <c r="H63" s="16"/>
      <c r="I63" s="16"/>
      <c r="J63" s="16"/>
      <c r="K63" s="45"/>
      <c r="L63" s="63"/>
      <c r="M63" s="63"/>
      <c r="N63" s="43"/>
    </row>
    <row r="64" spans="1:14" ht="15.75" x14ac:dyDescent="0.25">
      <c r="A64" s="2" t="s">
        <v>191</v>
      </c>
      <c r="B64" s="146"/>
      <c r="C64" s="99"/>
      <c r="D64" s="37"/>
      <c r="E64" s="16"/>
      <c r="F64" s="16"/>
      <c r="G64" s="16"/>
      <c r="H64" s="16"/>
      <c r="I64" s="16"/>
      <c r="J64" s="16"/>
      <c r="K64" s="45"/>
      <c r="L64" s="63"/>
      <c r="M64" s="63"/>
      <c r="N64" s="43"/>
    </row>
    <row r="65" spans="1:14" ht="15.75" x14ac:dyDescent="0.25">
      <c r="A65" s="2" t="s">
        <v>47</v>
      </c>
      <c r="B65" s="145">
        <f>B66+B67</f>
        <v>0</v>
      </c>
      <c r="C65" s="99"/>
      <c r="D65" s="37"/>
      <c r="E65" s="16"/>
      <c r="F65" s="16"/>
      <c r="G65" s="16"/>
      <c r="H65" s="16"/>
      <c r="I65" s="16"/>
      <c r="J65" s="16"/>
      <c r="K65" s="45"/>
      <c r="L65" s="63"/>
      <c r="M65" s="63"/>
      <c r="N65" s="43"/>
    </row>
    <row r="66" spans="1:14" ht="15.75" x14ac:dyDescent="0.25">
      <c r="A66" s="2" t="s">
        <v>48</v>
      </c>
      <c r="B66" s="146"/>
      <c r="C66" s="99"/>
      <c r="D66" s="37"/>
      <c r="E66" s="16"/>
      <c r="F66" s="16"/>
      <c r="G66" s="16"/>
      <c r="H66" s="16"/>
      <c r="I66" s="16"/>
      <c r="J66" s="16"/>
      <c r="K66" s="45"/>
      <c r="L66" s="63"/>
      <c r="M66" s="63"/>
      <c r="N66" s="43"/>
    </row>
    <row r="67" spans="1:14" ht="15.75" x14ac:dyDescent="0.25">
      <c r="A67" s="2" t="s">
        <v>192</v>
      </c>
      <c r="B67" s="146"/>
      <c r="C67" s="99"/>
      <c r="D67" s="37"/>
      <c r="E67" s="16"/>
      <c r="F67" s="16"/>
      <c r="G67" s="16"/>
      <c r="H67" s="16"/>
      <c r="I67" s="16"/>
      <c r="J67" s="16"/>
      <c r="K67" s="45"/>
      <c r="L67" s="63"/>
      <c r="M67" s="63"/>
      <c r="N67" s="43"/>
    </row>
    <row r="68" spans="1:14" ht="15.75" x14ac:dyDescent="0.25">
      <c r="A68" s="46" t="s">
        <v>49</v>
      </c>
      <c r="B68" s="145">
        <f>B69+B70</f>
        <v>0</v>
      </c>
      <c r="C68" s="99"/>
      <c r="D68" s="37"/>
      <c r="E68" s="16"/>
      <c r="F68" s="16"/>
      <c r="G68" s="16"/>
      <c r="H68" s="16"/>
      <c r="I68" s="16"/>
      <c r="J68" s="16"/>
      <c r="K68" s="45"/>
      <c r="L68" s="63"/>
      <c r="M68" s="63"/>
      <c r="N68" s="43"/>
    </row>
    <row r="69" spans="1:14" ht="15.75" x14ac:dyDescent="0.25">
      <c r="A69" s="2" t="s">
        <v>50</v>
      </c>
      <c r="B69" s="146"/>
      <c r="C69" s="99"/>
      <c r="D69" s="37"/>
      <c r="E69" s="16"/>
      <c r="F69" s="16"/>
      <c r="G69" s="16"/>
      <c r="H69" s="16"/>
      <c r="I69" s="16"/>
      <c r="J69" s="16"/>
      <c r="K69" s="45"/>
      <c r="L69" s="63"/>
      <c r="M69" s="63"/>
      <c r="N69" s="43"/>
    </row>
    <row r="70" spans="1:14" ht="15.75" x14ac:dyDescent="0.25">
      <c r="A70" s="2" t="s">
        <v>193</v>
      </c>
      <c r="B70" s="146"/>
      <c r="C70" s="99"/>
      <c r="D70" s="37"/>
      <c r="E70" s="16"/>
      <c r="F70" s="16"/>
      <c r="G70" s="16"/>
      <c r="H70" s="16"/>
      <c r="I70" s="16"/>
      <c r="J70" s="16"/>
      <c r="K70" s="45"/>
      <c r="L70" s="63"/>
      <c r="M70" s="63"/>
      <c r="N70" s="43"/>
    </row>
    <row r="71" spans="1:14" ht="15.75" x14ac:dyDescent="0.25">
      <c r="A71" s="46" t="s">
        <v>51</v>
      </c>
      <c r="B71" s="145">
        <f>B72+B73</f>
        <v>0</v>
      </c>
      <c r="C71" s="99"/>
      <c r="D71" s="37"/>
      <c r="E71" s="16"/>
      <c r="F71" s="16"/>
      <c r="G71" s="16"/>
      <c r="H71" s="16"/>
      <c r="I71" s="16"/>
      <c r="J71" s="16"/>
      <c r="K71" s="45"/>
      <c r="L71" s="63"/>
      <c r="M71" s="63"/>
      <c r="N71" s="43"/>
    </row>
    <row r="72" spans="1:14" ht="15.75" x14ac:dyDescent="0.25">
      <c r="A72" s="2" t="s">
        <v>52</v>
      </c>
      <c r="B72" s="146"/>
      <c r="C72" s="99"/>
      <c r="D72" s="37"/>
      <c r="E72" s="16"/>
      <c r="F72" s="16"/>
      <c r="G72" s="16"/>
      <c r="H72" s="16"/>
      <c r="I72" s="16"/>
      <c r="J72" s="16"/>
      <c r="K72" s="45"/>
      <c r="L72" s="63"/>
      <c r="M72" s="63"/>
      <c r="N72" s="43"/>
    </row>
    <row r="73" spans="1:14" ht="15.75" x14ac:dyDescent="0.25">
      <c r="A73" s="2" t="s">
        <v>194</v>
      </c>
      <c r="B73" s="146"/>
      <c r="C73" s="99"/>
      <c r="D73" s="37"/>
      <c r="E73" s="16"/>
      <c r="F73" s="16"/>
      <c r="G73" s="16"/>
      <c r="H73" s="16"/>
      <c r="I73" s="16"/>
      <c r="J73" s="16"/>
      <c r="K73" s="45"/>
      <c r="L73" s="63"/>
      <c r="M73" s="63"/>
      <c r="N73" s="43"/>
    </row>
    <row r="74" spans="1:14" ht="15.75" x14ac:dyDescent="0.25">
      <c r="A74" s="46" t="s">
        <v>53</v>
      </c>
      <c r="B74" s="145">
        <f>B75+B76</f>
        <v>0</v>
      </c>
      <c r="C74" s="99"/>
      <c r="D74" s="37"/>
      <c r="E74" s="16"/>
      <c r="F74" s="16"/>
      <c r="G74" s="16"/>
      <c r="H74" s="16"/>
      <c r="I74" s="16"/>
      <c r="J74" s="16"/>
      <c r="K74" s="45"/>
      <c r="L74" s="63"/>
      <c r="M74" s="63"/>
      <c r="N74" s="43"/>
    </row>
    <row r="75" spans="1:14" ht="15.75" x14ac:dyDescent="0.25">
      <c r="A75" s="2" t="s">
        <v>54</v>
      </c>
      <c r="B75" s="146"/>
      <c r="C75" s="99"/>
      <c r="D75" s="37"/>
      <c r="E75" s="16"/>
      <c r="F75" s="16"/>
      <c r="G75" s="16"/>
      <c r="H75" s="16"/>
      <c r="I75" s="16"/>
      <c r="J75" s="16"/>
      <c r="K75" s="45"/>
      <c r="L75" s="63"/>
      <c r="M75" s="63"/>
      <c r="N75" s="43"/>
    </row>
    <row r="76" spans="1:14" ht="15.75" x14ac:dyDescent="0.25">
      <c r="A76" s="2" t="s">
        <v>195</v>
      </c>
      <c r="B76" s="146"/>
      <c r="C76" s="99"/>
      <c r="D76" s="37"/>
      <c r="E76" s="16"/>
      <c r="F76" s="16"/>
      <c r="G76" s="16"/>
      <c r="H76" s="16"/>
      <c r="I76" s="16"/>
      <c r="J76" s="16"/>
      <c r="K76" s="45"/>
      <c r="L76" s="63"/>
      <c r="M76" s="63"/>
      <c r="N76" s="43"/>
    </row>
    <row r="77" spans="1:14" ht="15.75" x14ac:dyDescent="0.25">
      <c r="A77" s="46" t="s">
        <v>319</v>
      </c>
      <c r="B77" s="145">
        <f>B78+B79</f>
        <v>0</v>
      </c>
      <c r="C77" s="99"/>
      <c r="D77" s="37"/>
      <c r="E77" s="16"/>
      <c r="F77" s="16"/>
      <c r="G77" s="16"/>
      <c r="H77" s="16"/>
      <c r="I77" s="16"/>
      <c r="J77" s="16"/>
      <c r="K77" s="45"/>
      <c r="L77" s="63"/>
      <c r="M77" s="63"/>
      <c r="N77" s="43"/>
    </row>
    <row r="78" spans="1:14" ht="15.75" x14ac:dyDescent="0.25">
      <c r="A78" s="2" t="s">
        <v>72</v>
      </c>
      <c r="B78" s="146"/>
      <c r="C78" s="99"/>
      <c r="D78" s="37"/>
      <c r="E78" s="16"/>
      <c r="F78" s="16"/>
      <c r="G78" s="16"/>
      <c r="H78" s="16"/>
      <c r="I78" s="16"/>
      <c r="J78" s="16"/>
      <c r="K78" s="45"/>
      <c r="L78" s="63"/>
      <c r="M78" s="63"/>
      <c r="N78" s="43"/>
    </row>
    <row r="79" spans="1:14" ht="15.75" x14ac:dyDescent="0.25">
      <c r="A79" s="55" t="s">
        <v>196</v>
      </c>
      <c r="B79" s="146"/>
      <c r="C79" s="99"/>
      <c r="D79" s="37"/>
      <c r="E79" s="16"/>
      <c r="F79" s="16"/>
      <c r="G79" s="16"/>
      <c r="H79" s="16"/>
      <c r="I79" s="16"/>
      <c r="J79" s="16"/>
      <c r="K79" s="45"/>
      <c r="L79" s="63"/>
      <c r="M79" s="63"/>
      <c r="N79" s="43"/>
    </row>
    <row r="80" spans="1:14" ht="15.75" x14ac:dyDescent="0.25">
      <c r="A80" s="46" t="s">
        <v>271</v>
      </c>
      <c r="B80" s="145">
        <f>B81+B82</f>
        <v>0</v>
      </c>
      <c r="C80" s="99"/>
      <c r="D80" s="37"/>
      <c r="E80" s="16"/>
      <c r="F80" s="16"/>
      <c r="G80" s="16"/>
      <c r="H80" s="16"/>
      <c r="I80" s="16"/>
      <c r="J80" s="16"/>
      <c r="K80" s="45"/>
      <c r="L80" s="63"/>
      <c r="M80" s="63"/>
      <c r="N80" s="43"/>
    </row>
    <row r="81" spans="1:14" ht="15.75" x14ac:dyDescent="0.25">
      <c r="A81" s="2" t="s">
        <v>272</v>
      </c>
      <c r="B81" s="146"/>
      <c r="C81" s="99"/>
      <c r="D81" s="37"/>
      <c r="E81" s="16"/>
      <c r="F81" s="16"/>
      <c r="G81" s="16"/>
      <c r="H81" s="16"/>
      <c r="I81" s="16"/>
      <c r="J81" s="16"/>
      <c r="K81" s="45"/>
      <c r="L81" s="63"/>
      <c r="M81" s="63"/>
      <c r="N81" s="43"/>
    </row>
    <row r="82" spans="1:14" ht="15.75" x14ac:dyDescent="0.25">
      <c r="A82" s="55" t="s">
        <v>273</v>
      </c>
      <c r="B82" s="146"/>
      <c r="C82" s="99"/>
      <c r="D82" s="37"/>
      <c r="E82" s="16"/>
      <c r="F82" s="16"/>
      <c r="G82" s="16"/>
      <c r="H82" s="16"/>
      <c r="I82" s="16"/>
      <c r="J82" s="16"/>
      <c r="K82" s="45"/>
      <c r="L82" s="63"/>
      <c r="M82" s="63"/>
      <c r="N82" s="43"/>
    </row>
    <row r="83" spans="1:14" ht="15.75" x14ac:dyDescent="0.25">
      <c r="A83" s="56" t="s">
        <v>55</v>
      </c>
      <c r="B83" s="145">
        <f>B84+B97+B100+B103+B110+B113+B116+B119</f>
        <v>0</v>
      </c>
      <c r="C83" s="99"/>
      <c r="D83" s="37"/>
      <c r="E83" s="16"/>
      <c r="F83" s="16"/>
      <c r="G83" s="16"/>
      <c r="H83" s="16"/>
      <c r="I83" s="16"/>
      <c r="J83" s="16"/>
      <c r="K83" s="45"/>
      <c r="L83" s="63"/>
      <c r="M83" s="63"/>
      <c r="N83" s="43"/>
    </row>
    <row r="84" spans="1:14" ht="15.75" x14ac:dyDescent="0.25">
      <c r="A84" s="57" t="s">
        <v>56</v>
      </c>
      <c r="B84" s="145">
        <f>B85+B88+B91+B94</f>
        <v>0</v>
      </c>
      <c r="C84" s="99"/>
      <c r="D84" s="37"/>
      <c r="E84" s="16"/>
      <c r="F84" s="16"/>
      <c r="G84" s="16"/>
      <c r="H84" s="16"/>
      <c r="I84" s="16"/>
      <c r="J84" s="16"/>
      <c r="K84" s="45"/>
      <c r="L84" s="63"/>
      <c r="M84" s="63"/>
      <c r="N84" s="43"/>
    </row>
    <row r="85" spans="1:14" ht="15.75" x14ac:dyDescent="0.25">
      <c r="A85" s="55" t="s">
        <v>57</v>
      </c>
      <c r="B85" s="145">
        <f>B86+B87</f>
        <v>0</v>
      </c>
      <c r="C85" s="99"/>
      <c r="D85" s="37"/>
      <c r="E85" s="16"/>
      <c r="F85" s="16"/>
      <c r="G85" s="16"/>
      <c r="H85" s="16"/>
      <c r="I85" s="16"/>
      <c r="J85" s="16"/>
      <c r="K85" s="45"/>
      <c r="L85" s="63"/>
      <c r="M85" s="63"/>
      <c r="N85" s="43"/>
    </row>
    <row r="86" spans="1:14" ht="15.75" x14ac:dyDescent="0.25">
      <c r="A86" s="55" t="s">
        <v>58</v>
      </c>
      <c r="B86" s="146"/>
      <c r="C86" s="99"/>
      <c r="D86" s="37"/>
      <c r="E86" s="16"/>
      <c r="F86" s="16"/>
      <c r="G86" s="16"/>
      <c r="H86" s="16"/>
      <c r="I86" s="16"/>
      <c r="J86" s="16"/>
      <c r="K86" s="45"/>
      <c r="L86" s="63"/>
      <c r="M86" s="63"/>
      <c r="N86" s="43"/>
    </row>
    <row r="87" spans="1:14" ht="15.75" x14ac:dyDescent="0.25">
      <c r="A87" s="55" t="s">
        <v>197</v>
      </c>
      <c r="B87" s="146"/>
      <c r="C87" s="99"/>
      <c r="D87" s="37"/>
      <c r="E87" s="16"/>
      <c r="F87" s="16"/>
      <c r="G87" s="16"/>
      <c r="H87" s="16"/>
      <c r="I87" s="16"/>
      <c r="J87" s="16"/>
      <c r="K87" s="45"/>
      <c r="L87" s="63"/>
      <c r="M87" s="63"/>
      <c r="N87" s="43"/>
    </row>
    <row r="88" spans="1:14" ht="15.75" x14ac:dyDescent="0.25">
      <c r="A88" s="55" t="s">
        <v>237</v>
      </c>
      <c r="B88" s="145">
        <f>B89+B90</f>
        <v>0</v>
      </c>
      <c r="C88" s="99"/>
      <c r="D88" s="37"/>
      <c r="E88" s="16"/>
      <c r="F88" s="16"/>
      <c r="G88" s="16"/>
      <c r="H88" s="16"/>
      <c r="I88" s="16"/>
      <c r="J88" s="16"/>
      <c r="K88" s="45"/>
      <c r="L88" s="63"/>
      <c r="M88" s="63"/>
      <c r="N88" s="43"/>
    </row>
    <row r="89" spans="1:14" ht="15.75" x14ac:dyDescent="0.25">
      <c r="A89" s="55" t="s">
        <v>59</v>
      </c>
      <c r="B89" s="146"/>
      <c r="C89" s="99"/>
      <c r="D89" s="37"/>
      <c r="E89" s="16"/>
      <c r="F89" s="16"/>
      <c r="G89" s="16"/>
      <c r="H89" s="16"/>
      <c r="I89" s="16"/>
      <c r="J89" s="16"/>
      <c r="K89" s="45"/>
      <c r="L89" s="63"/>
      <c r="M89" s="63"/>
      <c r="N89" s="43"/>
    </row>
    <row r="90" spans="1:14" ht="15.75" x14ac:dyDescent="0.25">
      <c r="A90" s="55" t="s">
        <v>198</v>
      </c>
      <c r="B90" s="146"/>
      <c r="C90" s="99"/>
      <c r="D90" s="37"/>
      <c r="E90" s="16"/>
      <c r="F90" s="16"/>
      <c r="G90" s="16"/>
      <c r="H90" s="16"/>
      <c r="I90" s="16"/>
      <c r="J90" s="16"/>
      <c r="K90" s="45"/>
      <c r="L90" s="63"/>
      <c r="M90" s="63"/>
      <c r="N90" s="43"/>
    </row>
    <row r="91" spans="1:14" ht="15.75" x14ac:dyDescent="0.25">
      <c r="A91" s="55" t="s">
        <v>60</v>
      </c>
      <c r="B91" s="145">
        <f>B92+B93</f>
        <v>0</v>
      </c>
      <c r="C91" s="99"/>
      <c r="D91" s="37"/>
      <c r="E91" s="16"/>
      <c r="F91" s="16"/>
      <c r="G91" s="16"/>
      <c r="H91" s="16"/>
      <c r="I91" s="16"/>
      <c r="J91" s="16"/>
      <c r="K91" s="45"/>
      <c r="L91" s="63"/>
      <c r="M91" s="63"/>
      <c r="N91" s="43"/>
    </row>
    <row r="92" spans="1:14" ht="15.75" x14ac:dyDescent="0.25">
      <c r="A92" s="55" t="s">
        <v>61</v>
      </c>
      <c r="B92" s="146"/>
      <c r="C92" s="99"/>
      <c r="D92" s="37"/>
      <c r="E92" s="16"/>
      <c r="F92" s="16"/>
      <c r="G92" s="16"/>
      <c r="H92" s="16"/>
      <c r="I92" s="16"/>
      <c r="J92" s="16"/>
      <c r="K92" s="45"/>
      <c r="L92" s="63"/>
      <c r="M92" s="63"/>
      <c r="N92" s="43"/>
    </row>
    <row r="93" spans="1:14" ht="15.75" x14ac:dyDescent="0.25">
      <c r="A93" s="55" t="s">
        <v>199</v>
      </c>
      <c r="B93" s="146"/>
      <c r="C93" s="99"/>
      <c r="D93" s="37"/>
      <c r="E93" s="16"/>
      <c r="F93" s="16"/>
      <c r="G93" s="16"/>
      <c r="H93" s="16"/>
      <c r="I93" s="16"/>
      <c r="J93" s="16"/>
      <c r="K93" s="45"/>
      <c r="L93" s="63"/>
      <c r="M93" s="63"/>
      <c r="N93" s="43"/>
    </row>
    <row r="94" spans="1:14" ht="15.75" x14ac:dyDescent="0.25">
      <c r="A94" s="55" t="s">
        <v>62</v>
      </c>
      <c r="B94" s="145">
        <f>B95+B96</f>
        <v>0</v>
      </c>
      <c r="C94" s="99"/>
      <c r="D94" s="37"/>
      <c r="E94" s="16"/>
      <c r="F94" s="16"/>
      <c r="G94" s="16"/>
      <c r="H94" s="16"/>
      <c r="I94" s="16"/>
      <c r="J94" s="16"/>
      <c r="K94" s="45"/>
      <c r="L94" s="63"/>
      <c r="M94" s="63"/>
      <c r="N94" s="43"/>
    </row>
    <row r="95" spans="1:14" ht="15.75" x14ac:dyDescent="0.25">
      <c r="A95" s="55" t="s">
        <v>63</v>
      </c>
      <c r="B95" s="146"/>
      <c r="C95" s="99"/>
      <c r="D95" s="37"/>
      <c r="E95" s="16"/>
      <c r="F95" s="16"/>
      <c r="G95" s="16"/>
      <c r="H95" s="16"/>
      <c r="I95" s="16"/>
      <c r="J95" s="16"/>
      <c r="K95" s="45"/>
      <c r="L95" s="63"/>
      <c r="M95" s="63"/>
      <c r="N95" s="43"/>
    </row>
    <row r="96" spans="1:14" ht="15.75" x14ac:dyDescent="0.25">
      <c r="A96" s="55" t="s">
        <v>200</v>
      </c>
      <c r="B96" s="146"/>
      <c r="C96" s="99"/>
      <c r="D96" s="37"/>
      <c r="E96" s="16"/>
      <c r="F96" s="16"/>
      <c r="G96" s="16"/>
      <c r="H96" s="16"/>
      <c r="I96" s="16"/>
      <c r="J96" s="16"/>
      <c r="K96" s="45"/>
      <c r="L96" s="63"/>
      <c r="M96" s="63"/>
      <c r="N96" s="43"/>
    </row>
    <row r="97" spans="1:14" ht="15.75" x14ac:dyDescent="0.25">
      <c r="A97" s="57" t="s">
        <v>64</v>
      </c>
      <c r="B97" s="145">
        <f>B98+B99</f>
        <v>0</v>
      </c>
      <c r="C97" s="99"/>
      <c r="D97" s="37"/>
      <c r="E97" s="16"/>
      <c r="F97" s="16"/>
      <c r="G97" s="16"/>
      <c r="H97" s="16"/>
      <c r="I97" s="16"/>
      <c r="J97" s="16"/>
      <c r="K97" s="45"/>
      <c r="L97" s="63"/>
      <c r="M97" s="63"/>
      <c r="N97" s="43"/>
    </row>
    <row r="98" spans="1:14" ht="15.75" x14ac:dyDescent="0.25">
      <c r="A98" s="55" t="s">
        <v>65</v>
      </c>
      <c r="B98" s="146"/>
      <c r="C98" s="99"/>
      <c r="D98" s="37"/>
      <c r="E98" s="16"/>
      <c r="F98" s="16"/>
      <c r="G98" s="16"/>
      <c r="H98" s="16"/>
      <c r="I98" s="16"/>
      <c r="J98" s="16"/>
      <c r="K98" s="45"/>
      <c r="L98" s="63"/>
      <c r="M98" s="63"/>
      <c r="N98" s="43"/>
    </row>
    <row r="99" spans="1:14" ht="15.75" x14ac:dyDescent="0.25">
      <c r="A99" s="55" t="s">
        <v>201</v>
      </c>
      <c r="B99" s="146"/>
      <c r="C99" s="99"/>
      <c r="D99" s="37"/>
      <c r="E99" s="16"/>
      <c r="F99" s="16"/>
      <c r="G99" s="16"/>
      <c r="H99" s="16"/>
      <c r="I99" s="16"/>
      <c r="J99" s="16"/>
      <c r="K99" s="45"/>
      <c r="L99" s="63"/>
      <c r="M99" s="63"/>
      <c r="N99" s="43"/>
    </row>
    <row r="100" spans="1:14" ht="15.75" x14ac:dyDescent="0.25">
      <c r="A100" s="57" t="s">
        <v>66</v>
      </c>
      <c r="B100" s="145">
        <f>B101+B102</f>
        <v>0</v>
      </c>
      <c r="C100" s="99"/>
      <c r="D100" s="37"/>
      <c r="E100" s="16"/>
      <c r="F100" s="16"/>
      <c r="G100" s="16"/>
      <c r="H100" s="16"/>
      <c r="I100" s="16"/>
      <c r="J100" s="16"/>
      <c r="K100" s="45"/>
      <c r="L100" s="63"/>
      <c r="M100" s="63"/>
      <c r="N100" s="43"/>
    </row>
    <row r="101" spans="1:14" ht="15.75" x14ac:dyDescent="0.25">
      <c r="A101" s="55" t="s">
        <v>67</v>
      </c>
      <c r="B101" s="146"/>
      <c r="C101" s="99"/>
      <c r="D101" s="37"/>
      <c r="E101" s="16"/>
      <c r="F101" s="16"/>
      <c r="G101" s="16"/>
      <c r="H101" s="16"/>
      <c r="I101" s="16"/>
      <c r="J101" s="16"/>
      <c r="K101" s="45"/>
      <c r="L101" s="63"/>
      <c r="M101" s="63"/>
      <c r="N101" s="43"/>
    </row>
    <row r="102" spans="1:14" ht="15.75" x14ac:dyDescent="0.25">
      <c r="A102" s="55" t="s">
        <v>202</v>
      </c>
      <c r="B102" s="146"/>
      <c r="C102" s="99"/>
      <c r="D102" s="37"/>
      <c r="E102" s="16"/>
      <c r="F102" s="16"/>
      <c r="G102" s="16"/>
      <c r="H102" s="16"/>
      <c r="I102" s="16"/>
      <c r="J102" s="16"/>
      <c r="K102" s="45"/>
      <c r="L102" s="63"/>
      <c r="M102" s="63"/>
      <c r="N102" s="43"/>
    </row>
    <row r="103" spans="1:14" ht="15.75" x14ac:dyDescent="0.25">
      <c r="A103" s="57" t="s">
        <v>68</v>
      </c>
      <c r="B103" s="145">
        <f>B104+B107</f>
        <v>0</v>
      </c>
      <c r="C103" s="99"/>
      <c r="D103" s="37"/>
      <c r="E103" s="16"/>
      <c r="F103" s="16"/>
      <c r="G103" s="16"/>
      <c r="H103" s="16"/>
      <c r="I103" s="16"/>
      <c r="J103" s="16"/>
      <c r="K103" s="45"/>
      <c r="L103" s="63"/>
      <c r="M103" s="63"/>
      <c r="N103" s="43"/>
    </row>
    <row r="104" spans="1:14" ht="15.75" x14ac:dyDescent="0.25">
      <c r="A104" s="55" t="s">
        <v>238</v>
      </c>
      <c r="B104" s="145">
        <f>B105+B106</f>
        <v>0</v>
      </c>
      <c r="C104" s="99"/>
      <c r="D104" s="37"/>
      <c r="E104" s="16"/>
      <c r="F104" s="16"/>
      <c r="G104" s="16"/>
      <c r="H104" s="16"/>
      <c r="I104" s="16"/>
      <c r="J104" s="16"/>
      <c r="K104" s="45"/>
      <c r="L104" s="63"/>
      <c r="M104" s="63"/>
      <c r="N104" s="43"/>
    </row>
    <row r="105" spans="1:14" ht="15.75" x14ac:dyDescent="0.25">
      <c r="A105" s="2" t="s">
        <v>239</v>
      </c>
      <c r="B105" s="146"/>
      <c r="C105" s="99"/>
      <c r="D105" s="37"/>
      <c r="E105" s="16"/>
      <c r="F105" s="16"/>
      <c r="G105" s="16"/>
      <c r="H105" s="16"/>
      <c r="I105" s="16"/>
      <c r="J105" s="16"/>
      <c r="K105" s="45"/>
      <c r="L105" s="63"/>
      <c r="M105" s="63"/>
      <c r="N105" s="43"/>
    </row>
    <row r="106" spans="1:14" ht="15.75" x14ac:dyDescent="0.25">
      <c r="A106" s="2" t="s">
        <v>240</v>
      </c>
      <c r="B106" s="146"/>
      <c r="C106" s="99"/>
      <c r="D106" s="37"/>
      <c r="E106" s="16"/>
      <c r="F106" s="16"/>
      <c r="G106" s="16"/>
      <c r="H106" s="16"/>
      <c r="I106" s="16"/>
      <c r="J106" s="16"/>
      <c r="K106" s="45"/>
      <c r="L106" s="63"/>
      <c r="M106" s="63"/>
      <c r="N106" s="43"/>
    </row>
    <row r="107" spans="1:14" ht="15.75" x14ac:dyDescent="0.25">
      <c r="A107" s="2" t="s">
        <v>241</v>
      </c>
      <c r="B107" s="145">
        <f>B108+B109</f>
        <v>0</v>
      </c>
      <c r="C107" s="99"/>
      <c r="D107" s="37"/>
      <c r="E107" s="16"/>
      <c r="F107" s="16"/>
      <c r="G107" s="16"/>
      <c r="H107" s="16"/>
      <c r="I107" s="16"/>
      <c r="J107" s="16"/>
      <c r="K107" s="45"/>
      <c r="L107" s="63"/>
      <c r="M107" s="63"/>
      <c r="N107" s="43"/>
    </row>
    <row r="108" spans="1:14" ht="15.75" x14ac:dyDescent="0.25">
      <c r="A108" s="2" t="s">
        <v>242</v>
      </c>
      <c r="B108" s="146"/>
      <c r="C108" s="99"/>
      <c r="D108" s="37"/>
      <c r="E108" s="16"/>
      <c r="F108" s="16"/>
      <c r="G108" s="16"/>
      <c r="H108" s="16"/>
      <c r="I108" s="16"/>
      <c r="J108" s="16"/>
      <c r="K108" s="45"/>
      <c r="L108" s="63"/>
      <c r="M108" s="63"/>
      <c r="N108" s="43"/>
    </row>
    <row r="109" spans="1:14" ht="15.75" x14ac:dyDescent="0.25">
      <c r="A109" s="55" t="s">
        <v>243</v>
      </c>
      <c r="B109" s="146"/>
      <c r="C109" s="99"/>
      <c r="D109" s="37"/>
      <c r="E109" s="16"/>
      <c r="F109" s="16"/>
      <c r="G109" s="16"/>
      <c r="H109" s="16"/>
      <c r="I109" s="16"/>
      <c r="J109" s="16"/>
      <c r="K109" s="45"/>
      <c r="L109" s="63"/>
      <c r="M109" s="63"/>
      <c r="N109" s="43"/>
    </row>
    <row r="110" spans="1:14" ht="15.75" x14ac:dyDescent="0.25">
      <c r="A110" s="57" t="s">
        <v>69</v>
      </c>
      <c r="B110" s="145">
        <f>B111+B112</f>
        <v>0</v>
      </c>
      <c r="C110" s="99"/>
      <c r="D110" s="37"/>
      <c r="E110" s="16"/>
      <c r="F110" s="16"/>
      <c r="G110" s="16"/>
      <c r="H110" s="16"/>
      <c r="I110" s="16"/>
      <c r="J110" s="16"/>
      <c r="K110" s="45"/>
      <c r="L110" s="63"/>
      <c r="M110" s="63"/>
      <c r="N110" s="43"/>
    </row>
    <row r="111" spans="1:14" ht="15.75" x14ac:dyDescent="0.25">
      <c r="A111" s="55" t="s">
        <v>244</v>
      </c>
      <c r="B111" s="146"/>
      <c r="C111" s="99"/>
      <c r="D111" s="37"/>
      <c r="E111" s="16"/>
      <c r="F111" s="16"/>
      <c r="G111" s="16"/>
      <c r="H111" s="16"/>
      <c r="I111" s="16"/>
      <c r="J111" s="16"/>
      <c r="K111" s="45"/>
      <c r="L111" s="63"/>
      <c r="M111" s="63"/>
      <c r="N111" s="43"/>
    </row>
    <row r="112" spans="1:14" ht="15.75" x14ac:dyDescent="0.25">
      <c r="A112" s="55" t="s">
        <v>245</v>
      </c>
      <c r="B112" s="146"/>
      <c r="C112" s="99"/>
      <c r="D112" s="37"/>
      <c r="E112" s="16"/>
      <c r="F112" s="16"/>
      <c r="G112" s="16"/>
      <c r="H112" s="16"/>
      <c r="I112" s="16"/>
      <c r="J112" s="16"/>
      <c r="K112" s="45"/>
      <c r="L112" s="63"/>
      <c r="M112" s="63"/>
      <c r="N112" s="43"/>
    </row>
    <row r="113" spans="1:14" ht="15.75" x14ac:dyDescent="0.25">
      <c r="A113" s="57" t="s">
        <v>70</v>
      </c>
      <c r="B113" s="145">
        <f>B114+B115</f>
        <v>0</v>
      </c>
      <c r="C113" s="99"/>
      <c r="D113" s="37"/>
      <c r="E113" s="16"/>
      <c r="F113" s="16"/>
      <c r="G113" s="16"/>
      <c r="H113" s="16"/>
      <c r="I113" s="16"/>
      <c r="J113" s="16"/>
      <c r="K113" s="45"/>
      <c r="L113" s="63"/>
      <c r="M113" s="63"/>
      <c r="N113" s="43"/>
    </row>
    <row r="114" spans="1:14" ht="15.75" x14ac:dyDescent="0.25">
      <c r="A114" s="55" t="s">
        <v>246</v>
      </c>
      <c r="B114" s="146"/>
      <c r="C114" s="99"/>
      <c r="D114" s="37"/>
      <c r="E114" s="16"/>
      <c r="F114" s="16"/>
      <c r="G114" s="16"/>
      <c r="H114" s="16"/>
      <c r="I114" s="16"/>
      <c r="J114" s="16"/>
      <c r="K114" s="45"/>
      <c r="L114" s="63"/>
      <c r="M114" s="63"/>
      <c r="N114" s="43"/>
    </row>
    <row r="115" spans="1:14" ht="15.75" x14ac:dyDescent="0.25">
      <c r="A115" s="55" t="s">
        <v>247</v>
      </c>
      <c r="B115" s="146"/>
      <c r="C115" s="99"/>
      <c r="D115" s="37"/>
      <c r="E115" s="16"/>
      <c r="F115" s="16"/>
      <c r="G115" s="16"/>
      <c r="H115" s="16"/>
      <c r="I115" s="16"/>
      <c r="J115" s="16"/>
      <c r="K115" s="45"/>
      <c r="L115" s="63"/>
      <c r="M115" s="63"/>
      <c r="N115" s="43"/>
    </row>
    <row r="116" spans="1:14" ht="15.75" x14ac:dyDescent="0.25">
      <c r="A116" s="57" t="s">
        <v>71</v>
      </c>
      <c r="B116" s="145">
        <f>B117+B118</f>
        <v>0</v>
      </c>
      <c r="C116" s="99"/>
      <c r="D116" s="37"/>
      <c r="E116" s="16"/>
      <c r="F116" s="16"/>
      <c r="G116" s="16"/>
      <c r="H116" s="16"/>
      <c r="I116" s="16"/>
      <c r="J116" s="16"/>
      <c r="K116" s="45"/>
      <c r="L116" s="63"/>
      <c r="M116" s="63"/>
      <c r="N116" s="43"/>
    </row>
    <row r="117" spans="1:14" ht="15.75" x14ac:dyDescent="0.25">
      <c r="A117" s="55" t="s">
        <v>248</v>
      </c>
      <c r="B117" s="146"/>
      <c r="C117" s="99"/>
      <c r="D117" s="37"/>
      <c r="E117" s="16"/>
      <c r="F117" s="16"/>
      <c r="G117" s="16"/>
      <c r="H117" s="16"/>
      <c r="I117" s="16"/>
      <c r="J117" s="16"/>
      <c r="K117" s="45"/>
      <c r="L117" s="63"/>
      <c r="M117" s="63"/>
      <c r="N117" s="43"/>
    </row>
    <row r="118" spans="1:14" ht="15.75" x14ac:dyDescent="0.25">
      <c r="A118" s="55" t="s">
        <v>249</v>
      </c>
      <c r="B118" s="146"/>
      <c r="C118" s="99"/>
      <c r="D118" s="37"/>
      <c r="E118" s="16"/>
      <c r="F118" s="16"/>
      <c r="G118" s="16"/>
      <c r="H118" s="16"/>
      <c r="I118" s="16"/>
      <c r="J118" s="16"/>
      <c r="K118" s="45"/>
      <c r="L118" s="63"/>
      <c r="M118" s="63"/>
      <c r="N118" s="43"/>
    </row>
    <row r="119" spans="1:14" ht="15.75" x14ac:dyDescent="0.25">
      <c r="A119" s="57" t="s">
        <v>320</v>
      </c>
      <c r="B119" s="145">
        <f>B120+B121</f>
        <v>0</v>
      </c>
      <c r="C119" s="99"/>
      <c r="D119" s="37"/>
      <c r="E119" s="16"/>
      <c r="F119" s="16"/>
      <c r="G119" s="16"/>
      <c r="H119" s="16"/>
      <c r="I119" s="16"/>
      <c r="J119" s="16"/>
      <c r="K119" s="45"/>
      <c r="L119" s="63"/>
      <c r="M119" s="63"/>
      <c r="N119" s="43"/>
    </row>
    <row r="120" spans="1:14" ht="15.75" x14ac:dyDescent="0.25">
      <c r="A120" s="55" t="s">
        <v>250</v>
      </c>
      <c r="B120" s="146"/>
      <c r="C120" s="99"/>
      <c r="D120" s="37"/>
      <c r="E120" s="16"/>
      <c r="F120" s="16"/>
      <c r="G120" s="16"/>
      <c r="H120" s="16"/>
      <c r="I120" s="16"/>
      <c r="J120" s="16"/>
      <c r="K120" s="45"/>
      <c r="L120" s="63"/>
      <c r="M120" s="63"/>
      <c r="N120" s="43"/>
    </row>
    <row r="121" spans="1:14" ht="15.75" x14ac:dyDescent="0.25">
      <c r="A121" s="55" t="s">
        <v>251</v>
      </c>
      <c r="B121" s="146"/>
      <c r="C121" s="99"/>
      <c r="D121" s="37"/>
      <c r="E121" s="16"/>
      <c r="F121" s="16"/>
      <c r="G121" s="16"/>
      <c r="H121" s="16"/>
      <c r="I121" s="16"/>
      <c r="J121" s="16"/>
      <c r="K121" s="45"/>
      <c r="L121" s="63"/>
      <c r="M121" s="63"/>
      <c r="N121" s="43"/>
    </row>
    <row r="122" spans="1:14" ht="15.75" x14ac:dyDescent="0.25">
      <c r="A122" s="57" t="s">
        <v>270</v>
      </c>
      <c r="B122" s="146">
        <v>0</v>
      </c>
      <c r="C122" s="99"/>
      <c r="D122" s="37"/>
      <c r="E122" s="16"/>
      <c r="F122" s="16"/>
      <c r="G122" s="16"/>
      <c r="H122" s="16"/>
      <c r="I122" s="16"/>
      <c r="J122" s="16"/>
      <c r="K122" s="45"/>
      <c r="L122" s="63"/>
      <c r="M122" s="63"/>
      <c r="N122" s="43"/>
    </row>
    <row r="123" spans="1:14" ht="15.75" x14ac:dyDescent="0.25">
      <c r="A123" s="56" t="s">
        <v>73</v>
      </c>
      <c r="B123" s="145">
        <f>B124+B146+B153+B156+B160+B163+B166+B169+B172</f>
        <v>0</v>
      </c>
      <c r="C123" s="99"/>
      <c r="D123" s="37"/>
      <c r="E123" s="16"/>
      <c r="F123" s="16"/>
      <c r="G123" s="16"/>
      <c r="H123" s="16"/>
      <c r="I123" s="16"/>
      <c r="J123" s="16"/>
      <c r="K123" s="45"/>
      <c r="L123" s="63"/>
      <c r="M123" s="63"/>
      <c r="N123" s="43"/>
    </row>
    <row r="124" spans="1:14" ht="15.75" x14ac:dyDescent="0.25">
      <c r="A124" s="57" t="s">
        <v>8</v>
      </c>
      <c r="B124" s="145">
        <f>B125+B132+B135+B139</f>
        <v>0</v>
      </c>
      <c r="C124" s="99"/>
      <c r="D124" s="37"/>
      <c r="E124" s="16"/>
      <c r="F124" s="16"/>
      <c r="G124" s="16"/>
      <c r="H124" s="16"/>
      <c r="I124" s="16"/>
      <c r="J124" s="16"/>
      <c r="K124" s="45"/>
      <c r="L124" s="63"/>
      <c r="M124" s="63"/>
      <c r="N124" s="43"/>
    </row>
    <row r="125" spans="1:14" ht="15.75" x14ac:dyDescent="0.25">
      <c r="A125" s="55" t="s">
        <v>9</v>
      </c>
      <c r="B125" s="145">
        <f>B126+B129</f>
        <v>0</v>
      </c>
      <c r="C125" s="99"/>
      <c r="D125" s="37"/>
      <c r="E125" s="16"/>
      <c r="F125" s="16"/>
      <c r="G125" s="16"/>
      <c r="H125" s="16"/>
      <c r="I125" s="16"/>
      <c r="J125" s="16"/>
      <c r="K125" s="45"/>
      <c r="L125" s="63"/>
      <c r="M125" s="63"/>
      <c r="N125" s="43"/>
    </row>
    <row r="126" spans="1:14" ht="15.75" x14ac:dyDescent="0.25">
      <c r="A126" s="55" t="s">
        <v>264</v>
      </c>
      <c r="B126" s="145">
        <f>B127+B128</f>
        <v>0</v>
      </c>
      <c r="C126" s="99"/>
      <c r="D126" s="37"/>
      <c r="E126" s="16"/>
      <c r="F126" s="16"/>
      <c r="G126" s="16"/>
      <c r="H126" s="16"/>
      <c r="I126" s="16"/>
      <c r="J126" s="16"/>
      <c r="K126" s="45"/>
      <c r="L126" s="63"/>
      <c r="M126" s="63"/>
      <c r="N126" s="43"/>
    </row>
    <row r="127" spans="1:14" ht="15.75" x14ac:dyDescent="0.25">
      <c r="A127" s="55" t="s">
        <v>265</v>
      </c>
      <c r="B127" s="146"/>
      <c r="C127" s="99"/>
      <c r="D127" s="37"/>
      <c r="E127" s="16"/>
      <c r="F127" s="16"/>
      <c r="G127" s="16"/>
      <c r="H127" s="16"/>
      <c r="I127" s="16"/>
      <c r="J127" s="16"/>
      <c r="K127" s="45"/>
      <c r="L127" s="63"/>
      <c r="M127" s="63"/>
      <c r="N127" s="43"/>
    </row>
    <row r="128" spans="1:14" ht="15.75" x14ac:dyDescent="0.25">
      <c r="A128" s="55" t="s">
        <v>266</v>
      </c>
      <c r="B128" s="146"/>
      <c r="C128" s="99"/>
      <c r="D128" s="37"/>
      <c r="E128" s="16"/>
      <c r="F128" s="16"/>
      <c r="G128" s="16"/>
      <c r="H128" s="16"/>
      <c r="I128" s="16"/>
      <c r="J128" s="16"/>
      <c r="K128" s="45"/>
      <c r="L128" s="63"/>
      <c r="M128" s="63"/>
      <c r="N128" s="43"/>
    </row>
    <row r="129" spans="1:14" ht="15.75" x14ac:dyDescent="0.25">
      <c r="A129" s="55" t="s">
        <v>267</v>
      </c>
      <c r="B129" s="145">
        <f>B130+B131</f>
        <v>0</v>
      </c>
      <c r="C129" s="99"/>
      <c r="D129" s="37"/>
      <c r="E129" s="16"/>
      <c r="F129" s="16"/>
      <c r="G129" s="16"/>
      <c r="H129" s="16"/>
      <c r="I129" s="16"/>
      <c r="J129" s="16"/>
      <c r="K129" s="45"/>
      <c r="L129" s="63"/>
      <c r="M129" s="63"/>
      <c r="N129" s="43"/>
    </row>
    <row r="130" spans="1:14" ht="15.75" x14ac:dyDescent="0.25">
      <c r="A130" s="55" t="s">
        <v>268</v>
      </c>
      <c r="B130" s="146"/>
      <c r="C130" s="99"/>
      <c r="D130" s="37"/>
      <c r="E130" s="16"/>
      <c r="F130" s="16"/>
      <c r="G130" s="16"/>
      <c r="H130" s="16"/>
      <c r="I130" s="16"/>
      <c r="J130" s="16"/>
      <c r="K130" s="45"/>
      <c r="L130" s="63"/>
      <c r="M130" s="63"/>
      <c r="N130" s="43"/>
    </row>
    <row r="131" spans="1:14" ht="15.75" x14ac:dyDescent="0.25">
      <c r="A131" s="55" t="s">
        <v>269</v>
      </c>
      <c r="B131" s="146"/>
      <c r="C131" s="99"/>
      <c r="D131" s="37"/>
      <c r="E131" s="16"/>
      <c r="F131" s="16"/>
      <c r="G131" s="16"/>
      <c r="H131" s="16"/>
      <c r="I131" s="16"/>
      <c r="J131" s="16"/>
      <c r="K131" s="45"/>
      <c r="L131" s="63"/>
      <c r="M131" s="63"/>
      <c r="N131" s="43"/>
    </row>
    <row r="132" spans="1:14" ht="15.75" x14ac:dyDescent="0.25">
      <c r="A132" s="55" t="s">
        <v>10</v>
      </c>
      <c r="B132" s="145">
        <f>B133+B134</f>
        <v>0</v>
      </c>
      <c r="C132" s="99"/>
      <c r="D132" s="37"/>
      <c r="E132" s="16"/>
      <c r="F132" s="16"/>
      <c r="G132" s="16"/>
      <c r="H132" s="16"/>
      <c r="I132" s="16"/>
      <c r="J132" s="16"/>
      <c r="K132" s="45"/>
      <c r="L132" s="63"/>
      <c r="M132" s="63"/>
      <c r="N132" s="43"/>
    </row>
    <row r="133" spans="1:14" ht="15.75" x14ac:dyDescent="0.25">
      <c r="A133" s="55" t="s">
        <v>74</v>
      </c>
      <c r="B133" s="146"/>
      <c r="C133" s="99"/>
      <c r="D133" s="37"/>
      <c r="E133" s="16"/>
      <c r="F133" s="16"/>
      <c r="G133" s="16"/>
      <c r="H133" s="16"/>
      <c r="I133" s="16"/>
      <c r="J133" s="16"/>
      <c r="K133" s="45"/>
      <c r="L133" s="63"/>
      <c r="M133" s="63"/>
      <c r="N133" s="43"/>
    </row>
    <row r="134" spans="1:14" ht="15.75" x14ac:dyDescent="0.25">
      <c r="A134" s="55" t="s">
        <v>203</v>
      </c>
      <c r="B134" s="146"/>
      <c r="C134" s="99"/>
      <c r="D134" s="37"/>
      <c r="E134" s="16"/>
      <c r="F134" s="16"/>
      <c r="G134" s="16"/>
      <c r="H134" s="16"/>
      <c r="I134" s="16"/>
      <c r="J134" s="16"/>
      <c r="K134" s="45"/>
      <c r="L134" s="63"/>
      <c r="M134" s="63"/>
      <c r="N134" s="43"/>
    </row>
    <row r="135" spans="1:14" ht="15.75" x14ac:dyDescent="0.25">
      <c r="A135" s="55" t="s">
        <v>11</v>
      </c>
      <c r="B135" s="145">
        <f>B136+B137</f>
        <v>0</v>
      </c>
      <c r="C135" s="99"/>
      <c r="D135" s="37"/>
      <c r="E135" s="16"/>
      <c r="F135" s="16"/>
      <c r="G135" s="16"/>
      <c r="H135" s="16"/>
      <c r="I135" s="16"/>
      <c r="J135" s="16"/>
      <c r="K135" s="45"/>
      <c r="L135" s="63"/>
      <c r="M135" s="63"/>
      <c r="N135" s="43"/>
    </row>
    <row r="136" spans="1:14" ht="15.75" x14ac:dyDescent="0.25">
      <c r="A136" s="55" t="s">
        <v>75</v>
      </c>
      <c r="B136" s="146"/>
      <c r="C136" s="99"/>
      <c r="D136" s="37"/>
      <c r="E136" s="16"/>
      <c r="F136" s="16"/>
      <c r="G136" s="16"/>
      <c r="H136" s="16"/>
      <c r="I136" s="16"/>
      <c r="J136" s="16"/>
      <c r="K136" s="45"/>
      <c r="L136" s="63"/>
      <c r="M136" s="63"/>
      <c r="N136" s="43"/>
    </row>
    <row r="137" spans="1:14" ht="15.75" x14ac:dyDescent="0.25">
      <c r="A137" s="55" t="s">
        <v>204</v>
      </c>
      <c r="B137" s="146"/>
      <c r="C137" s="99"/>
      <c r="D137" s="37"/>
      <c r="E137" s="16"/>
      <c r="F137" s="16"/>
      <c r="G137" s="16"/>
      <c r="H137" s="16"/>
      <c r="I137" s="16"/>
      <c r="J137" s="16"/>
      <c r="K137" s="45"/>
      <c r="L137" s="63"/>
      <c r="M137" s="63"/>
      <c r="N137" s="43"/>
    </row>
    <row r="138" spans="1:14" ht="15.75" x14ac:dyDescent="0.25">
      <c r="A138" s="55" t="s">
        <v>321</v>
      </c>
      <c r="B138" s="148"/>
      <c r="C138" s="99"/>
      <c r="D138" s="37"/>
      <c r="E138" s="16"/>
      <c r="F138" s="16"/>
      <c r="G138" s="16"/>
      <c r="H138" s="16"/>
      <c r="I138" s="16"/>
      <c r="J138" s="16"/>
      <c r="K138" s="45"/>
      <c r="L138" s="63"/>
      <c r="M138" s="63"/>
      <c r="N138" s="43"/>
    </row>
    <row r="139" spans="1:14" ht="15.75" x14ac:dyDescent="0.25">
      <c r="A139" s="55" t="s">
        <v>322</v>
      </c>
      <c r="B139" s="145">
        <f>B140+B143</f>
        <v>0</v>
      </c>
      <c r="C139" s="99"/>
      <c r="D139" s="37"/>
      <c r="E139" s="16"/>
      <c r="F139" s="16"/>
      <c r="G139" s="16"/>
      <c r="H139" s="16"/>
      <c r="I139" s="16"/>
      <c r="J139" s="16"/>
      <c r="K139" s="45"/>
      <c r="L139" s="63"/>
      <c r="M139" s="63"/>
      <c r="N139" s="43"/>
    </row>
    <row r="140" spans="1:14" ht="15.75" x14ac:dyDescent="0.25">
      <c r="A140" s="55" t="s">
        <v>150</v>
      </c>
      <c r="B140" s="145">
        <f>B141+B142</f>
        <v>0</v>
      </c>
      <c r="C140" s="99"/>
      <c r="D140" s="37"/>
      <c r="E140" s="16"/>
      <c r="F140" s="16"/>
      <c r="G140" s="16"/>
      <c r="H140" s="16"/>
      <c r="I140" s="16"/>
      <c r="J140" s="16"/>
      <c r="K140" s="45"/>
      <c r="L140" s="63"/>
      <c r="M140" s="63"/>
      <c r="N140" s="43"/>
    </row>
    <row r="141" spans="1:14" ht="15.75" x14ac:dyDescent="0.25">
      <c r="A141" s="55" t="s">
        <v>151</v>
      </c>
      <c r="B141" s="146"/>
      <c r="C141" s="99"/>
      <c r="D141" s="37"/>
      <c r="E141" s="16"/>
      <c r="F141" s="16"/>
      <c r="G141" s="16"/>
      <c r="H141" s="16"/>
      <c r="I141" s="16"/>
      <c r="J141" s="16"/>
      <c r="K141" s="45"/>
      <c r="L141" s="63"/>
      <c r="M141" s="63"/>
      <c r="N141" s="43"/>
    </row>
    <row r="142" spans="1:14" ht="15.75" x14ac:dyDescent="0.25">
      <c r="A142" s="55" t="s">
        <v>252</v>
      </c>
      <c r="B142" s="146"/>
      <c r="C142" s="99"/>
      <c r="D142" s="37"/>
      <c r="E142" s="16"/>
      <c r="F142" s="16"/>
      <c r="G142" s="16"/>
      <c r="H142" s="16"/>
      <c r="I142" s="16"/>
      <c r="J142" s="16"/>
      <c r="K142" s="45"/>
      <c r="L142" s="63"/>
      <c r="M142" s="63"/>
      <c r="N142" s="43"/>
    </row>
    <row r="143" spans="1:14" ht="15.75" x14ac:dyDescent="0.25">
      <c r="A143" s="55" t="s">
        <v>152</v>
      </c>
      <c r="B143" s="145">
        <f>B144+B145</f>
        <v>0</v>
      </c>
      <c r="C143" s="99"/>
      <c r="D143" s="37"/>
      <c r="E143" s="16"/>
      <c r="F143" s="16"/>
      <c r="G143" s="16"/>
      <c r="H143" s="16"/>
      <c r="I143" s="16"/>
      <c r="J143" s="16"/>
      <c r="K143" s="45"/>
      <c r="L143" s="63"/>
      <c r="M143" s="63"/>
      <c r="N143" s="43"/>
    </row>
    <row r="144" spans="1:14" ht="15.75" x14ac:dyDescent="0.25">
      <c r="A144" s="55" t="s">
        <v>153</v>
      </c>
      <c r="B144" s="146"/>
      <c r="C144" s="99"/>
      <c r="D144" s="37"/>
      <c r="E144" s="16"/>
      <c r="F144" s="16"/>
      <c r="G144" s="16"/>
      <c r="H144" s="16"/>
      <c r="I144" s="16"/>
      <c r="J144" s="16"/>
      <c r="K144" s="45"/>
      <c r="L144" s="63"/>
      <c r="M144" s="63"/>
      <c r="N144" s="43"/>
    </row>
    <row r="145" spans="1:14" ht="15.75" x14ac:dyDescent="0.25">
      <c r="A145" s="55" t="s">
        <v>205</v>
      </c>
      <c r="B145" s="146"/>
      <c r="C145" s="99"/>
      <c r="D145" s="37"/>
      <c r="E145" s="16"/>
      <c r="F145" s="16"/>
      <c r="G145" s="16"/>
      <c r="H145" s="16"/>
      <c r="I145" s="16"/>
      <c r="J145" s="16"/>
      <c r="K145" s="45"/>
      <c r="L145" s="63"/>
      <c r="M145" s="63"/>
      <c r="N145" s="43"/>
    </row>
    <row r="146" spans="1:14" ht="15.75" x14ac:dyDescent="0.25">
      <c r="A146" s="57" t="s">
        <v>76</v>
      </c>
      <c r="B146" s="145">
        <f>B147+B150</f>
        <v>0</v>
      </c>
      <c r="C146" s="99"/>
      <c r="D146" s="37"/>
      <c r="E146" s="16"/>
      <c r="F146" s="16"/>
      <c r="G146" s="16"/>
      <c r="H146" s="16"/>
      <c r="I146" s="16"/>
      <c r="J146" s="16"/>
      <c r="K146" s="45"/>
      <c r="L146" s="63"/>
      <c r="M146" s="63"/>
      <c r="N146" s="43"/>
    </row>
    <row r="147" spans="1:14" ht="15.75" x14ac:dyDescent="0.25">
      <c r="A147" s="2" t="s">
        <v>77</v>
      </c>
      <c r="B147" s="145">
        <f>B148+B149</f>
        <v>0</v>
      </c>
      <c r="C147" s="99"/>
      <c r="D147" s="37"/>
      <c r="E147" s="16"/>
      <c r="F147" s="16"/>
      <c r="G147" s="16"/>
      <c r="H147" s="16"/>
      <c r="I147" s="16"/>
      <c r="J147" s="16"/>
      <c r="K147" s="45"/>
      <c r="L147" s="63"/>
      <c r="M147" s="63"/>
      <c r="N147" s="43"/>
    </row>
    <row r="148" spans="1:14" ht="15.75" x14ac:dyDescent="0.25">
      <c r="A148" s="2" t="s">
        <v>78</v>
      </c>
      <c r="B148" s="146"/>
      <c r="C148" s="99"/>
      <c r="D148" s="37"/>
      <c r="E148" s="16"/>
      <c r="F148" s="16"/>
      <c r="G148" s="16"/>
      <c r="H148" s="16"/>
      <c r="I148" s="16"/>
      <c r="J148" s="16"/>
      <c r="K148" s="45"/>
      <c r="L148" s="63"/>
      <c r="M148" s="63"/>
      <c r="N148" s="43"/>
    </row>
    <row r="149" spans="1:14" ht="15.75" x14ac:dyDescent="0.25">
      <c r="A149" s="2" t="s">
        <v>206</v>
      </c>
      <c r="B149" s="146"/>
      <c r="C149" s="99"/>
      <c r="D149" s="37"/>
      <c r="E149" s="16"/>
      <c r="F149" s="16"/>
      <c r="G149" s="16"/>
      <c r="H149" s="16"/>
      <c r="I149" s="16"/>
      <c r="J149" s="16"/>
      <c r="K149" s="45"/>
      <c r="L149" s="63"/>
      <c r="M149" s="63"/>
      <c r="N149" s="43"/>
    </row>
    <row r="150" spans="1:14" ht="15.75" x14ac:dyDescent="0.25">
      <c r="A150" s="2" t="s">
        <v>79</v>
      </c>
      <c r="B150" s="145">
        <f>B151+B152</f>
        <v>0</v>
      </c>
      <c r="C150" s="99"/>
      <c r="D150" s="37"/>
      <c r="E150" s="16"/>
      <c r="F150" s="16"/>
      <c r="G150" s="16"/>
      <c r="H150" s="16"/>
      <c r="I150" s="16"/>
      <c r="J150" s="16"/>
      <c r="K150" s="45"/>
      <c r="L150" s="63"/>
      <c r="M150" s="63"/>
      <c r="N150" s="43"/>
    </row>
    <row r="151" spans="1:14" ht="15.75" x14ac:dyDescent="0.25">
      <c r="A151" s="2" t="s">
        <v>80</v>
      </c>
      <c r="B151" s="146"/>
      <c r="C151" s="99"/>
      <c r="D151" s="37"/>
      <c r="E151" s="16"/>
      <c r="F151" s="16"/>
      <c r="G151" s="16"/>
      <c r="H151" s="16"/>
      <c r="I151" s="16"/>
      <c r="J151" s="16"/>
      <c r="K151" s="45"/>
      <c r="L151" s="63"/>
      <c r="M151" s="63"/>
      <c r="N151" s="43"/>
    </row>
    <row r="152" spans="1:14" ht="15.75" x14ac:dyDescent="0.25">
      <c r="A152" s="55" t="s">
        <v>207</v>
      </c>
      <c r="B152" s="146"/>
      <c r="C152" s="99"/>
      <c r="D152" s="37"/>
      <c r="E152" s="16"/>
      <c r="F152" s="16"/>
      <c r="G152" s="16"/>
      <c r="H152" s="16"/>
      <c r="I152" s="16"/>
      <c r="J152" s="16"/>
      <c r="K152" s="45"/>
      <c r="L152" s="63"/>
      <c r="M152" s="63"/>
      <c r="N152" s="43"/>
    </row>
    <row r="153" spans="1:14" ht="15.75" x14ac:dyDescent="0.25">
      <c r="A153" s="57" t="s">
        <v>81</v>
      </c>
      <c r="B153" s="145">
        <f>B154+B155</f>
        <v>0</v>
      </c>
      <c r="C153" s="99"/>
      <c r="D153" s="37"/>
      <c r="E153" s="16"/>
      <c r="F153" s="16"/>
      <c r="G153" s="16"/>
      <c r="H153" s="16"/>
      <c r="I153" s="16"/>
      <c r="J153" s="16"/>
      <c r="K153" s="45"/>
      <c r="L153" s="63"/>
      <c r="M153" s="63"/>
      <c r="N153" s="43"/>
    </row>
    <row r="154" spans="1:14" ht="15.75" x14ac:dyDescent="0.25">
      <c r="A154" s="55" t="s">
        <v>82</v>
      </c>
      <c r="B154" s="146"/>
      <c r="C154" s="99"/>
      <c r="D154" s="37"/>
      <c r="E154" s="16"/>
      <c r="F154" s="16"/>
      <c r="G154" s="16"/>
      <c r="H154" s="16"/>
      <c r="I154" s="16"/>
      <c r="J154" s="16"/>
      <c r="K154" s="45"/>
      <c r="L154" s="63"/>
      <c r="M154" s="63"/>
      <c r="N154" s="43"/>
    </row>
    <row r="155" spans="1:14" ht="15.75" x14ac:dyDescent="0.25">
      <c r="A155" s="55" t="s">
        <v>208</v>
      </c>
      <c r="B155" s="146"/>
      <c r="C155" s="99"/>
      <c r="D155" s="37"/>
      <c r="E155" s="16"/>
      <c r="F155" s="16"/>
      <c r="G155" s="16"/>
      <c r="H155" s="16"/>
      <c r="I155" s="16"/>
      <c r="J155" s="16"/>
      <c r="K155" s="45"/>
      <c r="L155" s="63"/>
      <c r="M155" s="63"/>
      <c r="N155" s="43"/>
    </row>
    <row r="156" spans="1:14" ht="15.75" x14ac:dyDescent="0.25">
      <c r="A156" s="57" t="s">
        <v>12</v>
      </c>
      <c r="B156" s="145">
        <f>B157</f>
        <v>0</v>
      </c>
      <c r="C156" s="99"/>
      <c r="D156" s="37"/>
      <c r="E156" s="16"/>
      <c r="F156" s="16"/>
      <c r="G156" s="16"/>
      <c r="H156" s="16"/>
      <c r="I156" s="16"/>
      <c r="J156" s="16"/>
      <c r="K156" s="45"/>
      <c r="L156" s="63"/>
      <c r="M156" s="63"/>
      <c r="N156" s="43"/>
    </row>
    <row r="157" spans="1:14" ht="15.75" x14ac:dyDescent="0.25">
      <c r="A157" s="55" t="s">
        <v>83</v>
      </c>
      <c r="B157" s="145">
        <f>B158+B159</f>
        <v>0</v>
      </c>
      <c r="C157" s="99"/>
      <c r="D157" s="37"/>
      <c r="E157" s="16"/>
      <c r="F157" s="16"/>
      <c r="G157" s="16"/>
      <c r="H157" s="16"/>
      <c r="I157" s="16"/>
      <c r="J157" s="16"/>
      <c r="K157" s="45"/>
      <c r="L157" s="63"/>
      <c r="M157" s="63"/>
      <c r="N157" s="43"/>
    </row>
    <row r="158" spans="1:14" ht="15.75" x14ac:dyDescent="0.25">
      <c r="A158" s="2" t="s">
        <v>84</v>
      </c>
      <c r="B158" s="146"/>
      <c r="C158" s="99"/>
      <c r="D158" s="37"/>
      <c r="E158" s="16"/>
      <c r="F158" s="16"/>
      <c r="G158" s="16"/>
      <c r="H158" s="16"/>
      <c r="I158" s="16"/>
      <c r="J158" s="16"/>
      <c r="K158" s="45"/>
      <c r="L158" s="63"/>
      <c r="M158" s="63"/>
      <c r="N158" s="43"/>
    </row>
    <row r="159" spans="1:14" ht="15.75" x14ac:dyDescent="0.25">
      <c r="A159" s="2" t="s">
        <v>209</v>
      </c>
      <c r="B159" s="146"/>
      <c r="C159" s="99"/>
      <c r="D159" s="37"/>
      <c r="E159" s="16"/>
      <c r="F159" s="16"/>
      <c r="G159" s="16"/>
      <c r="H159" s="16"/>
      <c r="I159" s="16"/>
      <c r="J159" s="16"/>
      <c r="K159" s="45"/>
      <c r="L159" s="63"/>
      <c r="M159" s="63"/>
      <c r="N159" s="43"/>
    </row>
    <row r="160" spans="1:14" ht="15.75" x14ac:dyDescent="0.25">
      <c r="A160" s="57" t="s">
        <v>233</v>
      </c>
      <c r="B160" s="145">
        <f>B161+B162</f>
        <v>0</v>
      </c>
      <c r="C160" s="99"/>
      <c r="D160" s="37"/>
      <c r="E160" s="16"/>
      <c r="F160" s="16"/>
      <c r="G160" s="16"/>
      <c r="H160" s="16"/>
      <c r="I160" s="16"/>
      <c r="J160" s="16"/>
      <c r="K160" s="45"/>
      <c r="L160" s="63"/>
      <c r="M160" s="63"/>
      <c r="N160" s="43"/>
    </row>
    <row r="161" spans="1:14" ht="15.75" x14ac:dyDescent="0.25">
      <c r="A161" s="55" t="s">
        <v>281</v>
      </c>
      <c r="B161" s="146"/>
      <c r="C161" s="99"/>
      <c r="D161" s="37"/>
      <c r="E161" s="16"/>
      <c r="F161" s="16"/>
      <c r="G161" s="16"/>
      <c r="H161" s="16"/>
      <c r="I161" s="16"/>
      <c r="J161" s="16"/>
      <c r="K161" s="45"/>
      <c r="L161" s="63"/>
      <c r="M161" s="63"/>
      <c r="N161" s="43"/>
    </row>
    <row r="162" spans="1:14" ht="15.75" x14ac:dyDescent="0.25">
      <c r="A162" s="55" t="s">
        <v>282</v>
      </c>
      <c r="B162" s="146"/>
      <c r="C162" s="99"/>
      <c r="D162" s="37"/>
      <c r="E162" s="16"/>
      <c r="F162" s="16"/>
      <c r="G162" s="16"/>
      <c r="H162" s="16"/>
      <c r="I162" s="16"/>
      <c r="J162" s="16"/>
      <c r="K162" s="45"/>
      <c r="L162" s="63"/>
      <c r="M162" s="63"/>
      <c r="N162" s="43"/>
    </row>
    <row r="163" spans="1:14" ht="15.75" x14ac:dyDescent="0.25">
      <c r="A163" s="57" t="s">
        <v>13</v>
      </c>
      <c r="B163" s="145">
        <f>B164+B165</f>
        <v>0</v>
      </c>
      <c r="C163" s="99"/>
      <c r="D163" s="37"/>
      <c r="E163" s="16"/>
      <c r="F163" s="16"/>
      <c r="G163" s="16"/>
      <c r="H163" s="16"/>
      <c r="I163" s="16"/>
      <c r="J163" s="16"/>
      <c r="K163" s="45"/>
      <c r="L163" s="63"/>
      <c r="M163" s="63"/>
      <c r="N163" s="43"/>
    </row>
    <row r="164" spans="1:14" ht="15.75" x14ac:dyDescent="0.25">
      <c r="A164" s="55" t="s">
        <v>85</v>
      </c>
      <c r="B164" s="146"/>
      <c r="C164" s="99"/>
      <c r="D164" s="37"/>
      <c r="E164" s="16"/>
      <c r="F164" s="16"/>
      <c r="G164" s="16"/>
      <c r="H164" s="16"/>
      <c r="I164" s="16"/>
      <c r="J164" s="16"/>
      <c r="K164" s="45"/>
      <c r="L164" s="63"/>
      <c r="M164" s="63"/>
      <c r="N164" s="43"/>
    </row>
    <row r="165" spans="1:14" ht="15.75" x14ac:dyDescent="0.25">
      <c r="A165" s="55" t="s">
        <v>210</v>
      </c>
      <c r="B165" s="146"/>
      <c r="C165" s="99"/>
      <c r="D165" s="37"/>
      <c r="E165" s="16"/>
      <c r="F165" s="16"/>
      <c r="G165" s="16"/>
      <c r="H165" s="16"/>
      <c r="I165" s="16"/>
      <c r="J165" s="16"/>
      <c r="K165" s="45"/>
      <c r="L165" s="63"/>
      <c r="M165" s="63"/>
      <c r="N165" s="43"/>
    </row>
    <row r="166" spans="1:14" ht="15.75" x14ac:dyDescent="0.25">
      <c r="A166" s="57" t="s">
        <v>14</v>
      </c>
      <c r="B166" s="145">
        <f>B167+B168</f>
        <v>0</v>
      </c>
      <c r="C166" s="99"/>
      <c r="D166" s="37"/>
      <c r="E166" s="16"/>
      <c r="F166" s="16"/>
      <c r="G166" s="16"/>
      <c r="H166" s="16"/>
      <c r="I166" s="16"/>
      <c r="J166" s="16"/>
      <c r="K166" s="45"/>
      <c r="L166" s="63"/>
      <c r="M166" s="63"/>
      <c r="N166" s="43"/>
    </row>
    <row r="167" spans="1:14" ht="15.75" x14ac:dyDescent="0.25">
      <c r="A167" s="55" t="s">
        <v>253</v>
      </c>
      <c r="B167" s="146"/>
      <c r="C167" s="99"/>
      <c r="D167" s="37"/>
      <c r="E167" s="16"/>
      <c r="F167" s="16"/>
      <c r="G167" s="16"/>
      <c r="H167" s="16"/>
      <c r="I167" s="16"/>
      <c r="J167" s="16"/>
      <c r="K167" s="45"/>
      <c r="L167" s="63"/>
      <c r="M167" s="63"/>
      <c r="N167" s="43"/>
    </row>
    <row r="168" spans="1:14" ht="15.75" x14ac:dyDescent="0.25">
      <c r="A168" s="55" t="s">
        <v>254</v>
      </c>
      <c r="B168" s="146"/>
      <c r="C168" s="99"/>
      <c r="D168" s="37"/>
      <c r="E168" s="16"/>
      <c r="F168" s="16"/>
      <c r="G168" s="16"/>
      <c r="H168" s="16"/>
      <c r="I168" s="16"/>
      <c r="J168" s="16"/>
      <c r="K168" s="45"/>
      <c r="L168" s="63"/>
      <c r="M168" s="63"/>
      <c r="N168" s="43"/>
    </row>
    <row r="169" spans="1:14" ht="15.75" x14ac:dyDescent="0.25">
      <c r="A169" s="57" t="s">
        <v>323</v>
      </c>
      <c r="B169" s="145">
        <f>B170+B171</f>
        <v>0</v>
      </c>
      <c r="C169" s="99"/>
      <c r="D169" s="37"/>
      <c r="E169" s="16"/>
      <c r="F169" s="16"/>
      <c r="G169" s="16"/>
      <c r="H169" s="16"/>
      <c r="I169" s="16"/>
      <c r="J169" s="16"/>
      <c r="K169" s="45"/>
      <c r="L169" s="63"/>
      <c r="M169" s="63"/>
      <c r="N169" s="43"/>
    </row>
    <row r="170" spans="1:14" ht="15.75" x14ac:dyDescent="0.25">
      <c r="A170" s="55" t="s">
        <v>255</v>
      </c>
      <c r="B170" s="146"/>
      <c r="C170" s="99"/>
      <c r="D170" s="37"/>
      <c r="E170" s="16"/>
      <c r="F170" s="16"/>
      <c r="G170" s="16"/>
      <c r="H170" s="16"/>
      <c r="I170" s="16"/>
      <c r="J170" s="16"/>
      <c r="K170" s="45"/>
      <c r="L170" s="63"/>
      <c r="M170" s="63"/>
      <c r="N170" s="43"/>
    </row>
    <row r="171" spans="1:14" ht="15.75" x14ac:dyDescent="0.25">
      <c r="A171" s="55" t="s">
        <v>256</v>
      </c>
      <c r="B171" s="146"/>
      <c r="C171" s="99"/>
      <c r="D171" s="37"/>
      <c r="E171" s="16"/>
      <c r="F171" s="16"/>
      <c r="G171" s="16"/>
      <c r="H171" s="16"/>
      <c r="I171" s="16"/>
      <c r="J171" s="16"/>
      <c r="K171" s="45"/>
      <c r="L171" s="63"/>
      <c r="M171" s="63"/>
      <c r="N171" s="43"/>
    </row>
    <row r="172" spans="1:14" ht="15.75" x14ac:dyDescent="0.25">
      <c r="A172" s="57" t="s">
        <v>234</v>
      </c>
      <c r="B172" s="145">
        <f>B174+B173</f>
        <v>0</v>
      </c>
      <c r="C172" s="99"/>
      <c r="D172" s="37"/>
      <c r="E172" s="16"/>
      <c r="F172" s="16"/>
      <c r="G172" s="16"/>
      <c r="H172" s="16"/>
      <c r="I172" s="16"/>
      <c r="J172" s="16"/>
      <c r="K172" s="45"/>
      <c r="L172" s="63"/>
      <c r="M172" s="63"/>
      <c r="N172" s="43"/>
    </row>
    <row r="173" spans="1:14" ht="15.75" x14ac:dyDescent="0.25">
      <c r="A173" s="55" t="s">
        <v>235</v>
      </c>
      <c r="B173" s="147"/>
      <c r="C173" s="99"/>
      <c r="D173" s="37"/>
      <c r="E173" s="16"/>
      <c r="F173" s="16"/>
      <c r="G173" s="16"/>
      <c r="H173" s="16"/>
      <c r="I173" s="16"/>
      <c r="J173" s="16"/>
      <c r="K173" s="45"/>
      <c r="L173" s="63"/>
      <c r="M173" s="63"/>
      <c r="N173" s="43"/>
    </row>
    <row r="174" spans="1:14" ht="15.75" x14ac:dyDescent="0.25">
      <c r="A174" s="55" t="s">
        <v>236</v>
      </c>
      <c r="B174" s="146"/>
      <c r="C174" s="99"/>
      <c r="D174" s="37"/>
      <c r="E174" s="16"/>
      <c r="F174" s="16"/>
      <c r="G174" s="16"/>
      <c r="H174" s="16"/>
      <c r="I174" s="16"/>
      <c r="J174" s="16"/>
      <c r="K174" s="45"/>
      <c r="L174" s="63"/>
      <c r="M174" s="63"/>
      <c r="N174" s="43"/>
    </row>
    <row r="175" spans="1:14" ht="15.75" x14ac:dyDescent="0.25">
      <c r="A175" s="62" t="s">
        <v>86</v>
      </c>
      <c r="B175" s="148"/>
      <c r="C175" s="99"/>
      <c r="D175" s="37"/>
      <c r="E175" s="16"/>
      <c r="F175" s="16"/>
      <c r="G175" s="16"/>
      <c r="H175" s="16"/>
      <c r="I175" s="16"/>
      <c r="J175" s="16"/>
      <c r="K175" s="45"/>
      <c r="L175" s="63"/>
      <c r="M175" s="63"/>
      <c r="N175" s="43"/>
    </row>
    <row r="176" spans="1:14" ht="15.75" x14ac:dyDescent="0.25">
      <c r="A176" s="81" t="s">
        <v>87</v>
      </c>
      <c r="B176" s="145">
        <f>B178+B177</f>
        <v>0</v>
      </c>
      <c r="C176" s="99"/>
      <c r="D176" s="37"/>
      <c r="E176" s="16"/>
      <c r="F176" s="16"/>
      <c r="G176" s="16"/>
      <c r="H176" s="16"/>
      <c r="I176" s="16"/>
      <c r="J176" s="16"/>
      <c r="K176" s="45"/>
      <c r="L176" s="63"/>
      <c r="M176" s="63"/>
      <c r="N176" s="43"/>
    </row>
    <row r="177" spans="1:14" ht="15.75" x14ac:dyDescent="0.25">
      <c r="A177" s="55" t="s">
        <v>257</v>
      </c>
      <c r="B177" s="146"/>
      <c r="C177" s="99"/>
      <c r="D177" s="37"/>
      <c r="E177" s="16"/>
      <c r="F177" s="16"/>
      <c r="G177" s="16"/>
      <c r="H177" s="16"/>
      <c r="I177" s="16"/>
      <c r="J177" s="16"/>
      <c r="K177" s="45"/>
      <c r="L177" s="63"/>
      <c r="M177" s="63"/>
      <c r="N177" s="43"/>
    </row>
    <row r="178" spans="1:14" ht="15.75" x14ac:dyDescent="0.25">
      <c r="A178" s="55" t="s">
        <v>258</v>
      </c>
      <c r="B178" s="146"/>
      <c r="C178" s="99"/>
      <c r="D178" s="37"/>
      <c r="E178" s="16"/>
      <c r="F178" s="16"/>
      <c r="G178" s="16"/>
      <c r="H178" s="16"/>
      <c r="I178" s="16"/>
      <c r="J178" s="16"/>
      <c r="K178" s="45"/>
      <c r="L178" s="63"/>
      <c r="M178" s="63"/>
      <c r="N178" s="43"/>
    </row>
    <row r="179" spans="1:14" ht="15.75" x14ac:dyDescent="0.25">
      <c r="A179" s="62" t="s">
        <v>88</v>
      </c>
      <c r="B179" s="146"/>
      <c r="C179" s="99"/>
      <c r="D179" s="37"/>
      <c r="E179" s="16"/>
      <c r="F179" s="16"/>
      <c r="G179" s="16"/>
      <c r="H179" s="16"/>
      <c r="I179" s="16"/>
      <c r="J179" s="16"/>
      <c r="K179" s="45"/>
      <c r="L179" s="63"/>
      <c r="M179" s="63"/>
      <c r="N179" s="43"/>
    </row>
    <row r="180" spans="1:14" ht="15.75" x14ac:dyDescent="0.25">
      <c r="A180" s="81" t="s">
        <v>15</v>
      </c>
      <c r="B180" s="145">
        <f>B181+B182</f>
        <v>0</v>
      </c>
      <c r="C180" s="99"/>
      <c r="D180" s="37"/>
      <c r="E180" s="16"/>
      <c r="F180" s="16"/>
      <c r="G180" s="16"/>
      <c r="H180" s="16"/>
      <c r="I180" s="16"/>
      <c r="J180" s="16"/>
      <c r="K180" s="45"/>
      <c r="L180" s="63"/>
      <c r="M180" s="63"/>
      <c r="N180" s="43"/>
    </row>
    <row r="181" spans="1:14" ht="15.75" x14ac:dyDescent="0.25">
      <c r="A181" s="55" t="s">
        <v>16</v>
      </c>
      <c r="B181" s="146"/>
      <c r="C181" s="99"/>
      <c r="D181" s="37"/>
      <c r="E181" s="16"/>
      <c r="F181" s="16"/>
      <c r="G181" s="16"/>
      <c r="H181" s="16"/>
      <c r="I181" s="16"/>
      <c r="J181" s="16"/>
      <c r="K181" s="45"/>
      <c r="L181" s="63"/>
      <c r="M181" s="63"/>
      <c r="N181" s="43"/>
    </row>
    <row r="182" spans="1:14" ht="15.75" x14ac:dyDescent="0.25">
      <c r="A182" s="55" t="s">
        <v>211</v>
      </c>
      <c r="B182" s="146"/>
      <c r="C182" s="99"/>
      <c r="D182" s="37"/>
      <c r="E182" s="16"/>
      <c r="F182" s="16"/>
      <c r="G182" s="16"/>
      <c r="H182" s="16"/>
      <c r="I182" s="16"/>
      <c r="J182" s="16"/>
      <c r="K182" s="45"/>
      <c r="L182" s="63"/>
      <c r="M182" s="63"/>
      <c r="N182" s="43"/>
    </row>
    <row r="183" spans="1:14" ht="15.75" x14ac:dyDescent="0.25">
      <c r="A183" s="62" t="s">
        <v>124</v>
      </c>
      <c r="B183" s="146"/>
      <c r="C183" s="99"/>
      <c r="D183" s="37"/>
      <c r="E183" s="16"/>
      <c r="F183" s="16"/>
      <c r="G183" s="16"/>
      <c r="H183" s="16"/>
      <c r="I183" s="16"/>
      <c r="J183" s="16"/>
      <c r="K183" s="45"/>
      <c r="L183" s="63"/>
      <c r="M183" s="63"/>
      <c r="N183" s="43"/>
    </row>
    <row r="184" spans="1:14" ht="15.75" x14ac:dyDescent="0.25">
      <c r="A184" s="62" t="s">
        <v>89</v>
      </c>
      <c r="B184" s="146"/>
      <c r="C184" s="99"/>
      <c r="D184" s="37"/>
      <c r="E184" s="16"/>
      <c r="F184" s="16"/>
      <c r="G184" s="16"/>
      <c r="H184" s="16"/>
      <c r="I184" s="16"/>
      <c r="J184" s="16"/>
      <c r="K184" s="45"/>
      <c r="L184" s="63"/>
      <c r="M184" s="63"/>
      <c r="N184" s="43"/>
    </row>
    <row r="185" spans="1:14" ht="15.75" x14ac:dyDescent="0.25">
      <c r="A185" s="62" t="s">
        <v>285</v>
      </c>
      <c r="B185" s="159"/>
      <c r="C185" s="99"/>
      <c r="D185" s="37"/>
      <c r="E185" s="16"/>
      <c r="F185" s="16"/>
      <c r="G185" s="16"/>
      <c r="H185" s="16"/>
      <c r="I185" s="16"/>
      <c r="J185" s="16"/>
      <c r="K185" s="45"/>
      <c r="L185" s="63"/>
      <c r="M185" s="63"/>
      <c r="N185" s="43"/>
    </row>
    <row r="186" spans="1:14" ht="15.75" x14ac:dyDescent="0.25">
      <c r="A186" s="81" t="s">
        <v>434</v>
      </c>
      <c r="B186" s="145">
        <f>B187</f>
        <v>0</v>
      </c>
      <c r="C186" s="99"/>
      <c r="D186" s="37"/>
      <c r="E186" s="16"/>
      <c r="F186" s="16"/>
      <c r="G186" s="16"/>
      <c r="H186" s="16"/>
      <c r="I186" s="16"/>
      <c r="J186" s="16"/>
      <c r="K186" s="45"/>
      <c r="L186" s="63"/>
      <c r="M186" s="63"/>
      <c r="N186" s="43"/>
    </row>
    <row r="187" spans="1:14" ht="15.75" x14ac:dyDescent="0.25">
      <c r="A187" s="55" t="s">
        <v>435</v>
      </c>
      <c r="B187" s="146"/>
      <c r="C187" s="99"/>
      <c r="D187" s="37"/>
      <c r="E187" s="16"/>
      <c r="F187" s="16"/>
      <c r="G187" s="16"/>
      <c r="H187" s="16"/>
      <c r="I187" s="16"/>
      <c r="J187" s="16"/>
      <c r="K187" s="45"/>
      <c r="L187" s="63"/>
      <c r="M187" s="63"/>
      <c r="N187" s="43"/>
    </row>
    <row r="188" spans="1:14" ht="15.75" x14ac:dyDescent="0.25">
      <c r="A188" s="81" t="s">
        <v>436</v>
      </c>
      <c r="B188" s="145">
        <f>SUM(B189:B191)</f>
        <v>0</v>
      </c>
      <c r="C188" s="99"/>
      <c r="D188" s="37"/>
      <c r="E188" s="16"/>
      <c r="F188" s="16"/>
      <c r="G188" s="16"/>
      <c r="H188" s="16"/>
      <c r="I188" s="16"/>
      <c r="J188" s="16"/>
      <c r="K188" s="45"/>
      <c r="L188" s="63"/>
      <c r="M188" s="63"/>
      <c r="N188" s="43"/>
    </row>
    <row r="189" spans="1:14" ht="15.75" x14ac:dyDescent="0.25">
      <c r="A189" s="55" t="s">
        <v>324</v>
      </c>
      <c r="B189" s="146"/>
      <c r="C189" s="99"/>
      <c r="D189" s="37"/>
      <c r="E189" s="16"/>
      <c r="F189" s="16"/>
      <c r="G189" s="16"/>
      <c r="H189" s="16"/>
      <c r="I189" s="16"/>
      <c r="J189" s="16"/>
      <c r="K189" s="45"/>
      <c r="L189" s="63"/>
      <c r="M189" s="63"/>
      <c r="N189" s="43"/>
    </row>
    <row r="190" spans="1:14" ht="15.75" x14ac:dyDescent="0.25">
      <c r="A190" s="55" t="s">
        <v>437</v>
      </c>
      <c r="B190" s="146"/>
      <c r="C190" s="99"/>
      <c r="D190" s="37"/>
      <c r="E190" s="16"/>
      <c r="F190" s="16"/>
      <c r="G190" s="16"/>
      <c r="H190" s="16"/>
      <c r="I190" s="16"/>
      <c r="J190" s="16"/>
      <c r="K190" s="45"/>
      <c r="L190" s="63"/>
      <c r="M190" s="63"/>
      <c r="N190" s="43"/>
    </row>
    <row r="191" spans="1:14" ht="15.75" x14ac:dyDescent="0.25">
      <c r="A191" s="55" t="s">
        <v>438</v>
      </c>
      <c r="B191" s="146"/>
      <c r="C191" s="99"/>
      <c r="D191" s="37"/>
      <c r="E191" s="16"/>
      <c r="F191" s="16"/>
      <c r="G191" s="16"/>
      <c r="H191" s="16"/>
      <c r="I191" s="16"/>
      <c r="J191" s="16"/>
      <c r="K191" s="45"/>
      <c r="L191" s="63"/>
      <c r="M191" s="63"/>
      <c r="N191" s="43"/>
    </row>
    <row r="192" spans="1:14" ht="15.75" x14ac:dyDescent="0.25">
      <c r="A192" s="81" t="s">
        <v>439</v>
      </c>
      <c r="B192" s="145">
        <f>SUM(B193:B195)</f>
        <v>0</v>
      </c>
      <c r="C192" s="99"/>
      <c r="D192" s="37"/>
      <c r="E192" s="16"/>
      <c r="F192" s="16"/>
      <c r="G192" s="16"/>
      <c r="H192" s="16"/>
      <c r="I192" s="16"/>
      <c r="J192" s="16"/>
      <c r="K192" s="45"/>
      <c r="L192" s="63"/>
      <c r="M192" s="63"/>
      <c r="N192" s="43"/>
    </row>
    <row r="193" spans="1:14" ht="15.75" x14ac:dyDescent="0.25">
      <c r="A193" s="55" t="s">
        <v>440</v>
      </c>
      <c r="B193" s="146"/>
      <c r="C193" s="99"/>
      <c r="D193" s="37"/>
      <c r="E193" s="16"/>
      <c r="F193" s="16"/>
      <c r="G193" s="16"/>
      <c r="H193" s="16"/>
      <c r="I193" s="16"/>
      <c r="J193" s="16"/>
      <c r="K193" s="45"/>
      <c r="L193" s="63"/>
      <c r="M193" s="63"/>
      <c r="N193" s="43"/>
    </row>
    <row r="194" spans="1:14" ht="15.75" x14ac:dyDescent="0.25">
      <c r="A194" s="55" t="s">
        <v>441</v>
      </c>
      <c r="B194" s="146"/>
      <c r="C194" s="99"/>
      <c r="D194" s="37"/>
      <c r="E194" s="16"/>
      <c r="F194" s="16"/>
      <c r="G194" s="16"/>
      <c r="H194" s="16"/>
      <c r="I194" s="16"/>
      <c r="J194" s="16"/>
      <c r="K194" s="45"/>
      <c r="L194" s="63"/>
      <c r="M194" s="63"/>
      <c r="N194" s="43"/>
    </row>
    <row r="195" spans="1:14" ht="15.75" x14ac:dyDescent="0.25">
      <c r="A195" s="55" t="s">
        <v>442</v>
      </c>
      <c r="B195" s="146"/>
      <c r="C195" s="99"/>
      <c r="D195" s="37"/>
      <c r="E195" s="16"/>
      <c r="F195" s="16"/>
      <c r="G195" s="16"/>
      <c r="H195" s="16"/>
      <c r="I195" s="16"/>
      <c r="J195" s="16"/>
      <c r="K195" s="45"/>
      <c r="L195" s="63"/>
      <c r="M195" s="63"/>
      <c r="N195" s="43"/>
    </row>
    <row r="196" spans="1:14" ht="15.75" x14ac:dyDescent="0.25">
      <c r="A196" s="62" t="s">
        <v>90</v>
      </c>
      <c r="B196" s="145"/>
      <c r="C196" s="99"/>
      <c r="D196" s="37"/>
      <c r="E196" s="16"/>
      <c r="F196" s="16"/>
      <c r="G196" s="16"/>
      <c r="H196" s="16"/>
      <c r="I196" s="16"/>
      <c r="J196" s="16"/>
      <c r="K196" s="45"/>
      <c r="L196" s="63"/>
      <c r="M196" s="63"/>
      <c r="N196" s="43"/>
    </row>
    <row r="197" spans="1:14" ht="15.75" x14ac:dyDescent="0.25">
      <c r="A197" s="57" t="s">
        <v>91</v>
      </c>
      <c r="B197" s="145">
        <f>B198+B199+B200</f>
        <v>0</v>
      </c>
      <c r="C197" s="99"/>
      <c r="D197" s="37"/>
      <c r="E197" s="16"/>
      <c r="F197" s="16"/>
      <c r="G197" s="16"/>
      <c r="H197" s="16"/>
      <c r="I197" s="16"/>
      <c r="J197" s="16"/>
      <c r="K197" s="45"/>
      <c r="L197" s="63"/>
      <c r="M197" s="63"/>
      <c r="N197" s="43"/>
    </row>
    <row r="198" spans="1:14" ht="15.75" x14ac:dyDescent="0.25">
      <c r="A198" s="55" t="s">
        <v>92</v>
      </c>
      <c r="B198" s="146"/>
      <c r="C198" s="99"/>
      <c r="D198" s="37"/>
      <c r="E198" s="16"/>
      <c r="F198" s="16"/>
      <c r="G198" s="16"/>
      <c r="H198" s="16"/>
      <c r="I198" s="16"/>
      <c r="J198" s="16"/>
      <c r="K198" s="45"/>
      <c r="L198" s="63"/>
      <c r="M198" s="63"/>
      <c r="N198" s="43"/>
    </row>
    <row r="199" spans="1:14" ht="15.75" x14ac:dyDescent="0.25">
      <c r="A199" s="55" t="s">
        <v>93</v>
      </c>
      <c r="B199" s="146"/>
      <c r="C199" s="99"/>
      <c r="D199" s="37"/>
      <c r="E199" s="16"/>
      <c r="F199" s="16"/>
      <c r="G199" s="16"/>
      <c r="H199" s="16"/>
      <c r="I199" s="16"/>
      <c r="J199" s="16"/>
      <c r="K199" s="45"/>
      <c r="L199" s="63"/>
      <c r="M199" s="63"/>
      <c r="N199" s="43"/>
    </row>
    <row r="200" spans="1:14" ht="15.75" x14ac:dyDescent="0.25">
      <c r="A200" s="55" t="s">
        <v>94</v>
      </c>
      <c r="B200" s="146"/>
      <c r="C200" s="99"/>
      <c r="D200" s="37"/>
      <c r="E200" s="16"/>
      <c r="F200" s="16"/>
      <c r="G200" s="16"/>
      <c r="H200" s="16"/>
      <c r="I200" s="16"/>
      <c r="J200" s="16"/>
      <c r="K200" s="45"/>
      <c r="L200" s="63"/>
      <c r="M200" s="63"/>
      <c r="N200" s="43"/>
    </row>
    <row r="201" spans="1:14" ht="15.75" x14ac:dyDescent="0.25">
      <c r="A201" s="57" t="s">
        <v>95</v>
      </c>
      <c r="B201" s="145">
        <f>B202+B203+B204+B205</f>
        <v>0</v>
      </c>
      <c r="C201" s="99"/>
      <c r="D201" s="37"/>
      <c r="E201" s="16"/>
      <c r="F201" s="16"/>
      <c r="G201" s="16"/>
      <c r="H201" s="16"/>
      <c r="I201" s="16"/>
      <c r="J201" s="16"/>
      <c r="K201" s="45"/>
      <c r="L201" s="63"/>
      <c r="M201" s="63"/>
      <c r="N201" s="43"/>
    </row>
    <row r="202" spans="1:14" ht="15.75" x14ac:dyDescent="0.25">
      <c r="A202" s="55" t="s">
        <v>96</v>
      </c>
      <c r="B202" s="146"/>
      <c r="C202" s="99"/>
      <c r="D202" s="37"/>
      <c r="E202" s="16"/>
      <c r="F202" s="16"/>
      <c r="G202" s="16"/>
      <c r="H202" s="16"/>
      <c r="I202" s="16"/>
      <c r="J202" s="16"/>
      <c r="K202" s="45"/>
      <c r="L202" s="63"/>
      <c r="M202" s="63"/>
      <c r="N202" s="43"/>
    </row>
    <row r="203" spans="1:14" ht="15.75" x14ac:dyDescent="0.25">
      <c r="A203" s="55" t="s">
        <v>98</v>
      </c>
      <c r="B203" s="146"/>
      <c r="C203" s="99"/>
      <c r="D203" s="37"/>
      <c r="E203" s="16"/>
      <c r="F203" s="16"/>
      <c r="G203" s="16"/>
      <c r="H203" s="16"/>
      <c r="I203" s="16"/>
      <c r="J203" s="16"/>
      <c r="K203" s="45"/>
      <c r="L203" s="63"/>
      <c r="M203" s="63"/>
      <c r="N203" s="43"/>
    </row>
    <row r="204" spans="1:14" ht="15.75" customHeight="1" x14ac:dyDescent="0.25">
      <c r="A204" s="55" t="s">
        <v>97</v>
      </c>
      <c r="B204" s="146"/>
      <c r="C204" s="99"/>
      <c r="D204" s="37"/>
      <c r="E204" s="16"/>
      <c r="F204" s="16"/>
      <c r="G204" s="16"/>
      <c r="H204" s="16"/>
      <c r="I204" s="16"/>
      <c r="J204" s="16"/>
      <c r="K204" s="45"/>
      <c r="L204" s="63"/>
      <c r="M204" s="63"/>
      <c r="N204" s="43"/>
    </row>
    <row r="205" spans="1:14" ht="12.75" customHeight="1" x14ac:dyDescent="0.25">
      <c r="A205" s="55" t="s">
        <v>99</v>
      </c>
      <c r="B205" s="146"/>
      <c r="C205" s="99"/>
      <c r="D205" s="37"/>
      <c r="E205" s="16"/>
      <c r="F205" s="16"/>
      <c r="G205" s="16"/>
      <c r="H205" s="16"/>
      <c r="I205" s="16"/>
      <c r="J205" s="16"/>
      <c r="K205" s="45"/>
      <c r="L205" s="63"/>
      <c r="M205" s="63"/>
      <c r="N205" s="43"/>
    </row>
    <row r="206" spans="1:14" ht="15.75" x14ac:dyDescent="0.25">
      <c r="A206" s="57" t="s">
        <v>100</v>
      </c>
      <c r="B206" s="145">
        <f>B207+B208+B209+B210</f>
        <v>0</v>
      </c>
      <c r="C206" s="99"/>
      <c r="D206" s="37"/>
      <c r="E206" s="16"/>
      <c r="F206" s="16"/>
      <c r="G206" s="16"/>
      <c r="H206" s="16"/>
      <c r="I206" s="16"/>
      <c r="J206" s="16"/>
      <c r="K206" s="45"/>
      <c r="L206" s="63"/>
      <c r="M206" s="63"/>
      <c r="N206" s="43"/>
    </row>
    <row r="207" spans="1:14" ht="15.75" x14ac:dyDescent="0.25">
      <c r="A207" s="55" t="s">
        <v>101</v>
      </c>
      <c r="B207" s="146"/>
      <c r="C207" s="99"/>
      <c r="D207" s="37"/>
      <c r="E207" s="16"/>
      <c r="F207" s="16"/>
      <c r="G207" s="16"/>
      <c r="H207" s="16"/>
      <c r="I207" s="16"/>
      <c r="J207" s="16"/>
      <c r="K207" s="45"/>
      <c r="L207" s="63"/>
      <c r="M207" s="63"/>
      <c r="N207" s="43"/>
    </row>
    <row r="208" spans="1:14" ht="18.75" customHeight="1" x14ac:dyDescent="0.25">
      <c r="A208" s="55" t="s">
        <v>102</v>
      </c>
      <c r="B208" s="146"/>
      <c r="C208" s="99"/>
      <c r="D208" s="37"/>
      <c r="E208" s="16"/>
      <c r="F208" s="16"/>
      <c r="G208" s="16"/>
      <c r="H208" s="16"/>
      <c r="I208" s="16"/>
      <c r="J208" s="16"/>
      <c r="K208" s="45"/>
      <c r="L208" s="63"/>
      <c r="M208" s="63"/>
      <c r="N208" s="43"/>
    </row>
    <row r="209" spans="1:14" ht="15.75" x14ac:dyDescent="0.25">
      <c r="A209" s="55" t="s">
        <v>103</v>
      </c>
      <c r="B209" s="146"/>
      <c r="C209" s="99"/>
      <c r="D209" s="37"/>
      <c r="E209" s="16"/>
      <c r="F209" s="16"/>
      <c r="G209" s="16"/>
      <c r="H209" s="16"/>
      <c r="I209" s="16"/>
      <c r="J209" s="16"/>
      <c r="K209" s="45"/>
      <c r="L209" s="63"/>
      <c r="M209" s="63"/>
      <c r="N209" s="43"/>
    </row>
    <row r="210" spans="1:14" ht="15.75" customHeight="1" x14ac:dyDescent="0.25">
      <c r="A210" s="55" t="s">
        <v>104</v>
      </c>
      <c r="B210" s="146"/>
      <c r="C210" s="99"/>
      <c r="D210" s="37"/>
      <c r="E210" s="16"/>
      <c r="F210" s="16"/>
      <c r="G210" s="16"/>
      <c r="H210" s="16"/>
      <c r="I210" s="16"/>
      <c r="J210" s="16"/>
      <c r="K210" s="45"/>
      <c r="L210" s="63"/>
      <c r="M210" s="63"/>
      <c r="N210" s="43"/>
    </row>
    <row r="211" spans="1:14" ht="15.75" x14ac:dyDescent="0.25">
      <c r="A211" s="57" t="s">
        <v>105</v>
      </c>
      <c r="B211" s="145">
        <f>B212+B215+B218+B221</f>
        <v>0</v>
      </c>
      <c r="C211" s="99"/>
      <c r="D211" s="37"/>
      <c r="E211" s="16"/>
      <c r="F211" s="16"/>
      <c r="G211" s="16"/>
      <c r="H211" s="16"/>
      <c r="I211" s="16"/>
      <c r="J211" s="16"/>
      <c r="K211" s="45"/>
      <c r="L211" s="63"/>
      <c r="M211" s="63"/>
      <c r="N211" s="43"/>
    </row>
    <row r="212" spans="1:14" ht="15.75" x14ac:dyDescent="0.25">
      <c r="A212" s="55" t="s">
        <v>106</v>
      </c>
      <c r="B212" s="145">
        <f>B213+B214</f>
        <v>0</v>
      </c>
      <c r="C212" s="99"/>
      <c r="D212" s="37"/>
      <c r="E212" s="16"/>
      <c r="F212" s="16"/>
      <c r="G212" s="16"/>
      <c r="H212" s="16"/>
      <c r="I212" s="16"/>
      <c r="J212" s="16"/>
      <c r="K212" s="45"/>
      <c r="L212" s="63"/>
      <c r="M212" s="63"/>
      <c r="N212" s="43"/>
    </row>
    <row r="213" spans="1:14" ht="15.75" x14ac:dyDescent="0.25">
      <c r="A213" s="55" t="s">
        <v>107</v>
      </c>
      <c r="B213" s="146"/>
      <c r="C213" s="99"/>
      <c r="D213" s="37"/>
      <c r="E213" s="16"/>
      <c r="F213" s="16"/>
      <c r="G213" s="16"/>
      <c r="H213" s="16"/>
      <c r="I213" s="16"/>
      <c r="J213" s="16"/>
      <c r="K213" s="45"/>
      <c r="L213" s="63"/>
      <c r="M213" s="63"/>
      <c r="N213" s="43"/>
    </row>
    <row r="214" spans="1:14" ht="15.75" x14ac:dyDescent="0.25">
      <c r="A214" s="55" t="s">
        <v>259</v>
      </c>
      <c r="B214" s="146"/>
      <c r="C214" s="99"/>
      <c r="D214" s="37"/>
      <c r="E214" s="16"/>
      <c r="F214" s="16"/>
      <c r="G214" s="16"/>
      <c r="H214" s="16"/>
      <c r="I214" s="16"/>
      <c r="J214" s="16"/>
      <c r="K214" s="45"/>
      <c r="L214" s="63"/>
      <c r="M214" s="63"/>
      <c r="N214" s="43"/>
    </row>
    <row r="215" spans="1:14" ht="15.75" x14ac:dyDescent="0.25">
      <c r="A215" s="55" t="s">
        <v>108</v>
      </c>
      <c r="B215" s="145">
        <f>B216+B217</f>
        <v>0</v>
      </c>
      <c r="C215" s="99"/>
      <c r="D215" s="37"/>
      <c r="E215" s="16"/>
      <c r="F215" s="16"/>
      <c r="G215" s="16"/>
      <c r="H215" s="16"/>
      <c r="I215" s="16"/>
      <c r="J215" s="16"/>
      <c r="K215" s="45"/>
      <c r="L215" s="63"/>
      <c r="M215" s="63"/>
      <c r="N215" s="43"/>
    </row>
    <row r="216" spans="1:14" ht="15.75" x14ac:dyDescent="0.25">
      <c r="A216" s="55" t="s">
        <v>111</v>
      </c>
      <c r="B216" s="146"/>
      <c r="C216" s="99"/>
      <c r="D216" s="37"/>
      <c r="E216" s="16"/>
      <c r="F216" s="16"/>
      <c r="G216" s="16"/>
      <c r="H216" s="16"/>
      <c r="I216" s="16"/>
      <c r="J216" s="16"/>
      <c r="K216" s="45"/>
      <c r="L216" s="63"/>
      <c r="M216" s="63"/>
      <c r="N216" s="43"/>
    </row>
    <row r="217" spans="1:14" ht="15.75" x14ac:dyDescent="0.25">
      <c r="A217" s="55" t="s">
        <v>212</v>
      </c>
      <c r="B217" s="146"/>
      <c r="C217" s="99"/>
      <c r="D217" s="37"/>
      <c r="E217" s="16"/>
      <c r="F217" s="16"/>
      <c r="G217" s="16"/>
      <c r="H217" s="16"/>
      <c r="I217" s="16"/>
      <c r="J217" s="16"/>
      <c r="K217" s="45"/>
      <c r="L217" s="63"/>
      <c r="M217" s="63"/>
      <c r="N217" s="43"/>
    </row>
    <row r="218" spans="1:14" ht="15.75" x14ac:dyDescent="0.25">
      <c r="A218" s="55" t="s">
        <v>109</v>
      </c>
      <c r="B218" s="145">
        <f>B219+B220</f>
        <v>0</v>
      </c>
      <c r="C218" s="99"/>
      <c r="D218" s="37"/>
      <c r="E218" s="16"/>
      <c r="F218" s="16"/>
      <c r="G218" s="16"/>
      <c r="H218" s="16"/>
      <c r="I218" s="16"/>
      <c r="J218" s="16"/>
      <c r="K218" s="45"/>
      <c r="L218" s="63"/>
      <c r="M218" s="63"/>
      <c r="N218" s="43"/>
    </row>
    <row r="219" spans="1:14" ht="15.75" customHeight="1" x14ac:dyDescent="0.25">
      <c r="A219" s="55" t="s">
        <v>110</v>
      </c>
      <c r="B219" s="147"/>
      <c r="C219" s="99"/>
      <c r="D219" s="37"/>
      <c r="E219" s="16"/>
      <c r="F219" s="16"/>
      <c r="G219" s="16"/>
      <c r="H219" s="16"/>
      <c r="I219" s="16"/>
      <c r="J219" s="16"/>
      <c r="K219" s="45"/>
      <c r="L219" s="63"/>
      <c r="M219" s="63"/>
      <c r="N219" s="43"/>
    </row>
    <row r="220" spans="1:14" ht="15.75" x14ac:dyDescent="0.25">
      <c r="A220" s="55" t="s">
        <v>213</v>
      </c>
      <c r="B220" s="147"/>
      <c r="C220" s="99"/>
      <c r="D220" s="37"/>
      <c r="E220" s="16"/>
      <c r="F220" s="16"/>
      <c r="G220" s="16"/>
      <c r="H220" s="16"/>
      <c r="I220" s="16"/>
      <c r="J220" s="16"/>
      <c r="K220" s="45"/>
      <c r="L220" s="63"/>
      <c r="M220" s="63"/>
      <c r="N220" s="43"/>
    </row>
    <row r="221" spans="1:14" ht="15.75" customHeight="1" x14ac:dyDescent="0.25">
      <c r="A221" s="55" t="s">
        <v>112</v>
      </c>
      <c r="B221" s="145">
        <f>B222+B223</f>
        <v>0</v>
      </c>
      <c r="C221" s="99"/>
      <c r="D221" s="37"/>
      <c r="E221" s="16"/>
      <c r="F221" s="16"/>
      <c r="G221" s="16"/>
      <c r="H221" s="16"/>
      <c r="I221" s="16"/>
      <c r="J221" s="16"/>
      <c r="K221" s="45"/>
      <c r="L221" s="63"/>
      <c r="M221" s="63"/>
      <c r="N221" s="43"/>
    </row>
    <row r="222" spans="1:14" ht="15.75" x14ac:dyDescent="0.25">
      <c r="A222" s="55" t="s">
        <v>113</v>
      </c>
      <c r="B222" s="146"/>
      <c r="C222" s="99"/>
      <c r="D222" s="37"/>
      <c r="E222" s="16"/>
      <c r="F222" s="16"/>
      <c r="G222" s="16"/>
      <c r="H222" s="16"/>
      <c r="I222" s="16"/>
      <c r="J222" s="16"/>
      <c r="K222" s="45"/>
      <c r="L222" s="63"/>
      <c r="M222" s="63"/>
      <c r="N222" s="43"/>
    </row>
    <row r="223" spans="1:14" ht="15.75" x14ac:dyDescent="0.25">
      <c r="A223" s="55" t="s">
        <v>214</v>
      </c>
      <c r="B223" s="146"/>
      <c r="C223" s="99"/>
      <c r="D223" s="37"/>
      <c r="E223" s="16"/>
      <c r="F223" s="16"/>
      <c r="G223" s="16"/>
      <c r="H223" s="16"/>
      <c r="I223" s="16"/>
      <c r="J223" s="16"/>
      <c r="K223" s="45"/>
      <c r="L223" s="63"/>
      <c r="M223" s="63"/>
      <c r="N223" s="43"/>
    </row>
    <row r="224" spans="1:14" ht="15.75" x14ac:dyDescent="0.25">
      <c r="A224" s="57" t="s">
        <v>114</v>
      </c>
      <c r="B224" s="145">
        <f>B225+B228+B231</f>
        <v>0</v>
      </c>
      <c r="C224" s="99"/>
      <c r="D224" s="37"/>
      <c r="E224" s="16"/>
      <c r="F224" s="16"/>
      <c r="G224" s="16"/>
      <c r="H224" s="16"/>
      <c r="I224" s="16"/>
      <c r="J224" s="16"/>
      <c r="K224" s="45"/>
      <c r="L224" s="63"/>
      <c r="M224" s="63"/>
      <c r="N224" s="43"/>
    </row>
    <row r="225" spans="1:14" ht="15.75" x14ac:dyDescent="0.25">
      <c r="A225" s="55" t="s">
        <v>115</v>
      </c>
      <c r="B225" s="145">
        <f>B226+B227</f>
        <v>0</v>
      </c>
      <c r="C225" s="99"/>
      <c r="D225" s="37"/>
      <c r="E225" s="16"/>
      <c r="F225" s="16"/>
      <c r="G225" s="16"/>
      <c r="H225" s="16"/>
      <c r="I225" s="16"/>
      <c r="J225" s="16"/>
      <c r="K225" s="45"/>
      <c r="L225" s="63"/>
      <c r="M225" s="63"/>
      <c r="N225" s="43"/>
    </row>
    <row r="226" spans="1:14" ht="15.75" x14ac:dyDescent="0.25">
      <c r="A226" s="55" t="s">
        <v>116</v>
      </c>
      <c r="B226" s="146"/>
      <c r="C226" s="99"/>
      <c r="D226" s="37"/>
      <c r="E226" s="16"/>
      <c r="F226" s="16"/>
      <c r="G226" s="16"/>
      <c r="H226" s="16"/>
      <c r="I226" s="16"/>
      <c r="J226" s="16"/>
      <c r="K226" s="45"/>
      <c r="L226" s="63"/>
      <c r="M226" s="63"/>
      <c r="N226" s="43"/>
    </row>
    <row r="227" spans="1:14" ht="15.75" x14ac:dyDescent="0.25">
      <c r="A227" s="55" t="s">
        <v>215</v>
      </c>
      <c r="B227" s="146"/>
      <c r="C227" s="99"/>
      <c r="D227" s="37"/>
      <c r="E227" s="16"/>
      <c r="F227" s="16"/>
      <c r="G227" s="16"/>
      <c r="H227" s="16"/>
      <c r="I227" s="16"/>
      <c r="J227" s="16"/>
      <c r="K227" s="45"/>
      <c r="L227" s="63"/>
      <c r="M227" s="63"/>
      <c r="N227" s="43"/>
    </row>
    <row r="228" spans="1:14" ht="15.75" x14ac:dyDescent="0.25">
      <c r="A228" s="55" t="s">
        <v>117</v>
      </c>
      <c r="B228" s="145">
        <f>B229+B230</f>
        <v>0</v>
      </c>
      <c r="C228" s="99"/>
      <c r="D228" s="37"/>
      <c r="E228" s="16"/>
      <c r="F228" s="16"/>
      <c r="G228" s="16"/>
      <c r="H228" s="16"/>
      <c r="I228" s="16"/>
      <c r="J228" s="16"/>
      <c r="K228" s="45"/>
      <c r="L228" s="63"/>
      <c r="M228" s="63"/>
      <c r="N228" s="43"/>
    </row>
    <row r="229" spans="1:14" ht="15.75" x14ac:dyDescent="0.25">
      <c r="A229" s="55" t="s">
        <v>118</v>
      </c>
      <c r="B229" s="146"/>
      <c r="C229" s="99"/>
      <c r="D229" s="37"/>
      <c r="E229" s="16"/>
      <c r="F229" s="16"/>
      <c r="G229" s="16"/>
      <c r="H229" s="16"/>
      <c r="I229" s="16"/>
      <c r="J229" s="16"/>
      <c r="K229" s="45"/>
      <c r="L229" s="63"/>
      <c r="M229" s="63"/>
      <c r="N229" s="43"/>
    </row>
    <row r="230" spans="1:14" ht="15.75" x14ac:dyDescent="0.25">
      <c r="A230" s="55" t="s">
        <v>216</v>
      </c>
      <c r="B230" s="146"/>
      <c r="C230" s="99"/>
      <c r="D230" s="37"/>
      <c r="E230" s="16"/>
      <c r="F230" s="16"/>
      <c r="G230" s="16"/>
      <c r="H230" s="16"/>
      <c r="I230" s="16"/>
      <c r="J230" s="16"/>
      <c r="K230" s="45"/>
      <c r="L230" s="63"/>
      <c r="M230" s="63"/>
      <c r="N230" s="43"/>
    </row>
    <row r="231" spans="1:14" ht="15.75" customHeight="1" x14ac:dyDescent="0.25">
      <c r="A231" s="55" t="s">
        <v>119</v>
      </c>
      <c r="B231" s="145">
        <f>B232+B233</f>
        <v>0</v>
      </c>
      <c r="C231" s="99"/>
      <c r="D231" s="37"/>
      <c r="E231" s="16"/>
      <c r="F231" s="16"/>
      <c r="G231" s="16"/>
      <c r="H231" s="16"/>
      <c r="I231" s="16"/>
      <c r="J231" s="16"/>
      <c r="K231" s="45"/>
      <c r="L231" s="63"/>
      <c r="M231" s="63"/>
      <c r="N231" s="43"/>
    </row>
    <row r="232" spans="1:14" ht="15.75" x14ac:dyDescent="0.25">
      <c r="A232" s="55" t="s">
        <v>120</v>
      </c>
      <c r="B232" s="146"/>
      <c r="C232" s="99"/>
      <c r="D232" s="37"/>
      <c r="E232" s="16"/>
      <c r="F232" s="16"/>
      <c r="G232" s="16"/>
      <c r="H232" s="16"/>
      <c r="I232" s="16"/>
      <c r="J232" s="16"/>
      <c r="K232" s="45"/>
      <c r="L232" s="63"/>
      <c r="M232" s="63"/>
      <c r="N232" s="43"/>
    </row>
    <row r="233" spans="1:14" ht="15.75" x14ac:dyDescent="0.25">
      <c r="A233" s="55" t="s">
        <v>217</v>
      </c>
      <c r="B233" s="146"/>
      <c r="C233" s="99"/>
      <c r="D233" s="37"/>
      <c r="E233" s="16"/>
      <c r="F233" s="16"/>
      <c r="G233" s="16"/>
      <c r="H233" s="16"/>
      <c r="I233" s="16"/>
      <c r="J233" s="16"/>
      <c r="K233" s="45"/>
      <c r="L233" s="63"/>
      <c r="M233" s="63"/>
      <c r="N233" s="43"/>
    </row>
    <row r="234" spans="1:14" ht="15.75" x14ac:dyDescent="0.25">
      <c r="A234" s="57" t="s">
        <v>121</v>
      </c>
      <c r="B234" s="145">
        <f>B235+B238+B241</f>
        <v>0</v>
      </c>
      <c r="C234" s="99"/>
      <c r="D234" s="37"/>
      <c r="E234" s="16"/>
      <c r="F234" s="16"/>
      <c r="G234" s="16"/>
      <c r="H234" s="16"/>
      <c r="I234" s="16"/>
      <c r="J234" s="16"/>
      <c r="K234" s="45"/>
      <c r="L234" s="63"/>
      <c r="M234" s="63"/>
      <c r="N234" s="43"/>
    </row>
    <row r="235" spans="1:14" ht="15.75" x14ac:dyDescent="0.25">
      <c r="A235" s="55" t="s">
        <v>122</v>
      </c>
      <c r="B235" s="145">
        <f>B236+B237</f>
        <v>0</v>
      </c>
      <c r="C235" s="99"/>
      <c r="D235" s="37"/>
      <c r="E235" s="16"/>
      <c r="F235" s="16"/>
      <c r="G235" s="16"/>
      <c r="H235" s="16"/>
      <c r="I235" s="16"/>
      <c r="J235" s="16"/>
      <c r="K235" s="45"/>
      <c r="L235" s="63"/>
      <c r="M235" s="63"/>
      <c r="N235" s="43"/>
    </row>
    <row r="236" spans="1:14" ht="15.75" x14ac:dyDescent="0.25">
      <c r="A236" s="55" t="s">
        <v>123</v>
      </c>
      <c r="B236" s="146"/>
      <c r="C236" s="99"/>
      <c r="D236" s="37"/>
      <c r="E236" s="16"/>
      <c r="F236" s="16"/>
      <c r="G236" s="16"/>
      <c r="H236" s="16"/>
      <c r="I236" s="16"/>
      <c r="J236" s="16"/>
      <c r="K236" s="45"/>
      <c r="L236" s="63"/>
      <c r="M236" s="63"/>
      <c r="N236" s="43"/>
    </row>
    <row r="237" spans="1:14" ht="15.75" x14ac:dyDescent="0.25">
      <c r="A237" s="55" t="s">
        <v>218</v>
      </c>
      <c r="B237" s="146"/>
      <c r="C237" s="99"/>
      <c r="D237" s="37"/>
      <c r="E237" s="16"/>
      <c r="F237" s="16"/>
      <c r="G237" s="16"/>
      <c r="H237" s="16"/>
      <c r="I237" s="16"/>
      <c r="J237" s="16"/>
      <c r="K237" s="45"/>
      <c r="L237" s="63"/>
      <c r="M237" s="63"/>
      <c r="N237" s="43"/>
    </row>
    <row r="238" spans="1:14" ht="15.75" x14ac:dyDescent="0.25">
      <c r="A238" s="55" t="s">
        <v>125</v>
      </c>
      <c r="B238" s="145">
        <f>B239+B240</f>
        <v>0</v>
      </c>
      <c r="C238" s="99"/>
      <c r="D238" s="37"/>
      <c r="E238" s="16"/>
      <c r="F238" s="16"/>
      <c r="G238" s="16"/>
      <c r="H238" s="16"/>
      <c r="I238" s="16"/>
      <c r="J238" s="16"/>
      <c r="K238" s="45"/>
      <c r="L238" s="63"/>
      <c r="M238" s="63"/>
      <c r="N238" s="43"/>
    </row>
    <row r="239" spans="1:14" ht="15.75" x14ac:dyDescent="0.25">
      <c r="A239" s="55" t="s">
        <v>126</v>
      </c>
      <c r="B239" s="146"/>
      <c r="C239" s="99"/>
      <c r="D239" s="37"/>
      <c r="E239" s="16"/>
      <c r="F239" s="16"/>
      <c r="G239" s="16"/>
      <c r="H239" s="16"/>
      <c r="I239" s="16"/>
      <c r="J239" s="16"/>
      <c r="K239" s="45"/>
      <c r="L239" s="63"/>
      <c r="M239" s="63"/>
      <c r="N239" s="43"/>
    </row>
    <row r="240" spans="1:14" ht="15.75" x14ac:dyDescent="0.25">
      <c r="A240" s="55" t="s">
        <v>219</v>
      </c>
      <c r="B240" s="146"/>
      <c r="C240" s="99"/>
      <c r="D240" s="37"/>
      <c r="E240" s="16"/>
      <c r="F240" s="16"/>
      <c r="G240" s="16"/>
      <c r="H240" s="16"/>
      <c r="I240" s="16"/>
      <c r="J240" s="16"/>
      <c r="K240" s="45"/>
      <c r="L240" s="63"/>
      <c r="M240" s="63"/>
      <c r="N240" s="43"/>
    </row>
    <row r="241" spans="1:14" ht="15.75" customHeight="1" x14ac:dyDescent="0.25">
      <c r="A241" s="55" t="s">
        <v>127</v>
      </c>
      <c r="B241" s="145">
        <f>B242+B243</f>
        <v>0</v>
      </c>
      <c r="C241" s="99"/>
      <c r="D241" s="37"/>
      <c r="E241" s="16"/>
      <c r="F241" s="16"/>
      <c r="G241" s="16"/>
      <c r="H241" s="16"/>
      <c r="I241" s="16"/>
      <c r="J241" s="16"/>
      <c r="K241" s="45"/>
      <c r="L241" s="63"/>
      <c r="M241" s="63"/>
      <c r="N241" s="43"/>
    </row>
    <row r="242" spans="1:14" ht="15.75" x14ac:dyDescent="0.25">
      <c r="A242" s="55" t="s">
        <v>128</v>
      </c>
      <c r="B242" s="146"/>
      <c r="C242" s="99"/>
      <c r="D242" s="37"/>
      <c r="E242" s="16"/>
      <c r="F242" s="16"/>
      <c r="G242" s="16"/>
      <c r="H242" s="16"/>
      <c r="I242" s="16"/>
      <c r="J242" s="16"/>
      <c r="K242" s="45"/>
      <c r="L242" s="63"/>
      <c r="M242" s="63"/>
      <c r="N242" s="43"/>
    </row>
    <row r="243" spans="1:14" ht="15.75" x14ac:dyDescent="0.25">
      <c r="A243" s="55" t="s">
        <v>220</v>
      </c>
      <c r="B243" s="146"/>
      <c r="C243" s="99"/>
      <c r="D243" s="37"/>
      <c r="E243" s="16"/>
      <c r="F243" s="16"/>
      <c r="G243" s="16"/>
      <c r="H243" s="16"/>
      <c r="I243" s="16"/>
      <c r="J243" s="16"/>
      <c r="K243" s="45"/>
      <c r="L243" s="63"/>
      <c r="M243" s="63"/>
      <c r="N243" s="43"/>
    </row>
    <row r="244" spans="1:14" ht="15.75" x14ac:dyDescent="0.25">
      <c r="A244" s="57" t="s">
        <v>284</v>
      </c>
      <c r="B244" s="146"/>
      <c r="C244" s="99"/>
      <c r="D244" s="37"/>
      <c r="E244" s="16"/>
      <c r="F244" s="16"/>
      <c r="G244" s="16"/>
      <c r="H244" s="16"/>
      <c r="I244" s="16"/>
      <c r="J244" s="16"/>
      <c r="K244" s="45"/>
      <c r="L244" s="63"/>
      <c r="M244" s="63"/>
      <c r="N244" s="43"/>
    </row>
    <row r="245" spans="1:14" ht="15.75" x14ac:dyDescent="0.25">
      <c r="A245" s="58" t="s">
        <v>129</v>
      </c>
      <c r="B245" s="145">
        <f>B246+B247</f>
        <v>0</v>
      </c>
      <c r="C245" s="99"/>
      <c r="D245" s="37"/>
      <c r="E245" s="16"/>
      <c r="F245" s="16"/>
      <c r="G245" s="16"/>
      <c r="H245" s="16"/>
      <c r="I245" s="16"/>
      <c r="J245" s="16"/>
      <c r="K245" s="45"/>
      <c r="L245" s="63"/>
      <c r="M245" s="63"/>
      <c r="N245" s="43"/>
    </row>
    <row r="246" spans="1:14" ht="15.75" x14ac:dyDescent="0.25">
      <c r="A246" s="55" t="s">
        <v>260</v>
      </c>
      <c r="B246" s="146"/>
      <c r="C246" s="99"/>
      <c r="D246" s="37"/>
      <c r="E246" s="16"/>
      <c r="F246" s="16"/>
      <c r="G246" s="16"/>
      <c r="H246" s="16"/>
      <c r="I246" s="16"/>
      <c r="J246" s="16"/>
      <c r="K246" s="45"/>
      <c r="L246" s="63"/>
      <c r="M246" s="63"/>
      <c r="N246" s="43"/>
    </row>
    <row r="247" spans="1:14" ht="15.75" x14ac:dyDescent="0.25">
      <c r="A247" s="55" t="s">
        <v>261</v>
      </c>
      <c r="B247" s="146"/>
      <c r="C247" s="99"/>
      <c r="D247" s="37"/>
      <c r="E247" s="16"/>
      <c r="F247" s="16"/>
      <c r="G247" s="16"/>
      <c r="H247" s="16"/>
      <c r="I247" s="16"/>
      <c r="J247" s="16"/>
      <c r="K247" s="45"/>
      <c r="L247" s="63"/>
      <c r="M247" s="63"/>
      <c r="N247" s="43"/>
    </row>
    <row r="248" spans="1:14" ht="15.75" x14ac:dyDescent="0.25">
      <c r="A248" s="55" t="s">
        <v>130</v>
      </c>
      <c r="B248" s="145">
        <f>B249+B250</f>
        <v>0</v>
      </c>
      <c r="C248" s="99"/>
      <c r="D248" s="37"/>
      <c r="E248" s="16"/>
      <c r="F248" s="16"/>
      <c r="G248" s="16"/>
      <c r="H248" s="16"/>
      <c r="I248" s="16"/>
      <c r="J248" s="16"/>
      <c r="K248" s="45"/>
      <c r="L248" s="63"/>
      <c r="M248" s="63"/>
      <c r="N248" s="43"/>
    </row>
    <row r="249" spans="1:14" ht="15.75" x14ac:dyDescent="0.25">
      <c r="A249" s="55" t="s">
        <v>262</v>
      </c>
      <c r="B249" s="146"/>
      <c r="C249" s="99"/>
      <c r="D249" s="37"/>
      <c r="E249" s="16"/>
      <c r="F249" s="16"/>
      <c r="G249" s="16"/>
      <c r="H249" s="16"/>
      <c r="I249" s="16"/>
      <c r="J249" s="16"/>
      <c r="K249" s="45"/>
      <c r="L249" s="63"/>
      <c r="M249" s="63"/>
      <c r="N249" s="43"/>
    </row>
    <row r="250" spans="1:14" ht="15.75" x14ac:dyDescent="0.25">
      <c r="A250" s="55" t="s">
        <v>263</v>
      </c>
      <c r="B250" s="146"/>
      <c r="C250" s="99"/>
      <c r="D250" s="37"/>
      <c r="E250" s="16"/>
      <c r="F250" s="16"/>
      <c r="G250" s="16"/>
      <c r="H250" s="16"/>
      <c r="I250" s="16"/>
      <c r="J250" s="16"/>
      <c r="K250" s="45"/>
      <c r="L250" s="63"/>
      <c r="M250" s="63"/>
      <c r="N250" s="43"/>
    </row>
    <row r="251" spans="1:14" ht="15.75" x14ac:dyDescent="0.25">
      <c r="A251" s="62" t="s">
        <v>325</v>
      </c>
      <c r="B251" s="149"/>
      <c r="C251" s="99"/>
      <c r="D251" s="37"/>
      <c r="E251" s="16"/>
      <c r="F251" s="16"/>
      <c r="G251" s="16"/>
      <c r="H251" s="16"/>
      <c r="I251" s="16"/>
      <c r="J251" s="16"/>
      <c r="K251" s="45"/>
      <c r="L251" s="63"/>
      <c r="M251" s="63"/>
      <c r="N251" s="43"/>
    </row>
    <row r="252" spans="1:14" ht="15.75" x14ac:dyDescent="0.25">
      <c r="A252" s="62" t="s">
        <v>326</v>
      </c>
      <c r="B252" s="149"/>
      <c r="C252" s="99"/>
      <c r="D252" s="37"/>
      <c r="E252" s="16"/>
      <c r="F252" s="16"/>
      <c r="G252" s="16"/>
      <c r="H252" s="16"/>
      <c r="I252" s="16"/>
      <c r="J252" s="16"/>
      <c r="K252" s="45"/>
      <c r="L252" s="63"/>
      <c r="M252" s="63"/>
      <c r="N252" s="43"/>
    </row>
    <row r="253" spans="1:14" ht="15.75" x14ac:dyDescent="0.25">
      <c r="A253" s="62" t="s">
        <v>327</v>
      </c>
      <c r="B253" s="145">
        <f>B254+B255+B256+B257+B258+B259+B260+B261+B262</f>
        <v>0</v>
      </c>
      <c r="C253" s="99"/>
      <c r="D253" s="37"/>
      <c r="E253" s="16"/>
      <c r="F253" s="16"/>
      <c r="G253" s="16"/>
      <c r="H253" s="16"/>
      <c r="I253" s="16"/>
      <c r="J253" s="16"/>
      <c r="K253" s="45"/>
      <c r="L253" s="63"/>
      <c r="M253" s="63"/>
      <c r="N253" s="43"/>
    </row>
    <row r="254" spans="1:14" ht="15.75" x14ac:dyDescent="0.25">
      <c r="A254" s="55" t="s">
        <v>329</v>
      </c>
      <c r="B254" s="146"/>
      <c r="C254" s="99"/>
      <c r="D254" s="37"/>
      <c r="E254" s="16"/>
      <c r="F254" s="16"/>
      <c r="G254" s="16"/>
      <c r="H254" s="16"/>
      <c r="I254" s="16"/>
      <c r="J254" s="16"/>
      <c r="K254" s="45"/>
      <c r="L254" s="63"/>
      <c r="M254" s="63"/>
      <c r="N254" s="43"/>
    </row>
    <row r="255" spans="1:14" ht="15.75" x14ac:dyDescent="0.25">
      <c r="A255" s="55" t="s">
        <v>328</v>
      </c>
      <c r="B255" s="146"/>
      <c r="C255" s="99"/>
      <c r="D255" s="37"/>
      <c r="E255" s="16"/>
      <c r="F255" s="16"/>
      <c r="G255" s="16"/>
      <c r="H255" s="16"/>
      <c r="I255" s="16"/>
      <c r="J255" s="16"/>
      <c r="K255" s="45"/>
      <c r="L255" s="63"/>
      <c r="M255" s="63"/>
      <c r="N255" s="43"/>
    </row>
    <row r="256" spans="1:14" ht="15.75" x14ac:dyDescent="0.25">
      <c r="A256" s="55" t="s">
        <v>330</v>
      </c>
      <c r="B256" s="146"/>
      <c r="C256" s="99"/>
      <c r="D256" s="37"/>
      <c r="E256" s="16"/>
      <c r="F256" s="16"/>
      <c r="G256" s="16"/>
      <c r="H256" s="16"/>
      <c r="I256" s="16"/>
      <c r="J256" s="16"/>
      <c r="K256" s="45"/>
      <c r="L256" s="63"/>
      <c r="M256" s="63"/>
      <c r="N256" s="43"/>
    </row>
    <row r="257" spans="1:14" ht="15.75" x14ac:dyDescent="0.25">
      <c r="A257" s="55" t="s">
        <v>331</v>
      </c>
      <c r="B257" s="146"/>
      <c r="C257" s="99"/>
      <c r="D257" s="37"/>
      <c r="E257" s="16"/>
      <c r="F257" s="16"/>
      <c r="G257" s="16"/>
      <c r="H257" s="16"/>
      <c r="I257" s="16"/>
      <c r="J257" s="16"/>
      <c r="K257" s="45"/>
      <c r="L257" s="63"/>
      <c r="M257" s="63"/>
      <c r="N257" s="43"/>
    </row>
    <row r="258" spans="1:14" ht="15.75" x14ac:dyDescent="0.25">
      <c r="A258" s="55" t="s">
        <v>332</v>
      </c>
      <c r="B258" s="146"/>
      <c r="C258" s="99"/>
      <c r="D258" s="37"/>
      <c r="E258" s="16"/>
      <c r="F258" s="16"/>
      <c r="G258" s="16"/>
      <c r="H258" s="16"/>
      <c r="I258" s="16"/>
      <c r="J258" s="16"/>
      <c r="K258" s="45"/>
      <c r="L258" s="63"/>
      <c r="M258" s="63"/>
      <c r="N258" s="43"/>
    </row>
    <row r="259" spans="1:14" ht="15.75" x14ac:dyDescent="0.25">
      <c r="A259" s="55" t="s">
        <v>333</v>
      </c>
      <c r="B259" s="146"/>
      <c r="C259" s="99"/>
      <c r="D259" s="37"/>
      <c r="E259" s="16"/>
      <c r="F259" s="16"/>
      <c r="G259" s="16"/>
      <c r="H259" s="16"/>
      <c r="I259" s="16"/>
      <c r="J259" s="16"/>
      <c r="K259" s="45"/>
      <c r="L259" s="63"/>
      <c r="M259" s="63"/>
      <c r="N259" s="43"/>
    </row>
    <row r="260" spans="1:14" ht="15.75" x14ac:dyDescent="0.25">
      <c r="A260" s="55" t="s">
        <v>334</v>
      </c>
      <c r="B260" s="146"/>
      <c r="C260" s="99"/>
      <c r="D260" s="37"/>
      <c r="E260" s="16"/>
      <c r="F260" s="16"/>
      <c r="G260" s="16"/>
      <c r="H260" s="16"/>
      <c r="I260" s="16"/>
      <c r="J260" s="16"/>
      <c r="K260" s="45"/>
      <c r="L260" s="63"/>
      <c r="M260" s="63"/>
      <c r="N260" s="43"/>
    </row>
    <row r="261" spans="1:14" ht="15.75" x14ac:dyDescent="0.25">
      <c r="A261" s="55" t="s">
        <v>335</v>
      </c>
      <c r="B261" s="146"/>
      <c r="C261" s="99"/>
      <c r="D261" s="37"/>
      <c r="E261" s="16"/>
      <c r="F261" s="16"/>
      <c r="G261" s="16"/>
      <c r="H261" s="16"/>
      <c r="I261" s="16"/>
      <c r="J261" s="16"/>
      <c r="K261" s="45"/>
      <c r="L261" s="63"/>
      <c r="M261" s="63"/>
      <c r="N261" s="43"/>
    </row>
    <row r="262" spans="1:14" ht="15.75" x14ac:dyDescent="0.25">
      <c r="A262" s="55" t="s">
        <v>336</v>
      </c>
      <c r="B262" s="146"/>
      <c r="C262" s="99"/>
      <c r="D262" s="37"/>
      <c r="E262" s="16"/>
      <c r="F262" s="16"/>
      <c r="G262" s="16"/>
      <c r="H262" s="16"/>
      <c r="I262" s="16"/>
      <c r="J262" s="16"/>
      <c r="K262" s="45"/>
      <c r="L262" s="63"/>
      <c r="M262" s="63"/>
      <c r="N262" s="43"/>
    </row>
    <row r="263" spans="1:14" ht="15.75" x14ac:dyDescent="0.25">
      <c r="A263" s="76" t="s">
        <v>337</v>
      </c>
      <c r="B263" s="151"/>
      <c r="C263" s="99"/>
      <c r="D263" s="37"/>
      <c r="E263" s="16"/>
      <c r="F263" s="16"/>
      <c r="G263" s="16"/>
      <c r="H263" s="16"/>
      <c r="I263" s="16"/>
      <c r="J263" s="16"/>
      <c r="K263" s="45"/>
      <c r="L263" s="63"/>
      <c r="M263" s="63"/>
      <c r="N263" s="43"/>
    </row>
    <row r="264" spans="1:14" ht="15.75" x14ac:dyDescent="0.25">
      <c r="A264" s="57" t="s">
        <v>131</v>
      </c>
      <c r="B264" s="150">
        <f>B265+B266+B267+B268</f>
        <v>0</v>
      </c>
      <c r="C264" s="99"/>
      <c r="D264" s="37"/>
      <c r="E264" s="16"/>
      <c r="F264" s="16"/>
      <c r="G264" s="16"/>
      <c r="H264" s="16"/>
      <c r="I264" s="16"/>
      <c r="J264" s="16"/>
      <c r="K264" s="45"/>
      <c r="L264" s="63"/>
      <c r="M264" s="63"/>
      <c r="N264" s="43"/>
    </row>
    <row r="265" spans="1:14" ht="15.75" x14ac:dyDescent="0.25">
      <c r="A265" s="55" t="s">
        <v>132</v>
      </c>
      <c r="B265" s="146"/>
      <c r="C265" s="99"/>
      <c r="D265" s="37"/>
      <c r="E265" s="16"/>
      <c r="F265" s="16"/>
      <c r="G265" s="16"/>
      <c r="H265" s="16"/>
      <c r="I265" s="16"/>
      <c r="J265" s="16"/>
      <c r="K265" s="45"/>
      <c r="L265" s="63"/>
      <c r="M265" s="63"/>
      <c r="N265" s="43"/>
    </row>
    <row r="266" spans="1:14" ht="18.75" customHeight="1" x14ac:dyDescent="0.25">
      <c r="A266" s="55" t="s">
        <v>133</v>
      </c>
      <c r="B266" s="146"/>
      <c r="C266" s="99"/>
      <c r="D266" s="37"/>
      <c r="E266" s="16"/>
      <c r="F266" s="16"/>
      <c r="G266" s="16"/>
      <c r="H266" s="16"/>
      <c r="I266" s="16"/>
      <c r="J266" s="16"/>
      <c r="K266" s="45"/>
      <c r="L266" s="63"/>
      <c r="M266" s="63"/>
      <c r="N266" s="43"/>
    </row>
    <row r="267" spans="1:14" ht="15.75" x14ac:dyDescent="0.25">
      <c r="A267" s="55" t="s">
        <v>134</v>
      </c>
      <c r="B267" s="146"/>
      <c r="C267" s="99"/>
      <c r="D267" s="37"/>
      <c r="E267" s="16"/>
      <c r="F267" s="16"/>
      <c r="G267" s="16"/>
      <c r="H267" s="16"/>
      <c r="I267" s="16"/>
      <c r="J267" s="16"/>
      <c r="K267" s="45"/>
      <c r="L267" s="63"/>
      <c r="M267" s="63"/>
      <c r="N267" s="43"/>
    </row>
    <row r="268" spans="1:14" ht="15.75" customHeight="1" x14ac:dyDescent="0.25">
      <c r="A268" s="58" t="s">
        <v>154</v>
      </c>
      <c r="B268" s="146"/>
      <c r="C268" s="99"/>
      <c r="D268" s="37"/>
      <c r="E268" s="16"/>
      <c r="F268" s="16"/>
      <c r="G268" s="16"/>
      <c r="H268" s="16"/>
      <c r="I268" s="16"/>
      <c r="J268" s="16"/>
      <c r="K268" s="45"/>
      <c r="L268" s="63"/>
      <c r="M268" s="63"/>
      <c r="N268" s="43"/>
    </row>
    <row r="269" spans="1:14" ht="15.75" x14ac:dyDescent="0.25">
      <c r="A269" s="57" t="s">
        <v>338</v>
      </c>
      <c r="B269" s="146"/>
      <c r="C269" s="99"/>
      <c r="D269" s="37"/>
      <c r="E269" s="16"/>
      <c r="F269" s="16"/>
      <c r="G269" s="16"/>
      <c r="H269" s="16"/>
      <c r="I269" s="16"/>
      <c r="J269" s="16"/>
      <c r="K269" s="45"/>
      <c r="L269" s="63"/>
      <c r="M269" s="63"/>
      <c r="N269" s="43"/>
    </row>
    <row r="270" spans="1:14" ht="15.75" x14ac:dyDescent="0.25">
      <c r="A270" s="76" t="s">
        <v>17</v>
      </c>
      <c r="B270" s="151"/>
      <c r="C270" s="99"/>
      <c r="D270" s="37"/>
      <c r="E270" s="16"/>
      <c r="F270" s="16"/>
      <c r="G270" s="16"/>
      <c r="H270" s="16"/>
      <c r="I270" s="16"/>
      <c r="J270" s="16"/>
      <c r="K270" s="45"/>
      <c r="L270" s="63"/>
      <c r="M270" s="63"/>
      <c r="N270" s="43"/>
    </row>
    <row r="271" spans="1:14" ht="15.75" x14ac:dyDescent="0.25">
      <c r="A271" s="59" t="s">
        <v>135</v>
      </c>
      <c r="B271" s="152"/>
      <c r="C271" s="99"/>
      <c r="D271" s="37"/>
      <c r="E271" s="16"/>
      <c r="F271" s="16"/>
      <c r="G271" s="16"/>
      <c r="H271" s="16"/>
      <c r="I271" s="16"/>
      <c r="J271" s="16"/>
      <c r="K271" s="45"/>
      <c r="L271" s="63"/>
      <c r="M271" s="63"/>
      <c r="N271" s="43"/>
    </row>
    <row r="272" spans="1:14" ht="15.75" x14ac:dyDescent="0.25">
      <c r="A272" s="59" t="s">
        <v>225</v>
      </c>
      <c r="B272" s="146"/>
      <c r="C272" s="99"/>
      <c r="D272" s="37"/>
      <c r="E272" s="16"/>
      <c r="F272" s="16"/>
      <c r="G272" s="16"/>
      <c r="H272" s="16"/>
      <c r="I272" s="16"/>
      <c r="J272" s="16"/>
      <c r="K272" s="45"/>
      <c r="L272" s="63"/>
      <c r="M272" s="63"/>
      <c r="N272" s="43"/>
    </row>
    <row r="273" spans="1:14" ht="15.75" x14ac:dyDescent="0.25">
      <c r="A273" s="59" t="s">
        <v>226</v>
      </c>
      <c r="B273" s="146"/>
      <c r="C273" s="99"/>
      <c r="D273" s="37"/>
      <c r="E273" s="16"/>
      <c r="F273" s="16"/>
      <c r="G273" s="16"/>
      <c r="H273" s="16"/>
      <c r="I273" s="16"/>
      <c r="J273" s="16"/>
      <c r="K273" s="45"/>
      <c r="L273" s="63"/>
      <c r="M273" s="63"/>
      <c r="N273" s="43"/>
    </row>
    <row r="274" spans="1:14" ht="15.75" x14ac:dyDescent="0.25">
      <c r="A274" s="59" t="s">
        <v>339</v>
      </c>
      <c r="B274" s="149"/>
      <c r="C274" s="99"/>
      <c r="D274" s="37"/>
      <c r="E274" s="16"/>
      <c r="F274" s="16"/>
      <c r="G274" s="16"/>
      <c r="H274" s="16"/>
      <c r="I274" s="16"/>
      <c r="J274" s="16"/>
      <c r="K274" s="45"/>
      <c r="L274" s="63"/>
      <c r="M274" s="63"/>
      <c r="N274" s="43"/>
    </row>
    <row r="275" spans="1:14" ht="15.75" x14ac:dyDescent="0.25">
      <c r="A275" s="59" t="s">
        <v>340</v>
      </c>
      <c r="B275" s="149"/>
      <c r="C275" s="99"/>
      <c r="D275" s="37"/>
      <c r="E275" s="16"/>
      <c r="F275" s="16"/>
      <c r="G275" s="16"/>
      <c r="H275" s="16"/>
      <c r="I275" s="16"/>
      <c r="J275" s="16"/>
      <c r="K275" s="45"/>
      <c r="L275" s="63"/>
      <c r="M275" s="63"/>
      <c r="N275" s="43"/>
    </row>
    <row r="276" spans="1:14" ht="15.75" x14ac:dyDescent="0.25">
      <c r="A276" s="76" t="s">
        <v>341</v>
      </c>
      <c r="B276" s="151"/>
      <c r="C276" s="99"/>
      <c r="D276" s="37"/>
      <c r="E276" s="16"/>
      <c r="F276" s="16"/>
      <c r="G276" s="16"/>
      <c r="H276" s="16"/>
      <c r="I276" s="16"/>
      <c r="J276" s="16"/>
      <c r="K276" s="45"/>
      <c r="L276" s="63"/>
      <c r="M276" s="63"/>
      <c r="N276" s="43"/>
    </row>
    <row r="277" spans="1:14" ht="15.75" x14ac:dyDescent="0.25">
      <c r="A277" s="57" t="s">
        <v>342</v>
      </c>
      <c r="B277" s="145">
        <f>B278+B281</f>
        <v>0</v>
      </c>
      <c r="C277" s="99"/>
      <c r="D277" s="37"/>
      <c r="E277" s="16"/>
      <c r="F277" s="16"/>
      <c r="G277" s="16"/>
      <c r="H277" s="16"/>
      <c r="I277" s="16"/>
      <c r="J277" s="16"/>
      <c r="K277" s="45"/>
      <c r="L277" s="63"/>
      <c r="M277" s="63"/>
      <c r="N277" s="43"/>
    </row>
    <row r="278" spans="1:14" ht="15.75" x14ac:dyDescent="0.25">
      <c r="A278" s="55" t="s">
        <v>346</v>
      </c>
      <c r="B278" s="145">
        <f>B279+B280</f>
        <v>0</v>
      </c>
      <c r="C278" s="99"/>
      <c r="D278" s="37"/>
      <c r="E278" s="16"/>
      <c r="F278" s="16"/>
      <c r="G278" s="16"/>
      <c r="H278" s="16"/>
      <c r="I278" s="16"/>
      <c r="J278" s="16"/>
      <c r="K278" s="45"/>
      <c r="L278" s="63"/>
      <c r="M278" s="63"/>
      <c r="N278" s="43"/>
    </row>
    <row r="279" spans="1:14" ht="15.75" x14ac:dyDescent="0.25">
      <c r="A279" s="55" t="s">
        <v>347</v>
      </c>
      <c r="B279" s="146"/>
      <c r="C279" s="99"/>
      <c r="D279" s="37"/>
      <c r="E279" s="16"/>
      <c r="F279" s="16"/>
      <c r="G279" s="16"/>
      <c r="H279" s="16"/>
      <c r="I279" s="16"/>
      <c r="J279" s="16"/>
      <c r="K279" s="45"/>
      <c r="L279" s="63"/>
      <c r="M279" s="63"/>
      <c r="N279" s="43"/>
    </row>
    <row r="280" spans="1:14" ht="15.75" x14ac:dyDescent="0.25">
      <c r="A280" s="55" t="s">
        <v>350</v>
      </c>
      <c r="B280" s="146"/>
      <c r="C280" s="99"/>
      <c r="D280" s="37"/>
      <c r="E280" s="16"/>
      <c r="F280" s="16"/>
      <c r="G280" s="16"/>
      <c r="H280" s="16"/>
      <c r="I280" s="16"/>
      <c r="J280" s="16"/>
      <c r="K280" s="45"/>
      <c r="L280" s="63"/>
      <c r="M280" s="63"/>
      <c r="N280" s="43"/>
    </row>
    <row r="281" spans="1:14" ht="15.75" x14ac:dyDescent="0.25">
      <c r="A281" s="55" t="s">
        <v>348</v>
      </c>
      <c r="B281" s="145">
        <f>B282+B283</f>
        <v>0</v>
      </c>
      <c r="C281" s="99"/>
      <c r="D281" s="37"/>
      <c r="E281" s="16"/>
      <c r="F281" s="16"/>
      <c r="G281" s="16"/>
      <c r="H281" s="16"/>
      <c r="I281" s="16"/>
      <c r="J281" s="16"/>
      <c r="K281" s="45"/>
      <c r="L281" s="63"/>
      <c r="M281" s="63"/>
      <c r="N281" s="43"/>
    </row>
    <row r="282" spans="1:14" ht="15.75" x14ac:dyDescent="0.25">
      <c r="A282" s="55" t="s">
        <v>349</v>
      </c>
      <c r="B282" s="146"/>
      <c r="C282" s="99"/>
      <c r="D282" s="37"/>
      <c r="E282" s="16"/>
      <c r="F282" s="16"/>
      <c r="G282" s="16"/>
      <c r="H282" s="16"/>
      <c r="I282" s="16"/>
      <c r="J282" s="16"/>
      <c r="K282" s="45"/>
      <c r="L282" s="63"/>
      <c r="M282" s="63"/>
      <c r="N282" s="43"/>
    </row>
    <row r="283" spans="1:14" ht="15.75" x14ac:dyDescent="0.25">
      <c r="A283" s="55" t="s">
        <v>351</v>
      </c>
      <c r="B283" s="146"/>
      <c r="C283" s="99"/>
      <c r="D283" s="37"/>
      <c r="E283" s="16"/>
      <c r="F283" s="16"/>
      <c r="G283" s="16"/>
      <c r="H283" s="16"/>
      <c r="I283" s="16"/>
      <c r="J283" s="16"/>
      <c r="K283" s="45"/>
      <c r="L283" s="63"/>
      <c r="M283" s="63"/>
      <c r="N283" s="43"/>
    </row>
    <row r="284" spans="1:14" ht="15.75" x14ac:dyDescent="0.25">
      <c r="A284" s="57" t="s">
        <v>345</v>
      </c>
      <c r="B284" s="145">
        <f>B285+B288</f>
        <v>0</v>
      </c>
      <c r="C284" s="99"/>
      <c r="D284" s="37"/>
      <c r="E284" s="16"/>
      <c r="F284" s="16"/>
      <c r="G284" s="16"/>
      <c r="H284" s="16"/>
      <c r="I284" s="16"/>
      <c r="J284" s="16"/>
      <c r="K284" s="45"/>
      <c r="L284" s="63"/>
      <c r="M284" s="63"/>
      <c r="N284" s="43"/>
    </row>
    <row r="285" spans="1:14" ht="15.75" x14ac:dyDescent="0.25">
      <c r="A285" s="55" t="s">
        <v>352</v>
      </c>
      <c r="B285" s="145">
        <f>B286+B287</f>
        <v>0</v>
      </c>
      <c r="C285" s="99"/>
      <c r="D285" s="37"/>
      <c r="E285" s="16"/>
      <c r="F285" s="16"/>
      <c r="G285" s="16"/>
      <c r="H285" s="16"/>
      <c r="I285" s="16"/>
      <c r="J285" s="16"/>
      <c r="K285" s="45"/>
      <c r="L285" s="63"/>
      <c r="M285" s="63"/>
      <c r="N285" s="43"/>
    </row>
    <row r="286" spans="1:14" ht="15.75" x14ac:dyDescent="0.25">
      <c r="A286" s="55" t="s">
        <v>343</v>
      </c>
      <c r="B286" s="146"/>
      <c r="C286" s="99"/>
      <c r="D286" s="37"/>
      <c r="E286" s="16"/>
      <c r="F286" s="16"/>
      <c r="G286" s="16"/>
      <c r="H286" s="16"/>
      <c r="I286" s="16"/>
      <c r="J286" s="16"/>
      <c r="K286" s="45"/>
      <c r="L286" s="63"/>
      <c r="M286" s="63"/>
      <c r="N286" s="43"/>
    </row>
    <row r="287" spans="1:14" ht="15.75" x14ac:dyDescent="0.25">
      <c r="A287" s="55" t="s">
        <v>353</v>
      </c>
      <c r="B287" s="146"/>
      <c r="C287" s="99"/>
      <c r="D287" s="37"/>
      <c r="E287" s="16"/>
      <c r="F287" s="16"/>
      <c r="G287" s="16"/>
      <c r="H287" s="16"/>
      <c r="I287" s="16"/>
      <c r="J287" s="16"/>
      <c r="K287" s="45"/>
      <c r="L287" s="63"/>
      <c r="M287" s="63"/>
      <c r="N287" s="43"/>
    </row>
    <row r="288" spans="1:14" ht="15.75" x14ac:dyDescent="0.25">
      <c r="A288" s="55" t="s">
        <v>354</v>
      </c>
      <c r="B288" s="145">
        <f>B289+B290</f>
        <v>0</v>
      </c>
      <c r="C288" s="99"/>
      <c r="D288" s="37"/>
      <c r="E288" s="16"/>
      <c r="F288" s="16"/>
      <c r="G288" s="16"/>
      <c r="H288" s="16"/>
      <c r="I288" s="16"/>
      <c r="J288" s="16"/>
      <c r="K288" s="45"/>
      <c r="L288" s="63"/>
      <c r="M288" s="63"/>
      <c r="N288" s="43"/>
    </row>
    <row r="289" spans="1:14" ht="15.75" x14ac:dyDescent="0.25">
      <c r="A289" s="55" t="s">
        <v>344</v>
      </c>
      <c r="B289" s="146"/>
      <c r="C289" s="99"/>
      <c r="D289" s="37"/>
      <c r="E289" s="16"/>
      <c r="F289" s="16"/>
      <c r="G289" s="16"/>
      <c r="H289" s="16"/>
      <c r="I289" s="16"/>
      <c r="J289" s="16"/>
      <c r="K289" s="45"/>
      <c r="L289" s="63"/>
      <c r="M289" s="63"/>
      <c r="N289" s="43"/>
    </row>
    <row r="290" spans="1:14" ht="15.75" x14ac:dyDescent="0.25">
      <c r="A290" s="55" t="s">
        <v>355</v>
      </c>
      <c r="B290" s="146"/>
      <c r="C290" s="99"/>
      <c r="D290" s="37"/>
      <c r="E290" s="16"/>
      <c r="F290" s="16"/>
      <c r="G290" s="16"/>
      <c r="H290" s="16"/>
      <c r="I290" s="16"/>
      <c r="J290" s="16"/>
      <c r="K290" s="45"/>
      <c r="L290" s="63"/>
      <c r="M290" s="63"/>
      <c r="N290" s="43"/>
    </row>
    <row r="291" spans="1:14" ht="15.75" x14ac:dyDescent="0.25">
      <c r="A291" s="78" t="s">
        <v>18</v>
      </c>
      <c r="B291" s="155"/>
      <c r="C291" s="99"/>
      <c r="D291" s="37"/>
      <c r="E291" s="16"/>
      <c r="F291" s="16"/>
      <c r="G291" s="16"/>
      <c r="H291" s="16"/>
      <c r="I291" s="16"/>
      <c r="J291" s="16"/>
      <c r="K291" s="45"/>
      <c r="L291" s="63"/>
      <c r="M291" s="63"/>
      <c r="N291" s="43"/>
    </row>
    <row r="292" spans="1:14" ht="15.75" x14ac:dyDescent="0.25">
      <c r="A292" s="79" t="s">
        <v>19</v>
      </c>
      <c r="B292" s="156"/>
      <c r="C292" s="99"/>
      <c r="D292" s="37"/>
      <c r="E292" s="16"/>
      <c r="F292" s="16"/>
      <c r="G292" s="16"/>
      <c r="H292" s="16"/>
      <c r="I292" s="16"/>
      <c r="J292" s="16"/>
      <c r="K292" s="45"/>
      <c r="L292" s="63"/>
      <c r="M292" s="63"/>
      <c r="N292" s="43"/>
    </row>
    <row r="293" spans="1:14" ht="15.75" x14ac:dyDescent="0.25">
      <c r="A293" s="74" t="s">
        <v>20</v>
      </c>
      <c r="B293" s="153"/>
      <c r="C293" s="99"/>
      <c r="D293" s="37"/>
      <c r="E293" s="16"/>
      <c r="F293" s="16"/>
      <c r="G293" s="16"/>
      <c r="H293" s="16"/>
      <c r="I293" s="16"/>
      <c r="J293" s="16"/>
      <c r="K293" s="45"/>
      <c r="L293" s="63"/>
      <c r="M293" s="63"/>
      <c r="N293" s="43"/>
    </row>
    <row r="294" spans="1:14" ht="15.75" x14ac:dyDescent="0.25">
      <c r="A294" s="80" t="s">
        <v>21</v>
      </c>
      <c r="B294" s="157"/>
      <c r="C294" s="99"/>
      <c r="D294" s="37"/>
      <c r="E294" s="16"/>
      <c r="F294" s="16"/>
      <c r="G294" s="16"/>
      <c r="H294" s="16"/>
      <c r="I294" s="16"/>
      <c r="J294" s="16"/>
      <c r="K294" s="45"/>
      <c r="L294" s="63"/>
      <c r="M294" s="63"/>
      <c r="N294" s="43"/>
    </row>
    <row r="295" spans="1:14" ht="15.75" x14ac:dyDescent="0.25">
      <c r="A295" s="75" t="s">
        <v>137</v>
      </c>
      <c r="B295" s="154"/>
      <c r="C295" s="99"/>
      <c r="D295" s="37"/>
      <c r="E295" s="16"/>
      <c r="F295" s="16"/>
      <c r="G295" s="16"/>
      <c r="H295" s="16"/>
      <c r="I295" s="16"/>
      <c r="J295" s="16"/>
      <c r="K295" s="45"/>
      <c r="L295" s="63"/>
      <c r="M295" s="63"/>
      <c r="N295" s="43"/>
    </row>
    <row r="296" spans="1:14" ht="15.75" x14ac:dyDescent="0.25">
      <c r="A296" s="57" t="s">
        <v>138</v>
      </c>
      <c r="B296" s="152"/>
      <c r="C296" s="99"/>
      <c r="D296" s="37"/>
      <c r="E296" s="16"/>
      <c r="F296" s="16"/>
      <c r="G296" s="16"/>
      <c r="H296" s="16"/>
      <c r="I296" s="16"/>
      <c r="J296" s="16"/>
      <c r="K296" s="45"/>
      <c r="L296" s="63"/>
      <c r="M296" s="63"/>
      <c r="N296" s="43"/>
    </row>
    <row r="297" spans="1:14" ht="15.75" x14ac:dyDescent="0.25">
      <c r="A297" s="57" t="s">
        <v>136</v>
      </c>
      <c r="B297" s="145">
        <f>B298+B301+B304+B307+B310+B312</f>
        <v>0</v>
      </c>
      <c r="C297" s="99"/>
      <c r="D297" s="37"/>
      <c r="E297" s="16"/>
      <c r="F297" s="16"/>
      <c r="G297" s="16"/>
      <c r="H297" s="16"/>
      <c r="I297" s="16"/>
      <c r="J297" s="16"/>
      <c r="K297" s="45"/>
      <c r="L297" s="63"/>
      <c r="M297" s="63"/>
      <c r="N297" s="43"/>
    </row>
    <row r="298" spans="1:14" ht="15.75" x14ac:dyDescent="0.25">
      <c r="A298" s="60" t="s">
        <v>155</v>
      </c>
      <c r="B298" s="145">
        <f>B299+B300</f>
        <v>0</v>
      </c>
      <c r="C298" s="99"/>
      <c r="D298" s="37"/>
      <c r="E298" s="16"/>
      <c r="F298" s="16"/>
      <c r="G298" s="16"/>
      <c r="H298" s="16"/>
      <c r="I298" s="16"/>
      <c r="J298" s="16"/>
      <c r="K298" s="45"/>
      <c r="L298" s="63"/>
      <c r="M298" s="63"/>
      <c r="N298" s="43"/>
    </row>
    <row r="299" spans="1:14" ht="15.75" x14ac:dyDescent="0.25">
      <c r="A299" s="55" t="s">
        <v>139</v>
      </c>
      <c r="B299" s="146"/>
      <c r="C299" s="99"/>
      <c r="D299" s="37"/>
      <c r="E299" s="16"/>
      <c r="F299" s="16"/>
      <c r="G299" s="16"/>
      <c r="H299" s="16"/>
      <c r="I299" s="16"/>
      <c r="J299" s="16"/>
      <c r="K299" s="45"/>
      <c r="L299" s="63"/>
      <c r="M299" s="63"/>
      <c r="N299" s="43"/>
    </row>
    <row r="300" spans="1:14" ht="15.75" x14ac:dyDescent="0.25">
      <c r="A300" s="55" t="s">
        <v>221</v>
      </c>
      <c r="B300" s="146"/>
      <c r="C300" s="99"/>
      <c r="D300" s="37"/>
      <c r="E300" s="16"/>
      <c r="F300" s="16"/>
      <c r="G300" s="16"/>
      <c r="H300" s="16"/>
      <c r="I300" s="16"/>
      <c r="J300" s="16"/>
      <c r="K300" s="45"/>
      <c r="L300" s="63"/>
      <c r="M300" s="63"/>
      <c r="N300" s="43"/>
    </row>
    <row r="301" spans="1:14" ht="15.75" x14ac:dyDescent="0.25">
      <c r="A301" s="55" t="s">
        <v>140</v>
      </c>
      <c r="B301" s="145">
        <f>B302+B303</f>
        <v>0</v>
      </c>
      <c r="C301" s="99"/>
      <c r="D301" s="37"/>
      <c r="E301" s="16"/>
      <c r="F301" s="16"/>
      <c r="G301" s="16"/>
      <c r="H301" s="16"/>
      <c r="I301" s="16"/>
      <c r="J301" s="16"/>
      <c r="K301" s="45"/>
      <c r="L301" s="63"/>
      <c r="M301" s="63"/>
      <c r="N301" s="43"/>
    </row>
    <row r="302" spans="1:14" ht="15.75" x14ac:dyDescent="0.25">
      <c r="A302" s="55" t="s">
        <v>141</v>
      </c>
      <c r="B302" s="146"/>
      <c r="C302" s="99"/>
      <c r="D302" s="37"/>
      <c r="E302" s="16"/>
      <c r="F302" s="16"/>
      <c r="G302" s="16"/>
      <c r="H302" s="16"/>
      <c r="I302" s="16"/>
      <c r="J302" s="16"/>
      <c r="K302" s="45"/>
      <c r="L302" s="63"/>
      <c r="M302" s="63"/>
      <c r="N302" s="43"/>
    </row>
    <row r="303" spans="1:14" ht="15.75" x14ac:dyDescent="0.25">
      <c r="A303" s="55" t="s">
        <v>222</v>
      </c>
      <c r="B303" s="146"/>
      <c r="C303" s="99"/>
      <c r="D303" s="37"/>
      <c r="E303" s="16"/>
      <c r="F303" s="16"/>
      <c r="G303" s="16"/>
      <c r="H303" s="16"/>
      <c r="I303" s="16"/>
      <c r="J303" s="16"/>
      <c r="K303" s="45"/>
      <c r="L303" s="63"/>
      <c r="M303" s="63"/>
      <c r="N303" s="43"/>
    </row>
    <row r="304" spans="1:14" ht="15.75" x14ac:dyDescent="0.25">
      <c r="A304" s="55" t="s">
        <v>142</v>
      </c>
      <c r="B304" s="145">
        <f>B305+B306</f>
        <v>0</v>
      </c>
      <c r="C304" s="99"/>
      <c r="D304" s="37"/>
      <c r="E304" s="16"/>
      <c r="F304" s="16"/>
      <c r="G304" s="16"/>
      <c r="H304" s="16"/>
      <c r="I304" s="16"/>
      <c r="J304" s="16"/>
      <c r="K304" s="45"/>
      <c r="L304" s="63"/>
      <c r="M304" s="63"/>
      <c r="N304" s="43"/>
    </row>
    <row r="305" spans="1:28" ht="15.75" x14ac:dyDescent="0.25">
      <c r="A305" s="55" t="s">
        <v>22</v>
      </c>
      <c r="B305" s="146"/>
      <c r="C305" s="99"/>
      <c r="D305" s="37"/>
      <c r="E305" s="16"/>
      <c r="F305" s="16"/>
      <c r="G305" s="16"/>
      <c r="H305" s="16"/>
      <c r="I305" s="16"/>
      <c r="J305" s="16"/>
      <c r="K305" s="45"/>
      <c r="L305" s="63"/>
      <c r="M305" s="63"/>
      <c r="N305" s="43"/>
    </row>
    <row r="306" spans="1:28" ht="15.75" x14ac:dyDescent="0.25">
      <c r="A306" s="55" t="s">
        <v>223</v>
      </c>
      <c r="B306" s="146"/>
      <c r="C306" s="99"/>
      <c r="D306" s="37"/>
      <c r="E306" s="16"/>
      <c r="F306" s="16"/>
      <c r="G306" s="16"/>
      <c r="H306" s="16"/>
      <c r="I306" s="16"/>
      <c r="J306" s="16"/>
      <c r="K306" s="45"/>
      <c r="L306" s="63"/>
      <c r="M306" s="63"/>
      <c r="N306" s="43"/>
    </row>
    <row r="307" spans="1:28" ht="15.75" x14ac:dyDescent="0.25">
      <c r="A307" s="55" t="s">
        <v>143</v>
      </c>
      <c r="B307" s="145">
        <f>B308+B309</f>
        <v>0</v>
      </c>
      <c r="C307" s="99"/>
      <c r="D307" s="37"/>
      <c r="E307" s="16"/>
      <c r="F307" s="16"/>
      <c r="G307" s="16"/>
      <c r="H307" s="16"/>
      <c r="I307" s="16"/>
      <c r="J307" s="16"/>
      <c r="K307" s="45"/>
      <c r="L307" s="63"/>
      <c r="M307" s="63"/>
      <c r="N307" s="43"/>
    </row>
    <row r="308" spans="1:28" ht="15.75" x14ac:dyDescent="0.25">
      <c r="A308" s="55" t="s">
        <v>144</v>
      </c>
      <c r="B308" s="146"/>
      <c r="C308" s="99"/>
      <c r="D308" s="37"/>
      <c r="E308" s="16"/>
      <c r="F308" s="16"/>
      <c r="G308" s="16"/>
      <c r="H308" s="16"/>
      <c r="I308" s="16"/>
      <c r="J308" s="16"/>
      <c r="K308" s="45"/>
      <c r="L308" s="63"/>
      <c r="M308" s="63"/>
      <c r="N308" s="43"/>
    </row>
    <row r="309" spans="1:28" ht="15.75" x14ac:dyDescent="0.25">
      <c r="A309" s="55" t="s">
        <v>224</v>
      </c>
      <c r="B309" s="146"/>
      <c r="C309" s="99"/>
      <c r="D309" s="37"/>
      <c r="E309" s="16"/>
      <c r="F309" s="16"/>
      <c r="G309" s="16"/>
      <c r="H309" s="16"/>
      <c r="I309" s="16"/>
      <c r="J309" s="16"/>
      <c r="K309" s="45"/>
      <c r="L309" s="63"/>
      <c r="M309" s="63"/>
      <c r="N309" s="43"/>
    </row>
    <row r="310" spans="1:28" ht="15.75" x14ac:dyDescent="0.25">
      <c r="A310" s="55" t="s">
        <v>145</v>
      </c>
      <c r="B310" s="148"/>
      <c r="C310" s="99"/>
      <c r="D310" s="37"/>
      <c r="E310" s="16"/>
      <c r="F310" s="16"/>
      <c r="G310" s="16"/>
      <c r="H310" s="16"/>
      <c r="I310" s="16"/>
      <c r="J310" s="16"/>
      <c r="K310" s="45"/>
      <c r="L310" s="63"/>
      <c r="M310" s="63"/>
      <c r="N310" s="43"/>
    </row>
    <row r="311" spans="1:28" ht="15.75" x14ac:dyDescent="0.25">
      <c r="A311" s="60" t="s">
        <v>146</v>
      </c>
      <c r="B311" s="145"/>
      <c r="C311" s="99"/>
      <c r="D311" s="37"/>
      <c r="E311" s="16"/>
      <c r="F311" s="16"/>
      <c r="G311" s="16"/>
      <c r="H311" s="16"/>
      <c r="I311" s="16"/>
      <c r="J311" s="16"/>
      <c r="K311" s="45"/>
      <c r="L311" s="63"/>
      <c r="M311" s="63"/>
      <c r="N311" s="43"/>
    </row>
    <row r="312" spans="1:28" ht="15.75" customHeight="1" x14ac:dyDescent="0.25">
      <c r="A312" s="55" t="s">
        <v>147</v>
      </c>
      <c r="B312" s="146"/>
      <c r="C312" s="99"/>
      <c r="D312" s="37"/>
      <c r="E312" s="16"/>
      <c r="F312" s="16"/>
      <c r="G312" s="16"/>
      <c r="H312" s="16"/>
      <c r="I312" s="16"/>
      <c r="J312" s="16"/>
      <c r="K312" s="45"/>
      <c r="L312" s="63"/>
      <c r="M312" s="63"/>
      <c r="N312" s="43"/>
    </row>
    <row r="313" spans="1:28" ht="15.75" customHeight="1" x14ac:dyDescent="0.25">
      <c r="A313" s="61" t="s">
        <v>230</v>
      </c>
      <c r="B313" s="147"/>
      <c r="C313" s="99"/>
      <c r="D313" s="37"/>
      <c r="E313" s="16"/>
      <c r="F313" s="16"/>
      <c r="G313" s="16"/>
      <c r="H313" s="16"/>
      <c r="I313" s="16"/>
      <c r="J313" s="16"/>
      <c r="K313" s="45"/>
      <c r="L313" s="63"/>
      <c r="M313" s="63"/>
      <c r="N313" s="43"/>
    </row>
    <row r="314" spans="1:28" ht="15.75" x14ac:dyDescent="0.25">
      <c r="A314" s="57" t="s">
        <v>148</v>
      </c>
      <c r="B314" s="149"/>
      <c r="C314" s="99"/>
      <c r="D314" s="37"/>
      <c r="E314" s="16"/>
      <c r="F314" s="16"/>
      <c r="G314" s="16"/>
      <c r="H314" s="16"/>
      <c r="I314" s="16"/>
      <c r="J314" s="16"/>
      <c r="K314" s="45"/>
      <c r="L314" s="63"/>
      <c r="M314" s="63"/>
      <c r="N314" s="43"/>
    </row>
    <row r="315" spans="1:28" ht="26.25" x14ac:dyDescent="0.25">
      <c r="A315" s="76" t="s">
        <v>356</v>
      </c>
      <c r="B315" s="151"/>
      <c r="C315" s="99"/>
      <c r="D315" s="37"/>
      <c r="E315" s="16"/>
      <c r="F315" s="16"/>
      <c r="G315" s="16"/>
      <c r="H315" s="16"/>
      <c r="I315" s="16"/>
      <c r="J315" s="16"/>
      <c r="K315" s="45"/>
      <c r="L315" s="63"/>
      <c r="M315" s="63"/>
      <c r="N315" s="43"/>
    </row>
    <row r="316" spans="1:28" ht="15.75" x14ac:dyDescent="0.25">
      <c r="A316" s="57" t="s">
        <v>149</v>
      </c>
      <c r="B316" s="148"/>
      <c r="C316" s="99"/>
      <c r="D316" s="37"/>
      <c r="E316" s="16"/>
      <c r="F316" s="16"/>
      <c r="G316" s="16"/>
      <c r="H316" s="16"/>
      <c r="I316" s="16"/>
      <c r="J316" s="16"/>
      <c r="K316" s="45"/>
      <c r="L316" s="63"/>
      <c r="M316" s="63"/>
      <c r="N316" s="43"/>
    </row>
    <row r="317" spans="1:28" ht="15.75" x14ac:dyDescent="0.25">
      <c r="A317" s="55" t="s">
        <v>357</v>
      </c>
      <c r="B317" s="145">
        <f>B318+B319</f>
        <v>0</v>
      </c>
      <c r="C317" s="99"/>
      <c r="D317" s="37"/>
      <c r="E317" s="16"/>
      <c r="F317" s="16"/>
      <c r="G317" s="16"/>
      <c r="H317" s="16"/>
      <c r="I317" s="16"/>
      <c r="J317" s="16"/>
      <c r="K317" s="45"/>
      <c r="L317" s="63"/>
      <c r="M317" s="63"/>
      <c r="N317" s="43"/>
    </row>
    <row r="318" spans="1:28" ht="15.75" x14ac:dyDescent="0.25">
      <c r="A318" s="55" t="s">
        <v>22</v>
      </c>
      <c r="B318" s="146"/>
      <c r="C318" s="99"/>
      <c r="D318" s="37"/>
      <c r="E318" s="16"/>
      <c r="F318" s="16"/>
      <c r="G318" s="16"/>
      <c r="H318" s="16"/>
      <c r="I318" s="16"/>
      <c r="J318" s="16"/>
      <c r="K318" s="45"/>
      <c r="L318" s="63"/>
      <c r="M318" s="63"/>
      <c r="N318" s="43"/>
    </row>
    <row r="319" spans="1:28" ht="15.75" x14ac:dyDescent="0.25">
      <c r="A319" s="55" t="s">
        <v>223</v>
      </c>
      <c r="B319" s="146"/>
      <c r="C319" s="99"/>
      <c r="D319" s="37"/>
      <c r="E319" s="16"/>
      <c r="F319" s="16"/>
      <c r="G319" s="16"/>
      <c r="H319" s="16"/>
      <c r="I319" s="16"/>
      <c r="J319" s="16"/>
      <c r="K319" s="45"/>
      <c r="L319" s="63"/>
      <c r="M319" s="63"/>
      <c r="N319" s="43"/>
    </row>
    <row r="320" spans="1:28" s="267" customFormat="1" ht="18.75" customHeight="1" x14ac:dyDescent="0.2">
      <c r="A320" s="268" t="s">
        <v>444</v>
      </c>
      <c r="B320" s="270"/>
      <c r="C320" s="263"/>
      <c r="D320" s="37"/>
      <c r="E320" s="264"/>
      <c r="F320" s="264"/>
      <c r="G320" s="264"/>
      <c r="H320" s="264"/>
      <c r="I320" s="264"/>
      <c r="J320" s="264"/>
      <c r="K320" s="264"/>
      <c r="L320" s="264"/>
      <c r="M320" s="264"/>
      <c r="N320" s="264"/>
      <c r="O320" s="264"/>
      <c r="P320" s="264"/>
      <c r="Q320" s="264"/>
      <c r="R320" s="264"/>
      <c r="S320" s="264"/>
      <c r="T320" s="264"/>
      <c r="U320" s="264"/>
      <c r="V320" s="264"/>
      <c r="W320" s="264"/>
      <c r="X320" s="264"/>
      <c r="Y320" s="264"/>
      <c r="Z320" s="265"/>
      <c r="AA320" s="266"/>
      <c r="AB320" s="266"/>
    </row>
    <row r="321" spans="1:28" s="267" customFormat="1" ht="18.75" customHeight="1" x14ac:dyDescent="0.2">
      <c r="A321" s="269" t="s">
        <v>446</v>
      </c>
      <c r="B321" s="152"/>
      <c r="C321" s="263"/>
      <c r="D321" s="37"/>
      <c r="E321" s="264"/>
      <c r="F321" s="264"/>
      <c r="G321" s="264"/>
      <c r="H321" s="264"/>
      <c r="I321" s="264"/>
      <c r="J321" s="264"/>
      <c r="K321" s="264"/>
      <c r="L321" s="264"/>
      <c r="M321" s="264"/>
      <c r="N321" s="264"/>
      <c r="O321" s="264"/>
      <c r="P321" s="264"/>
      <c r="Q321" s="264"/>
      <c r="R321" s="264"/>
      <c r="S321" s="264"/>
      <c r="T321" s="264"/>
      <c r="U321" s="264"/>
      <c r="V321" s="264"/>
      <c r="W321" s="264"/>
      <c r="X321" s="264"/>
      <c r="Y321" s="264"/>
      <c r="Z321" s="265"/>
      <c r="AA321" s="266"/>
      <c r="AB321" s="266"/>
    </row>
    <row r="322" spans="1:28" s="267" customFormat="1" ht="18.75" customHeight="1" x14ac:dyDescent="0.2">
      <c r="A322" s="269" t="s">
        <v>447</v>
      </c>
      <c r="B322" s="148"/>
      <c r="C322" s="263"/>
      <c r="D322" s="37"/>
      <c r="E322" s="264"/>
      <c r="F322" s="264"/>
      <c r="G322" s="264"/>
      <c r="H322" s="264"/>
      <c r="I322" s="264"/>
      <c r="J322" s="264"/>
      <c r="K322" s="264"/>
      <c r="L322" s="264"/>
      <c r="M322" s="264"/>
      <c r="N322" s="264"/>
      <c r="O322" s="264"/>
      <c r="P322" s="264"/>
      <c r="Q322" s="264"/>
      <c r="R322" s="264"/>
      <c r="S322" s="264"/>
      <c r="T322" s="264"/>
      <c r="U322" s="264"/>
      <c r="V322" s="264"/>
      <c r="W322" s="264"/>
      <c r="X322" s="264"/>
      <c r="Y322" s="264"/>
      <c r="Z322" s="265"/>
      <c r="AA322" s="266"/>
      <c r="AB322" s="266"/>
    </row>
    <row r="323" spans="1:28" ht="30" customHeight="1" x14ac:dyDescent="0.25">
      <c r="A323" s="268" t="s">
        <v>445</v>
      </c>
      <c r="B323" s="146"/>
      <c r="C323" s="99"/>
      <c r="D323" s="37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45"/>
      <c r="AA323" s="63"/>
      <c r="AB323" s="63"/>
    </row>
    <row r="324" spans="1:28" ht="15.75" x14ac:dyDescent="0.25">
      <c r="A324" s="52"/>
      <c r="B324" s="50"/>
      <c r="C324" s="99"/>
      <c r="D324" s="37"/>
      <c r="E324" s="16"/>
      <c r="F324" s="16"/>
      <c r="G324" s="16"/>
      <c r="H324" s="16"/>
      <c r="I324" s="16"/>
      <c r="J324" s="16"/>
      <c r="K324" s="45"/>
      <c r="L324" s="16"/>
      <c r="M324" s="63"/>
      <c r="N324" s="43"/>
    </row>
    <row r="325" spans="1:28" ht="15.75" x14ac:dyDescent="0.25">
      <c r="A325" s="53"/>
      <c r="B325" s="50"/>
      <c r="C325" s="99"/>
      <c r="D325" s="37"/>
      <c r="E325" s="16"/>
      <c r="F325" s="16"/>
      <c r="G325" s="16"/>
      <c r="H325" s="16"/>
      <c r="I325" s="16"/>
      <c r="J325" s="16"/>
      <c r="K325" s="45"/>
      <c r="L325" s="16"/>
      <c r="M325" s="63"/>
      <c r="N325" s="43"/>
    </row>
    <row r="326" spans="1:28" ht="15.75" x14ac:dyDescent="0.25">
      <c r="A326" s="41"/>
      <c r="B326" s="42"/>
      <c r="C326" s="158"/>
      <c r="D326" s="37"/>
      <c r="E326" s="16"/>
      <c r="F326" s="16"/>
      <c r="G326" s="16"/>
      <c r="H326" s="16"/>
      <c r="I326" s="16"/>
      <c r="J326" s="16"/>
      <c r="K326" s="45"/>
      <c r="L326" s="16"/>
      <c r="M326" s="63"/>
      <c r="N326" s="43"/>
    </row>
    <row r="327" spans="1:28" ht="15.75" x14ac:dyDescent="0.25">
      <c r="A327" s="20"/>
      <c r="B327" s="27"/>
      <c r="C327" s="99"/>
      <c r="D327" s="20"/>
      <c r="E327" s="16"/>
      <c r="F327" s="16"/>
      <c r="G327" s="16"/>
      <c r="H327" s="16"/>
      <c r="I327" s="16"/>
      <c r="J327" s="16"/>
      <c r="K327" s="45"/>
      <c r="L327" s="16"/>
      <c r="M327" s="63"/>
      <c r="N327" s="43"/>
    </row>
    <row r="328" spans="1:28" ht="15.75" x14ac:dyDescent="0.25">
      <c r="A328" s="20"/>
      <c r="B328" s="27"/>
      <c r="C328" s="20"/>
      <c r="D328" s="20"/>
      <c r="E328" s="16"/>
      <c r="F328" s="16"/>
      <c r="G328" s="16"/>
      <c r="H328" s="16"/>
      <c r="I328" s="16"/>
      <c r="J328" s="16"/>
      <c r="K328" s="45"/>
      <c r="L328" s="16"/>
      <c r="M328" s="63"/>
      <c r="N328" s="43"/>
    </row>
    <row r="329" spans="1:28" ht="15.75" x14ac:dyDescent="0.25">
      <c r="A329" s="28"/>
      <c r="B329" s="27"/>
      <c r="C329" s="20"/>
      <c r="D329" s="20"/>
      <c r="E329" s="16"/>
      <c r="F329" s="16"/>
      <c r="G329" s="16"/>
      <c r="H329" s="16"/>
      <c r="I329" s="16"/>
      <c r="J329" s="16"/>
      <c r="K329" s="45"/>
      <c r="L329" s="16"/>
      <c r="M329" s="63"/>
      <c r="N329" s="43"/>
    </row>
    <row r="330" spans="1:28" ht="15.75" x14ac:dyDescent="0.25">
      <c r="A330" s="26"/>
      <c r="B330" s="27"/>
      <c r="C330" s="20"/>
      <c r="D330" s="20"/>
      <c r="E330" s="16"/>
      <c r="F330" s="16"/>
      <c r="G330" s="16"/>
      <c r="H330" s="16"/>
      <c r="I330" s="16"/>
      <c r="J330" s="16"/>
      <c r="K330" s="45"/>
      <c r="L330" s="16"/>
      <c r="M330" s="63"/>
      <c r="N330" s="43"/>
    </row>
    <row r="331" spans="1:28" ht="15.75" x14ac:dyDescent="0.25">
      <c r="A331" s="20"/>
      <c r="B331" s="27"/>
      <c r="C331" s="20"/>
      <c r="D331" s="20"/>
      <c r="E331" s="16"/>
      <c r="F331" s="16"/>
      <c r="G331" s="16"/>
      <c r="H331" s="16"/>
      <c r="I331" s="16"/>
      <c r="J331" s="16"/>
      <c r="K331" s="45"/>
      <c r="L331" s="16"/>
      <c r="M331" s="63"/>
      <c r="N331" s="43"/>
    </row>
    <row r="332" spans="1:28" x14ac:dyDescent="0.2">
      <c r="A332" s="26"/>
      <c r="B332" s="27"/>
      <c r="C332" s="20"/>
      <c r="D332" s="20"/>
      <c r="E332" s="16"/>
      <c r="F332" s="16"/>
      <c r="G332" s="16"/>
      <c r="H332" s="16"/>
      <c r="I332" s="16"/>
      <c r="J332" s="16"/>
      <c r="K332" s="16"/>
      <c r="L332" s="16"/>
      <c r="M332" s="63"/>
      <c r="N332" s="43"/>
    </row>
    <row r="333" spans="1:28" x14ac:dyDescent="0.2">
      <c r="A333" s="20"/>
      <c r="B333" s="27"/>
      <c r="C333" s="20"/>
      <c r="D333" s="20"/>
      <c r="E333" s="16"/>
      <c r="F333" s="16"/>
      <c r="G333" s="16"/>
      <c r="H333" s="16"/>
      <c r="I333" s="16"/>
      <c r="J333" s="16"/>
      <c r="K333" s="16"/>
      <c r="L333" s="16"/>
      <c r="M333" s="63"/>
      <c r="N333" s="43"/>
    </row>
    <row r="334" spans="1:28" x14ac:dyDescent="0.2">
      <c r="A334" s="20"/>
      <c r="B334" s="30"/>
      <c r="C334" s="43"/>
      <c r="D334" s="43"/>
      <c r="E334" s="63"/>
      <c r="F334" s="63"/>
      <c r="G334" s="63"/>
      <c r="H334" s="63"/>
      <c r="I334" s="63"/>
      <c r="J334" s="63"/>
      <c r="K334" s="63"/>
      <c r="L334" s="63"/>
      <c r="M334" s="63"/>
      <c r="N334" s="43"/>
    </row>
    <row r="335" spans="1:28" x14ac:dyDescent="0.2">
      <c r="A335" s="20"/>
      <c r="B335" s="30"/>
      <c r="C335" s="43"/>
      <c r="D335" s="43"/>
      <c r="E335" s="63"/>
      <c r="F335" s="63"/>
      <c r="G335" s="63"/>
      <c r="H335" s="63"/>
      <c r="I335" s="63"/>
      <c r="J335" s="63"/>
      <c r="K335" s="63"/>
      <c r="L335" s="63"/>
      <c r="M335" s="63"/>
      <c r="N335" s="43"/>
    </row>
    <row r="336" spans="1:28" x14ac:dyDescent="0.2">
      <c r="A336" s="20"/>
      <c r="B336" s="30"/>
      <c r="C336" s="43"/>
      <c r="D336" s="43"/>
      <c r="E336" s="63"/>
      <c r="F336" s="63"/>
      <c r="G336" s="63"/>
      <c r="H336" s="63"/>
      <c r="I336" s="63"/>
      <c r="J336" s="63"/>
      <c r="K336" s="63"/>
      <c r="L336" s="63"/>
      <c r="M336" s="63"/>
      <c r="N336" s="43"/>
    </row>
    <row r="337" spans="1:14" x14ac:dyDescent="0.2">
      <c r="A337" s="20"/>
      <c r="B337" s="30"/>
      <c r="C337" s="43"/>
      <c r="D337" s="43"/>
      <c r="E337" s="63"/>
      <c r="F337" s="63"/>
      <c r="G337" s="63"/>
      <c r="H337" s="63"/>
      <c r="I337" s="63"/>
      <c r="J337" s="63"/>
      <c r="K337" s="63"/>
      <c r="L337" s="63"/>
      <c r="M337" s="63"/>
      <c r="N337" s="43"/>
    </row>
    <row r="338" spans="1:14" x14ac:dyDescent="0.2">
      <c r="A338" s="20"/>
      <c r="B338" s="30"/>
      <c r="C338" s="43"/>
      <c r="D338" s="43"/>
      <c r="E338" s="63"/>
      <c r="F338" s="63"/>
      <c r="G338" s="63"/>
      <c r="H338" s="63"/>
      <c r="I338" s="63"/>
      <c r="J338" s="63"/>
      <c r="K338" s="63"/>
      <c r="L338" s="63"/>
      <c r="M338" s="63"/>
      <c r="N338" s="43"/>
    </row>
    <row r="339" spans="1:14" x14ac:dyDescent="0.2">
      <c r="A339" s="20"/>
      <c r="B339" s="30"/>
      <c r="C339" s="43"/>
      <c r="D339" s="43"/>
      <c r="E339" s="63"/>
      <c r="F339" s="63"/>
      <c r="G339" s="63"/>
      <c r="H339" s="63"/>
      <c r="I339" s="63"/>
      <c r="J339" s="63"/>
      <c r="K339" s="63"/>
      <c r="L339" s="63"/>
      <c r="M339" s="63"/>
      <c r="N339" s="43"/>
    </row>
    <row r="340" spans="1:14" x14ac:dyDescent="0.2">
      <c r="A340" s="20"/>
      <c r="B340" s="30"/>
      <c r="C340" s="43"/>
      <c r="D340" s="43"/>
      <c r="E340" s="63"/>
      <c r="F340" s="63"/>
      <c r="G340" s="63"/>
      <c r="H340" s="63"/>
      <c r="I340" s="63"/>
      <c r="J340" s="63"/>
      <c r="K340" s="63"/>
      <c r="L340" s="63"/>
      <c r="M340" s="63"/>
      <c r="N340" s="43"/>
    </row>
    <row r="341" spans="1:14" x14ac:dyDescent="0.2">
      <c r="A341" s="20"/>
      <c r="B341" s="30"/>
      <c r="C341" s="43"/>
      <c r="D341" s="43"/>
      <c r="E341" s="63"/>
      <c r="F341" s="63"/>
      <c r="G341" s="63"/>
      <c r="H341" s="63"/>
      <c r="I341" s="63"/>
      <c r="J341" s="63"/>
      <c r="K341" s="63"/>
      <c r="L341" s="63"/>
      <c r="M341" s="63"/>
      <c r="N341" s="43"/>
    </row>
    <row r="342" spans="1:14" x14ac:dyDescent="0.2">
      <c r="A342" s="20"/>
      <c r="B342" s="30"/>
      <c r="C342" s="43"/>
      <c r="D342" s="43"/>
      <c r="E342" s="63"/>
      <c r="F342" s="63"/>
      <c r="G342" s="63"/>
      <c r="H342" s="63"/>
      <c r="I342" s="63"/>
      <c r="J342" s="63"/>
      <c r="K342" s="63"/>
      <c r="L342" s="63"/>
      <c r="M342" s="63"/>
      <c r="N342" s="43"/>
    </row>
    <row r="343" spans="1:14" x14ac:dyDescent="0.2">
      <c r="A343" s="20"/>
      <c r="B343" s="30"/>
      <c r="C343" s="43"/>
      <c r="D343" s="43"/>
      <c r="E343" s="63"/>
      <c r="F343" s="63"/>
      <c r="G343" s="63"/>
      <c r="H343" s="63"/>
      <c r="I343" s="63"/>
      <c r="J343" s="63"/>
      <c r="K343" s="63"/>
      <c r="L343" s="63"/>
      <c r="M343" s="63"/>
      <c r="N343" s="43"/>
    </row>
    <row r="344" spans="1:14" x14ac:dyDescent="0.2">
      <c r="A344" s="20"/>
      <c r="B344" s="30"/>
      <c r="C344" s="43"/>
      <c r="D344" s="43"/>
      <c r="E344" s="63"/>
      <c r="F344" s="63"/>
      <c r="G344" s="63"/>
      <c r="H344" s="63"/>
      <c r="I344" s="63"/>
      <c r="J344" s="63"/>
      <c r="K344" s="63"/>
      <c r="L344" s="63"/>
      <c r="M344" s="63"/>
      <c r="N344" s="43"/>
    </row>
    <row r="345" spans="1:14" x14ac:dyDescent="0.2">
      <c r="A345" s="20"/>
      <c r="B345" s="30"/>
      <c r="C345" s="43"/>
      <c r="D345" s="43"/>
      <c r="E345" s="63"/>
      <c r="F345" s="63"/>
      <c r="G345" s="63"/>
      <c r="H345" s="63"/>
      <c r="I345" s="63"/>
      <c r="J345" s="63"/>
      <c r="K345" s="63"/>
      <c r="L345" s="63"/>
      <c r="M345" s="63"/>
      <c r="N345" s="43"/>
    </row>
    <row r="346" spans="1:14" x14ac:dyDescent="0.2">
      <c r="A346" s="20"/>
      <c r="B346" s="30"/>
      <c r="C346" s="43"/>
      <c r="D346" s="43"/>
      <c r="E346" s="63"/>
      <c r="F346" s="63"/>
      <c r="G346" s="63"/>
      <c r="H346" s="63"/>
      <c r="I346" s="63"/>
      <c r="J346" s="63"/>
      <c r="K346" s="63"/>
      <c r="L346" s="63"/>
      <c r="M346" s="63"/>
      <c r="N346" s="43"/>
    </row>
    <row r="347" spans="1:14" x14ac:dyDescent="0.2">
      <c r="A347" s="20"/>
      <c r="B347" s="30"/>
      <c r="C347" s="43"/>
      <c r="D347" s="43"/>
      <c r="E347" s="63"/>
      <c r="F347" s="63"/>
      <c r="G347" s="63"/>
      <c r="H347" s="63"/>
      <c r="I347" s="63"/>
      <c r="J347" s="63"/>
      <c r="K347" s="63"/>
      <c r="L347" s="63"/>
      <c r="M347" s="63"/>
      <c r="N347" s="43"/>
    </row>
    <row r="348" spans="1:14" x14ac:dyDescent="0.2">
      <c r="A348" s="20"/>
      <c r="B348" s="30"/>
      <c r="C348" s="43"/>
      <c r="D348" s="43"/>
      <c r="E348" s="63"/>
      <c r="F348" s="63"/>
      <c r="G348" s="63"/>
      <c r="H348" s="63"/>
      <c r="I348" s="63"/>
      <c r="J348" s="63"/>
      <c r="K348" s="63"/>
      <c r="L348" s="63"/>
      <c r="M348" s="63"/>
      <c r="N348" s="43"/>
    </row>
    <row r="349" spans="1:14" x14ac:dyDescent="0.2">
      <c r="A349" s="20"/>
      <c r="B349" s="30"/>
      <c r="C349" s="43"/>
      <c r="D349" s="43"/>
      <c r="E349" s="63"/>
      <c r="F349" s="63"/>
      <c r="G349" s="63"/>
      <c r="H349" s="63"/>
      <c r="I349" s="63"/>
      <c r="J349" s="63"/>
      <c r="K349" s="63"/>
      <c r="L349" s="63"/>
      <c r="M349" s="63"/>
      <c r="N349" s="43"/>
    </row>
    <row r="350" spans="1:14" x14ac:dyDescent="0.2">
      <c r="A350" s="20"/>
      <c r="B350" s="30"/>
      <c r="C350" s="43"/>
      <c r="D350" s="43"/>
      <c r="E350" s="63"/>
      <c r="F350" s="63"/>
      <c r="G350" s="63"/>
      <c r="H350" s="63"/>
      <c r="I350" s="63"/>
      <c r="J350" s="63"/>
      <c r="K350" s="63"/>
      <c r="L350" s="63"/>
      <c r="M350" s="63"/>
      <c r="N350" s="43"/>
    </row>
    <row r="351" spans="1:14" x14ac:dyDescent="0.2">
      <c r="A351" s="20"/>
      <c r="B351" s="30"/>
      <c r="C351" s="43"/>
      <c r="D351" s="43"/>
      <c r="E351" s="63"/>
      <c r="F351" s="63"/>
      <c r="G351" s="63"/>
      <c r="H351" s="63"/>
      <c r="I351" s="63"/>
      <c r="J351" s="63"/>
      <c r="K351" s="63"/>
      <c r="L351" s="63"/>
      <c r="M351" s="63"/>
      <c r="N351" s="43"/>
    </row>
    <row r="352" spans="1:14" x14ac:dyDescent="0.2">
      <c r="A352" s="20"/>
      <c r="B352" s="30"/>
      <c r="C352" s="43"/>
      <c r="D352" s="43"/>
      <c r="E352" s="63"/>
      <c r="F352" s="63"/>
      <c r="G352" s="63"/>
      <c r="H352" s="63"/>
      <c r="I352" s="63"/>
      <c r="J352" s="63"/>
      <c r="K352" s="63"/>
      <c r="L352" s="63"/>
      <c r="M352" s="63"/>
      <c r="N352" s="43"/>
    </row>
    <row r="353" spans="1:14" x14ac:dyDescent="0.2">
      <c r="A353" s="20"/>
      <c r="B353" s="30"/>
      <c r="C353" s="43"/>
      <c r="D353" s="43"/>
      <c r="E353" s="63"/>
      <c r="F353" s="63"/>
      <c r="G353" s="63"/>
      <c r="H353" s="63"/>
      <c r="I353" s="63"/>
      <c r="J353" s="63"/>
      <c r="K353" s="63"/>
      <c r="L353" s="63"/>
      <c r="M353" s="63"/>
      <c r="N353" s="43"/>
    </row>
    <row r="354" spans="1:14" x14ac:dyDescent="0.2">
      <c r="A354" s="20"/>
      <c r="B354" s="30"/>
      <c r="C354" s="43"/>
      <c r="D354" s="43"/>
      <c r="E354" s="63"/>
      <c r="F354" s="63"/>
      <c r="G354" s="63"/>
      <c r="H354" s="63"/>
      <c r="I354" s="63"/>
      <c r="J354" s="63"/>
      <c r="K354" s="63"/>
      <c r="L354" s="63"/>
      <c r="M354" s="63"/>
      <c r="N354" s="43"/>
    </row>
    <row r="355" spans="1:14" x14ac:dyDescent="0.2">
      <c r="A355" s="20"/>
      <c r="B355" s="30"/>
      <c r="C355" s="43"/>
      <c r="D355" s="43"/>
      <c r="E355" s="63"/>
      <c r="F355" s="63"/>
      <c r="G355" s="63"/>
      <c r="H355" s="63"/>
      <c r="I355" s="63"/>
      <c r="J355" s="63"/>
      <c r="K355" s="63"/>
      <c r="L355" s="63"/>
      <c r="M355" s="63"/>
      <c r="N355" s="43"/>
    </row>
    <row r="356" spans="1:14" x14ac:dyDescent="0.2">
      <c r="A356" s="20"/>
      <c r="B356" s="30"/>
      <c r="C356" s="43"/>
      <c r="D356" s="43"/>
      <c r="E356" s="63"/>
      <c r="F356" s="63"/>
      <c r="G356" s="63"/>
      <c r="H356" s="63"/>
      <c r="I356" s="63"/>
      <c r="J356" s="63"/>
      <c r="K356" s="63"/>
      <c r="L356" s="63"/>
      <c r="M356" s="63"/>
      <c r="N356" s="43"/>
    </row>
    <row r="357" spans="1:14" x14ac:dyDescent="0.2">
      <c r="A357" s="20"/>
      <c r="B357" s="30"/>
      <c r="C357" s="43"/>
      <c r="D357" s="43"/>
      <c r="E357" s="63"/>
      <c r="F357" s="63"/>
      <c r="G357" s="63"/>
      <c r="H357" s="63"/>
      <c r="I357" s="63"/>
      <c r="J357" s="63"/>
      <c r="K357" s="63"/>
      <c r="L357" s="63"/>
      <c r="M357" s="63"/>
      <c r="N357" s="43"/>
    </row>
    <row r="358" spans="1:14" x14ac:dyDescent="0.2">
      <c r="A358" s="20"/>
      <c r="B358" s="30"/>
      <c r="C358" s="43"/>
      <c r="D358" s="43"/>
      <c r="E358" s="63"/>
      <c r="F358" s="63"/>
      <c r="G358" s="63"/>
      <c r="H358" s="63"/>
      <c r="I358" s="63"/>
      <c r="J358" s="63"/>
      <c r="K358" s="63"/>
      <c r="L358" s="63"/>
      <c r="M358" s="63"/>
      <c r="N358" s="43"/>
    </row>
    <row r="359" spans="1:14" x14ac:dyDescent="0.2">
      <c r="A359" s="20"/>
      <c r="B359" s="30"/>
      <c r="C359" s="43"/>
      <c r="D359" s="43"/>
      <c r="E359" s="63"/>
      <c r="F359" s="63"/>
      <c r="G359" s="63"/>
      <c r="H359" s="63"/>
      <c r="I359" s="63"/>
      <c r="J359" s="63"/>
      <c r="K359" s="63"/>
      <c r="L359" s="63"/>
      <c r="M359" s="63"/>
      <c r="N359" s="43"/>
    </row>
    <row r="360" spans="1:14" x14ac:dyDescent="0.2">
      <c r="A360" s="20"/>
      <c r="B360" s="30"/>
      <c r="C360" s="43"/>
      <c r="D360" s="43"/>
      <c r="E360" s="63"/>
      <c r="F360" s="63"/>
      <c r="G360" s="63"/>
      <c r="H360" s="63"/>
      <c r="I360" s="63"/>
      <c r="J360" s="63"/>
      <c r="K360" s="63"/>
      <c r="L360" s="63"/>
      <c r="M360" s="63"/>
      <c r="N360" s="43"/>
    </row>
    <row r="361" spans="1:14" x14ac:dyDescent="0.2">
      <c r="A361" s="20"/>
      <c r="B361" s="30"/>
      <c r="C361" s="43"/>
      <c r="D361" s="43"/>
      <c r="E361" s="63"/>
      <c r="F361" s="63"/>
      <c r="G361" s="63"/>
      <c r="H361" s="63"/>
      <c r="I361" s="63"/>
      <c r="J361" s="63"/>
      <c r="K361" s="63"/>
      <c r="L361" s="63"/>
      <c r="M361" s="63"/>
      <c r="N361" s="43"/>
    </row>
    <row r="362" spans="1:14" x14ac:dyDescent="0.2">
      <c r="A362" s="20"/>
      <c r="B362" s="30"/>
      <c r="C362" s="43"/>
      <c r="D362" s="43"/>
      <c r="E362" s="63"/>
      <c r="F362" s="63"/>
      <c r="G362" s="63"/>
      <c r="H362" s="63"/>
      <c r="I362" s="63"/>
      <c r="J362" s="63"/>
      <c r="K362" s="63"/>
      <c r="L362" s="63"/>
      <c r="M362" s="63"/>
      <c r="N362" s="43"/>
    </row>
    <row r="363" spans="1:14" x14ac:dyDescent="0.2">
      <c r="A363" s="20"/>
      <c r="B363" s="30"/>
      <c r="C363" s="43"/>
      <c r="D363" s="43"/>
      <c r="E363" s="63"/>
      <c r="F363" s="63"/>
      <c r="G363" s="63"/>
      <c r="H363" s="63"/>
      <c r="I363" s="63"/>
      <c r="J363" s="63"/>
      <c r="K363" s="63"/>
      <c r="L363" s="63"/>
      <c r="M363" s="63"/>
      <c r="N363" s="43"/>
    </row>
    <row r="364" spans="1:14" x14ac:dyDescent="0.2">
      <c r="A364" s="20"/>
      <c r="B364" s="30"/>
      <c r="C364" s="43"/>
      <c r="D364" s="43"/>
      <c r="E364" s="63"/>
      <c r="F364" s="63"/>
      <c r="G364" s="63"/>
      <c r="H364" s="63"/>
      <c r="I364" s="63"/>
      <c r="J364" s="63"/>
      <c r="K364" s="63"/>
      <c r="L364" s="63"/>
      <c r="M364" s="63"/>
      <c r="N364" s="43"/>
    </row>
    <row r="365" spans="1:14" x14ac:dyDescent="0.2">
      <c r="A365" s="20"/>
      <c r="B365" s="30"/>
      <c r="C365" s="43"/>
      <c r="D365" s="43"/>
      <c r="E365" s="63"/>
      <c r="F365" s="63"/>
      <c r="G365" s="63"/>
      <c r="H365" s="63"/>
      <c r="I365" s="63"/>
      <c r="J365" s="63"/>
      <c r="K365" s="63"/>
      <c r="L365" s="63"/>
      <c r="M365" s="63"/>
      <c r="N365" s="43"/>
    </row>
    <row r="366" spans="1:14" x14ac:dyDescent="0.2">
      <c r="A366" s="20"/>
      <c r="B366" s="30"/>
      <c r="C366" s="43"/>
      <c r="D366" s="43"/>
      <c r="E366" s="63"/>
      <c r="F366" s="63"/>
      <c r="G366" s="63"/>
      <c r="H366" s="63"/>
      <c r="I366" s="63"/>
      <c r="J366" s="63"/>
      <c r="K366" s="63"/>
      <c r="L366" s="63"/>
      <c r="M366" s="63"/>
      <c r="N366" s="43"/>
    </row>
    <row r="367" spans="1:14" x14ac:dyDescent="0.2">
      <c r="A367" s="20"/>
      <c r="B367" s="30"/>
      <c r="C367" s="43"/>
      <c r="D367" s="43"/>
      <c r="E367" s="63"/>
      <c r="F367" s="63"/>
      <c r="G367" s="63"/>
      <c r="H367" s="63"/>
      <c r="I367" s="63"/>
      <c r="J367" s="63"/>
      <c r="K367" s="63"/>
      <c r="L367" s="63"/>
      <c r="M367" s="63"/>
      <c r="N367" s="43"/>
    </row>
    <row r="368" spans="1:14" x14ac:dyDescent="0.2">
      <c r="A368" s="20"/>
      <c r="B368" s="30"/>
      <c r="C368" s="43"/>
      <c r="D368" s="43"/>
      <c r="E368" s="63"/>
      <c r="F368" s="63"/>
      <c r="G368" s="63"/>
      <c r="H368" s="63"/>
      <c r="I368" s="63"/>
      <c r="J368" s="63"/>
      <c r="K368" s="63"/>
      <c r="L368" s="63"/>
      <c r="M368" s="63"/>
      <c r="N368" s="43"/>
    </row>
    <row r="369" spans="1:14" x14ac:dyDescent="0.2">
      <c r="A369" s="20"/>
      <c r="B369" s="30"/>
      <c r="C369" s="43"/>
      <c r="D369" s="43"/>
      <c r="E369" s="63"/>
      <c r="F369" s="63"/>
      <c r="G369" s="63"/>
      <c r="H369" s="63"/>
      <c r="I369" s="63"/>
      <c r="J369" s="63"/>
      <c r="K369" s="63"/>
      <c r="L369" s="63"/>
      <c r="M369" s="63"/>
      <c r="N369" s="43"/>
    </row>
    <row r="370" spans="1:14" x14ac:dyDescent="0.2">
      <c r="A370" s="20"/>
      <c r="B370" s="30"/>
      <c r="C370" s="43"/>
      <c r="D370" s="43"/>
      <c r="E370" s="63"/>
      <c r="F370" s="63"/>
      <c r="G370" s="63"/>
      <c r="H370" s="63"/>
      <c r="I370" s="63"/>
      <c r="J370" s="63"/>
      <c r="K370" s="63"/>
      <c r="L370" s="63"/>
      <c r="M370" s="63"/>
      <c r="N370" s="43"/>
    </row>
    <row r="371" spans="1:14" x14ac:dyDescent="0.2">
      <c r="A371" s="20"/>
      <c r="B371" s="30"/>
      <c r="C371" s="43"/>
      <c r="D371" s="43"/>
      <c r="E371" s="63"/>
      <c r="F371" s="63"/>
      <c r="G371" s="63"/>
      <c r="H371" s="63"/>
      <c r="I371" s="63"/>
      <c r="J371" s="63"/>
      <c r="K371" s="63"/>
      <c r="L371" s="63"/>
      <c r="M371" s="63"/>
      <c r="N371" s="43"/>
    </row>
    <row r="372" spans="1:14" x14ac:dyDescent="0.2">
      <c r="A372" s="20"/>
      <c r="B372" s="30"/>
      <c r="C372" s="43"/>
      <c r="D372" s="43"/>
      <c r="E372" s="63"/>
      <c r="F372" s="63"/>
      <c r="G372" s="63"/>
      <c r="H372" s="63"/>
      <c r="I372" s="63"/>
      <c r="J372" s="63"/>
      <c r="K372" s="63"/>
      <c r="L372" s="63"/>
      <c r="M372" s="63"/>
      <c r="N372" s="43"/>
    </row>
    <row r="373" spans="1:14" x14ac:dyDescent="0.2">
      <c r="A373" s="20"/>
      <c r="B373" s="30"/>
      <c r="C373" s="43"/>
      <c r="D373" s="43"/>
      <c r="E373" s="63"/>
      <c r="F373" s="63"/>
      <c r="G373" s="63"/>
      <c r="H373" s="63"/>
      <c r="I373" s="63"/>
      <c r="J373" s="63"/>
      <c r="K373" s="63"/>
      <c r="L373" s="63"/>
      <c r="M373" s="63"/>
      <c r="N373" s="43"/>
    </row>
    <row r="374" spans="1:14" s="3" customFormat="1" x14ac:dyDescent="0.2">
      <c r="A374" s="6"/>
      <c r="B374" s="54"/>
      <c r="E374" s="64"/>
      <c r="F374" s="64"/>
      <c r="G374" s="64"/>
      <c r="H374" s="64"/>
      <c r="I374" s="64"/>
      <c r="J374" s="64"/>
      <c r="K374" s="64"/>
      <c r="L374" s="64"/>
      <c r="M374" s="64"/>
      <c r="N374" s="43"/>
    </row>
    <row r="375" spans="1:14" s="3" customFormat="1" x14ac:dyDescent="0.2">
      <c r="A375" s="6"/>
      <c r="B375" s="54"/>
      <c r="E375" s="64"/>
      <c r="F375" s="64"/>
      <c r="G375" s="64"/>
      <c r="H375" s="64"/>
      <c r="I375" s="64"/>
      <c r="J375" s="64"/>
      <c r="K375" s="64"/>
      <c r="L375" s="64"/>
      <c r="M375" s="64"/>
      <c r="N375" s="6"/>
    </row>
    <row r="376" spans="1:14" s="3" customFormat="1" x14ac:dyDescent="0.2">
      <c r="A376" s="6"/>
      <c r="B376" s="54"/>
      <c r="E376" s="64"/>
      <c r="F376" s="64"/>
      <c r="G376" s="64"/>
      <c r="H376" s="64"/>
      <c r="I376" s="64"/>
      <c r="J376" s="64"/>
      <c r="K376" s="64"/>
      <c r="L376" s="64"/>
      <c r="M376" s="64"/>
    </row>
    <row r="377" spans="1:14" s="3" customFormat="1" x14ac:dyDescent="0.2">
      <c r="A377" s="6"/>
      <c r="B377" s="54"/>
      <c r="E377" s="64"/>
      <c r="F377" s="64"/>
      <c r="G377" s="64"/>
      <c r="H377" s="64"/>
      <c r="I377" s="64"/>
      <c r="J377" s="64"/>
      <c r="K377" s="64"/>
      <c r="L377" s="64"/>
      <c r="M377" s="64"/>
    </row>
    <row r="378" spans="1:14" s="3" customFormat="1" x14ac:dyDescent="0.2">
      <c r="A378" s="6"/>
      <c r="B378" s="54"/>
      <c r="E378" s="64"/>
      <c r="F378" s="64"/>
      <c r="G378" s="64"/>
      <c r="H378" s="64"/>
      <c r="I378" s="64"/>
      <c r="J378" s="64"/>
      <c r="K378" s="64"/>
      <c r="L378" s="64"/>
      <c r="M378" s="64"/>
    </row>
    <row r="379" spans="1:14" s="3" customFormat="1" x14ac:dyDescent="0.2">
      <c r="A379" s="6"/>
      <c r="B379" s="54"/>
      <c r="E379" s="64"/>
      <c r="F379" s="64"/>
      <c r="G379" s="64"/>
      <c r="H379" s="64"/>
      <c r="I379" s="64"/>
      <c r="J379" s="64"/>
      <c r="K379" s="64"/>
      <c r="L379" s="64"/>
      <c r="M379" s="64"/>
    </row>
    <row r="380" spans="1:14" s="3" customFormat="1" x14ac:dyDescent="0.2">
      <c r="A380" s="6"/>
      <c r="B380" s="54"/>
      <c r="E380" s="64"/>
      <c r="F380" s="64"/>
      <c r="G380" s="64"/>
      <c r="H380" s="64"/>
      <c r="I380" s="64"/>
      <c r="J380" s="64"/>
      <c r="K380" s="64"/>
      <c r="L380" s="64"/>
      <c r="M380" s="64"/>
    </row>
    <row r="381" spans="1:14" s="3" customFormat="1" x14ac:dyDescent="0.2">
      <c r="A381" s="6"/>
      <c r="B381" s="54"/>
      <c r="E381" s="64"/>
      <c r="F381" s="64"/>
      <c r="G381" s="64"/>
      <c r="H381" s="64"/>
      <c r="I381" s="64"/>
      <c r="J381" s="64"/>
      <c r="K381" s="64"/>
      <c r="L381" s="64"/>
      <c r="M381" s="64"/>
    </row>
    <row r="382" spans="1:14" s="3" customFormat="1" x14ac:dyDescent="0.2">
      <c r="A382" s="6"/>
      <c r="B382" s="54"/>
      <c r="E382" s="64"/>
      <c r="F382" s="64"/>
      <c r="G382" s="64"/>
      <c r="H382" s="64"/>
      <c r="I382" s="64"/>
      <c r="J382" s="64"/>
      <c r="K382" s="64"/>
      <c r="L382" s="64"/>
      <c r="M382" s="64"/>
    </row>
    <row r="383" spans="1:14" s="3" customFormat="1" x14ac:dyDescent="0.2">
      <c r="A383" s="6"/>
      <c r="B383" s="54"/>
      <c r="E383" s="64"/>
      <c r="F383" s="64"/>
      <c r="G383" s="64"/>
      <c r="H383" s="64"/>
      <c r="I383" s="64"/>
      <c r="J383" s="64"/>
      <c r="K383" s="64"/>
      <c r="L383" s="64"/>
      <c r="M383" s="64"/>
    </row>
    <row r="384" spans="1:14" s="3" customFormat="1" x14ac:dyDescent="0.2">
      <c r="A384" s="6"/>
      <c r="B384" s="54"/>
      <c r="E384" s="64"/>
      <c r="F384" s="64"/>
      <c r="G384" s="64"/>
      <c r="H384" s="64"/>
      <c r="I384" s="64"/>
      <c r="J384" s="64"/>
      <c r="K384" s="64"/>
      <c r="L384" s="64"/>
      <c r="M384" s="64"/>
    </row>
    <row r="385" spans="1:13" s="3" customFormat="1" x14ac:dyDescent="0.2">
      <c r="A385" s="6"/>
      <c r="B385" s="54"/>
      <c r="E385" s="64"/>
      <c r="F385" s="64"/>
      <c r="G385" s="64"/>
      <c r="H385" s="64"/>
      <c r="I385" s="64"/>
      <c r="J385" s="64"/>
      <c r="K385" s="64"/>
      <c r="L385" s="64"/>
      <c r="M385" s="64"/>
    </row>
    <row r="386" spans="1:13" s="3" customFormat="1" x14ac:dyDescent="0.2">
      <c r="A386" s="6"/>
      <c r="B386" s="54"/>
      <c r="E386" s="64"/>
      <c r="F386" s="64"/>
      <c r="G386" s="64"/>
      <c r="H386" s="64"/>
      <c r="I386" s="64"/>
      <c r="J386" s="64"/>
      <c r="K386" s="64"/>
      <c r="L386" s="64"/>
      <c r="M386" s="64"/>
    </row>
    <row r="387" spans="1:13" s="3" customFormat="1" x14ac:dyDescent="0.2">
      <c r="A387" s="6"/>
      <c r="B387" s="54"/>
      <c r="E387" s="64"/>
      <c r="F387" s="64"/>
      <c r="G387" s="64"/>
      <c r="H387" s="64"/>
      <c r="I387" s="64"/>
      <c r="J387" s="64"/>
      <c r="K387" s="64"/>
      <c r="L387" s="64"/>
      <c r="M387" s="64"/>
    </row>
    <row r="388" spans="1:13" s="3" customFormat="1" x14ac:dyDescent="0.2">
      <c r="A388" s="6"/>
      <c r="B388" s="54"/>
      <c r="E388" s="64"/>
      <c r="F388" s="64"/>
      <c r="G388" s="64"/>
      <c r="H388" s="64"/>
      <c r="I388" s="64"/>
      <c r="J388" s="64"/>
      <c r="K388" s="64"/>
      <c r="L388" s="64"/>
      <c r="M388" s="64"/>
    </row>
    <row r="389" spans="1:13" s="3" customFormat="1" x14ac:dyDescent="0.2">
      <c r="A389" s="6"/>
      <c r="B389" s="54"/>
      <c r="E389" s="64"/>
      <c r="F389" s="64"/>
      <c r="G389" s="64"/>
      <c r="H389" s="64"/>
      <c r="I389" s="64"/>
      <c r="J389" s="64"/>
      <c r="K389" s="64"/>
      <c r="L389" s="64"/>
      <c r="M389" s="64"/>
    </row>
    <row r="390" spans="1:13" s="3" customFormat="1" x14ac:dyDescent="0.2">
      <c r="A390" s="6"/>
      <c r="B390" s="54"/>
      <c r="E390" s="64"/>
      <c r="F390" s="64"/>
      <c r="G390" s="64"/>
      <c r="H390" s="64"/>
      <c r="I390" s="64"/>
      <c r="J390" s="64"/>
      <c r="K390" s="64"/>
      <c r="L390" s="64"/>
      <c r="M390" s="64"/>
    </row>
    <row r="391" spans="1:13" s="3" customFormat="1" x14ac:dyDescent="0.2">
      <c r="A391" s="6"/>
      <c r="B391" s="54"/>
      <c r="E391" s="64"/>
      <c r="F391" s="64"/>
      <c r="G391" s="64"/>
      <c r="H391" s="64"/>
      <c r="I391" s="64"/>
      <c r="J391" s="64"/>
      <c r="K391" s="64"/>
      <c r="L391" s="64"/>
      <c r="M391" s="64"/>
    </row>
    <row r="392" spans="1:13" s="3" customFormat="1" x14ac:dyDescent="0.2">
      <c r="A392" s="6"/>
      <c r="B392" s="54"/>
      <c r="E392" s="64"/>
      <c r="F392" s="64"/>
      <c r="G392" s="64"/>
      <c r="H392" s="64"/>
      <c r="I392" s="64"/>
      <c r="J392" s="64"/>
      <c r="K392" s="64"/>
      <c r="L392" s="64"/>
      <c r="M392" s="64"/>
    </row>
    <row r="393" spans="1:13" s="3" customFormat="1" x14ac:dyDescent="0.2">
      <c r="A393" s="6"/>
      <c r="B393" s="54"/>
      <c r="E393" s="64"/>
      <c r="F393" s="64"/>
      <c r="G393" s="64"/>
      <c r="H393" s="64"/>
      <c r="I393" s="64"/>
      <c r="J393" s="64"/>
      <c r="K393" s="64"/>
      <c r="L393" s="64"/>
      <c r="M393" s="64"/>
    </row>
    <row r="394" spans="1:13" s="3" customFormat="1" x14ac:dyDescent="0.2">
      <c r="A394" s="6"/>
      <c r="B394" s="54"/>
      <c r="E394" s="64"/>
      <c r="F394" s="64"/>
      <c r="G394" s="64"/>
      <c r="H394" s="64"/>
      <c r="I394" s="64"/>
      <c r="J394" s="64"/>
      <c r="K394" s="64"/>
      <c r="L394" s="64"/>
      <c r="M394" s="64"/>
    </row>
    <row r="395" spans="1:13" s="3" customFormat="1" x14ac:dyDescent="0.2">
      <c r="A395" s="6"/>
      <c r="B395" s="54"/>
      <c r="E395" s="64"/>
      <c r="F395" s="64"/>
      <c r="G395" s="64"/>
      <c r="H395" s="64"/>
      <c r="I395" s="64"/>
      <c r="J395" s="64"/>
      <c r="K395" s="64"/>
      <c r="L395" s="64"/>
      <c r="M395" s="64"/>
    </row>
    <row r="396" spans="1:13" s="3" customFormat="1" x14ac:dyDescent="0.2">
      <c r="A396" s="6"/>
      <c r="B396" s="54"/>
      <c r="E396" s="64"/>
      <c r="F396" s="64"/>
      <c r="G396" s="64"/>
      <c r="H396" s="64"/>
      <c r="I396" s="64"/>
      <c r="J396" s="64"/>
      <c r="K396" s="64"/>
      <c r="L396" s="64"/>
      <c r="M396" s="64"/>
    </row>
    <row r="397" spans="1:13" s="3" customFormat="1" x14ac:dyDescent="0.2">
      <c r="A397" s="6"/>
      <c r="B397" s="54"/>
      <c r="E397" s="64"/>
      <c r="F397" s="64"/>
      <c r="G397" s="64"/>
      <c r="H397" s="64"/>
      <c r="I397" s="64"/>
      <c r="J397" s="64"/>
      <c r="K397" s="64"/>
      <c r="L397" s="64"/>
      <c r="M397" s="64"/>
    </row>
    <row r="398" spans="1:13" s="3" customFormat="1" x14ac:dyDescent="0.2">
      <c r="A398" s="6"/>
      <c r="B398" s="54"/>
      <c r="E398" s="64"/>
      <c r="F398" s="64"/>
      <c r="G398" s="64"/>
      <c r="H398" s="64"/>
      <c r="I398" s="64"/>
      <c r="J398" s="64"/>
      <c r="K398" s="64"/>
      <c r="L398" s="64"/>
      <c r="M398" s="64"/>
    </row>
    <row r="399" spans="1:13" s="3" customFormat="1" x14ac:dyDescent="0.2">
      <c r="A399" s="6"/>
      <c r="B399" s="54"/>
      <c r="E399" s="64"/>
      <c r="F399" s="64"/>
      <c r="G399" s="64"/>
      <c r="H399" s="64"/>
      <c r="I399" s="64"/>
      <c r="J399" s="64"/>
      <c r="K399" s="64"/>
      <c r="L399" s="64"/>
      <c r="M399" s="64"/>
    </row>
    <row r="400" spans="1:13" s="3" customFormat="1" x14ac:dyDescent="0.2">
      <c r="A400" s="6"/>
      <c r="B400" s="54"/>
      <c r="E400" s="64"/>
      <c r="F400" s="64"/>
      <c r="G400" s="64"/>
      <c r="H400" s="64"/>
      <c r="I400" s="64"/>
      <c r="J400" s="64"/>
      <c r="K400" s="64"/>
      <c r="L400" s="64"/>
      <c r="M400" s="64"/>
    </row>
    <row r="401" spans="1:13" s="3" customFormat="1" x14ac:dyDescent="0.2">
      <c r="A401" s="6"/>
      <c r="B401" s="54"/>
      <c r="E401" s="64"/>
      <c r="F401" s="64"/>
      <c r="G401" s="64"/>
      <c r="H401" s="64"/>
      <c r="I401" s="64"/>
      <c r="J401" s="64"/>
      <c r="K401" s="64"/>
      <c r="L401" s="64"/>
      <c r="M401" s="64"/>
    </row>
    <row r="402" spans="1:13" s="3" customFormat="1" x14ac:dyDescent="0.2">
      <c r="A402" s="6"/>
      <c r="B402" s="54"/>
      <c r="E402" s="64"/>
      <c r="F402" s="64"/>
      <c r="G402" s="64"/>
      <c r="H402" s="64"/>
      <c r="I402" s="64"/>
      <c r="J402" s="64"/>
      <c r="K402" s="64"/>
      <c r="L402" s="64"/>
      <c r="M402" s="64"/>
    </row>
    <row r="403" spans="1:13" s="3" customFormat="1" x14ac:dyDescent="0.2">
      <c r="A403" s="6"/>
      <c r="B403" s="54"/>
      <c r="E403" s="64"/>
      <c r="F403" s="64"/>
      <c r="G403" s="64"/>
      <c r="H403" s="64"/>
      <c r="I403" s="64"/>
      <c r="J403" s="64"/>
      <c r="K403" s="64"/>
      <c r="L403" s="64"/>
      <c r="M403" s="64"/>
    </row>
    <row r="404" spans="1:13" s="3" customFormat="1" x14ac:dyDescent="0.2">
      <c r="A404" s="6"/>
      <c r="B404" s="54"/>
      <c r="E404" s="64"/>
      <c r="F404" s="64"/>
      <c r="G404" s="64"/>
      <c r="H404" s="64"/>
      <c r="I404" s="64"/>
      <c r="J404" s="64"/>
      <c r="K404" s="64"/>
      <c r="L404" s="64"/>
      <c r="M404" s="64"/>
    </row>
    <row r="405" spans="1:13" s="3" customFormat="1" x14ac:dyDescent="0.2">
      <c r="A405" s="6"/>
      <c r="B405" s="54"/>
      <c r="E405" s="64"/>
      <c r="F405" s="64"/>
      <c r="G405" s="64"/>
      <c r="H405" s="64"/>
      <c r="I405" s="64"/>
      <c r="J405" s="64"/>
      <c r="K405" s="64"/>
      <c r="L405" s="64"/>
      <c r="M405" s="64"/>
    </row>
    <row r="406" spans="1:13" s="3" customFormat="1" x14ac:dyDescent="0.2">
      <c r="A406" s="6"/>
      <c r="B406" s="54"/>
      <c r="E406" s="64"/>
      <c r="F406" s="64"/>
      <c r="G406" s="64"/>
      <c r="H406" s="64"/>
      <c r="I406" s="64"/>
      <c r="J406" s="64"/>
      <c r="K406" s="64"/>
      <c r="L406" s="64"/>
      <c r="M406" s="64"/>
    </row>
    <row r="407" spans="1:13" s="3" customFormat="1" x14ac:dyDescent="0.2">
      <c r="A407" s="6"/>
      <c r="B407" s="54"/>
      <c r="E407" s="64"/>
      <c r="F407" s="64"/>
      <c r="G407" s="64"/>
      <c r="H407" s="64"/>
      <c r="I407" s="64"/>
      <c r="J407" s="64"/>
      <c r="K407" s="64"/>
      <c r="L407" s="64"/>
      <c r="M407" s="64"/>
    </row>
    <row r="408" spans="1:13" s="3" customFormat="1" x14ac:dyDescent="0.2">
      <c r="A408" s="6"/>
      <c r="B408" s="54"/>
      <c r="E408" s="64"/>
      <c r="F408" s="64"/>
      <c r="G408" s="64"/>
      <c r="H408" s="64"/>
      <c r="I408" s="64"/>
      <c r="J408" s="64"/>
      <c r="K408" s="64"/>
      <c r="L408" s="64"/>
      <c r="M408" s="64"/>
    </row>
    <row r="409" spans="1:13" s="3" customFormat="1" x14ac:dyDescent="0.2">
      <c r="A409" s="6"/>
      <c r="B409" s="54"/>
      <c r="E409" s="64"/>
      <c r="F409" s="64"/>
      <c r="G409" s="64"/>
      <c r="H409" s="64"/>
      <c r="I409" s="64"/>
      <c r="J409" s="64"/>
      <c r="K409" s="64"/>
      <c r="L409" s="64"/>
      <c r="M409" s="64"/>
    </row>
    <row r="410" spans="1:13" s="3" customFormat="1" x14ac:dyDescent="0.2">
      <c r="A410" s="6"/>
      <c r="B410" s="54"/>
      <c r="E410" s="64"/>
      <c r="F410" s="64"/>
      <c r="G410" s="64"/>
      <c r="H410" s="64"/>
      <c r="I410" s="64"/>
      <c r="J410" s="64"/>
      <c r="K410" s="64"/>
      <c r="L410" s="64"/>
      <c r="M410" s="64"/>
    </row>
    <row r="411" spans="1:13" s="3" customFormat="1" x14ac:dyDescent="0.2">
      <c r="A411" s="6"/>
      <c r="B411" s="54"/>
      <c r="E411" s="64"/>
      <c r="F411" s="64"/>
      <c r="G411" s="64"/>
      <c r="H411" s="64"/>
      <c r="I411" s="64"/>
      <c r="J411" s="64"/>
      <c r="K411" s="64"/>
      <c r="L411" s="64"/>
      <c r="M411" s="64"/>
    </row>
    <row r="412" spans="1:13" s="3" customFormat="1" x14ac:dyDescent="0.2">
      <c r="A412" s="6"/>
      <c r="B412" s="54"/>
      <c r="E412" s="64"/>
      <c r="F412" s="64"/>
      <c r="G412" s="64"/>
      <c r="H412" s="64"/>
      <c r="I412" s="64"/>
      <c r="J412" s="64"/>
      <c r="K412" s="64"/>
      <c r="L412" s="64"/>
      <c r="M412" s="64"/>
    </row>
    <row r="413" spans="1:13" s="3" customFormat="1" x14ac:dyDescent="0.2">
      <c r="A413" s="6"/>
      <c r="B413" s="54"/>
      <c r="E413" s="64"/>
      <c r="F413" s="64"/>
      <c r="G413" s="64"/>
      <c r="H413" s="64"/>
      <c r="I413" s="64"/>
      <c r="J413" s="64"/>
      <c r="K413" s="64"/>
      <c r="L413" s="64"/>
      <c r="M413" s="64"/>
    </row>
    <row r="414" spans="1:13" s="3" customFormat="1" x14ac:dyDescent="0.2">
      <c r="A414" s="6"/>
      <c r="B414" s="54"/>
      <c r="E414" s="64"/>
      <c r="F414" s="64"/>
      <c r="G414" s="64"/>
      <c r="H414" s="64"/>
      <c r="I414" s="64"/>
      <c r="J414" s="64"/>
      <c r="K414" s="64"/>
      <c r="L414" s="64"/>
      <c r="M414" s="64"/>
    </row>
    <row r="415" spans="1:13" s="3" customFormat="1" x14ac:dyDescent="0.2">
      <c r="A415" s="6"/>
      <c r="B415" s="54"/>
      <c r="E415" s="64"/>
      <c r="F415" s="64"/>
      <c r="G415" s="64"/>
      <c r="H415" s="64"/>
      <c r="I415" s="64"/>
      <c r="J415" s="64"/>
      <c r="K415" s="64"/>
      <c r="L415" s="64"/>
      <c r="M415" s="64"/>
    </row>
    <row r="416" spans="1:13" s="3" customFormat="1" x14ac:dyDescent="0.2">
      <c r="A416" s="6"/>
      <c r="B416" s="54"/>
      <c r="E416" s="64"/>
      <c r="F416" s="64"/>
      <c r="G416" s="64"/>
      <c r="H416" s="64"/>
      <c r="I416" s="64"/>
      <c r="J416" s="64"/>
      <c r="K416" s="64"/>
      <c r="L416" s="64"/>
      <c r="M416" s="64"/>
    </row>
    <row r="417" spans="1:13" s="3" customFormat="1" x14ac:dyDescent="0.2">
      <c r="A417" s="6"/>
      <c r="B417" s="54"/>
      <c r="E417" s="64"/>
      <c r="F417" s="64"/>
      <c r="G417" s="64"/>
      <c r="H417" s="64"/>
      <c r="I417" s="64"/>
      <c r="J417" s="64"/>
      <c r="K417" s="64"/>
      <c r="L417" s="64"/>
      <c r="M417" s="64"/>
    </row>
    <row r="418" spans="1:13" s="3" customFormat="1" x14ac:dyDescent="0.2">
      <c r="A418" s="6"/>
      <c r="B418" s="54"/>
      <c r="E418" s="64"/>
      <c r="F418" s="64"/>
      <c r="G418" s="64"/>
      <c r="H418" s="64"/>
      <c r="I418" s="64"/>
      <c r="J418" s="64"/>
      <c r="K418" s="64"/>
      <c r="L418" s="64"/>
      <c r="M418" s="64"/>
    </row>
    <row r="419" spans="1:13" s="3" customFormat="1" x14ac:dyDescent="0.2">
      <c r="A419" s="6"/>
      <c r="B419" s="54"/>
      <c r="E419" s="64"/>
      <c r="F419" s="64"/>
      <c r="G419" s="64"/>
      <c r="H419" s="64"/>
      <c r="I419" s="64"/>
      <c r="J419" s="64"/>
      <c r="K419" s="64"/>
      <c r="L419" s="64"/>
      <c r="M419" s="64"/>
    </row>
    <row r="420" spans="1:13" s="3" customFormat="1" x14ac:dyDescent="0.2">
      <c r="A420" s="6"/>
      <c r="B420" s="54"/>
      <c r="E420" s="64"/>
      <c r="F420" s="64"/>
      <c r="G420" s="64"/>
      <c r="H420" s="64"/>
      <c r="I420" s="64"/>
      <c r="J420" s="64"/>
      <c r="K420" s="64"/>
      <c r="L420" s="64"/>
      <c r="M420" s="64"/>
    </row>
    <row r="421" spans="1:13" s="3" customFormat="1" x14ac:dyDescent="0.2">
      <c r="A421" s="6"/>
      <c r="B421" s="54"/>
      <c r="E421" s="64"/>
      <c r="F421" s="64"/>
      <c r="G421" s="64"/>
      <c r="H421" s="64"/>
      <c r="I421" s="64"/>
      <c r="J421" s="64"/>
      <c r="K421" s="64"/>
      <c r="L421" s="64"/>
      <c r="M421" s="64"/>
    </row>
    <row r="422" spans="1:13" s="3" customFormat="1" x14ac:dyDescent="0.2">
      <c r="A422" s="6"/>
      <c r="B422" s="54"/>
      <c r="E422" s="64"/>
      <c r="F422" s="64"/>
      <c r="G422" s="64"/>
      <c r="H422" s="64"/>
      <c r="I422" s="64"/>
      <c r="J422" s="64"/>
      <c r="K422" s="64"/>
      <c r="L422" s="64"/>
      <c r="M422" s="64"/>
    </row>
    <row r="423" spans="1:13" s="3" customFormat="1" x14ac:dyDescent="0.2">
      <c r="A423" s="6"/>
      <c r="B423" s="54"/>
      <c r="E423" s="64"/>
      <c r="F423" s="64"/>
      <c r="G423" s="64"/>
      <c r="H423" s="64"/>
      <c r="I423" s="64"/>
      <c r="J423" s="64"/>
      <c r="K423" s="64"/>
      <c r="L423" s="64"/>
      <c r="M423" s="64"/>
    </row>
    <row r="424" spans="1:13" s="3" customFormat="1" x14ac:dyDescent="0.2">
      <c r="A424" s="6"/>
      <c r="B424" s="54"/>
      <c r="E424" s="64"/>
      <c r="F424" s="64"/>
      <c r="G424" s="64"/>
      <c r="H424" s="64"/>
      <c r="I424" s="64"/>
      <c r="J424" s="64"/>
      <c r="K424" s="64"/>
      <c r="L424" s="64"/>
      <c r="M424" s="64"/>
    </row>
    <row r="425" spans="1:13" s="3" customFormat="1" x14ac:dyDescent="0.2">
      <c r="A425" s="6"/>
      <c r="B425" s="54"/>
      <c r="E425" s="64"/>
      <c r="F425" s="64"/>
      <c r="G425" s="64"/>
      <c r="H425" s="64"/>
      <c r="I425" s="64"/>
      <c r="J425" s="64"/>
      <c r="K425" s="64"/>
      <c r="L425" s="64"/>
      <c r="M425" s="64"/>
    </row>
    <row r="426" spans="1:13" s="3" customFormat="1" x14ac:dyDescent="0.2">
      <c r="A426" s="6"/>
      <c r="B426" s="54"/>
      <c r="E426" s="64"/>
      <c r="F426" s="64"/>
      <c r="G426" s="64"/>
      <c r="H426" s="64"/>
      <c r="I426" s="64"/>
      <c r="J426" s="64"/>
      <c r="K426" s="64"/>
      <c r="L426" s="64"/>
      <c r="M426" s="64"/>
    </row>
    <row r="427" spans="1:13" s="3" customFormat="1" x14ac:dyDescent="0.2">
      <c r="A427" s="6"/>
      <c r="B427" s="54"/>
      <c r="E427" s="64"/>
      <c r="F427" s="64"/>
      <c r="G427" s="64"/>
      <c r="H427" s="64"/>
      <c r="I427" s="64"/>
      <c r="J427" s="64"/>
      <c r="K427" s="64"/>
      <c r="L427" s="64"/>
      <c r="M427" s="64"/>
    </row>
    <row r="428" spans="1:13" s="3" customFormat="1" x14ac:dyDescent="0.2">
      <c r="A428" s="6"/>
      <c r="B428" s="54"/>
      <c r="E428" s="64"/>
      <c r="F428" s="64"/>
      <c r="G428" s="64"/>
      <c r="H428" s="64"/>
      <c r="I428" s="64"/>
      <c r="J428" s="64"/>
      <c r="K428" s="64"/>
      <c r="L428" s="64"/>
      <c r="M428" s="64"/>
    </row>
    <row r="429" spans="1:13" s="3" customFormat="1" x14ac:dyDescent="0.2">
      <c r="A429" s="6"/>
      <c r="B429" s="54"/>
      <c r="E429" s="64"/>
      <c r="F429" s="64"/>
      <c r="G429" s="64"/>
      <c r="H429" s="64"/>
      <c r="I429" s="64"/>
      <c r="J429" s="64"/>
      <c r="K429" s="64"/>
      <c r="L429" s="64"/>
      <c r="M429" s="64"/>
    </row>
    <row r="430" spans="1:13" s="3" customFormat="1" x14ac:dyDescent="0.2">
      <c r="A430" s="6"/>
      <c r="B430" s="54"/>
      <c r="E430" s="64"/>
      <c r="F430" s="64"/>
      <c r="G430" s="64"/>
      <c r="H430" s="64"/>
      <c r="I430" s="64"/>
      <c r="J430" s="64"/>
      <c r="K430" s="64"/>
      <c r="L430" s="64"/>
      <c r="M430" s="64"/>
    </row>
    <row r="431" spans="1:13" s="3" customFormat="1" x14ac:dyDescent="0.2">
      <c r="A431" s="6"/>
      <c r="B431" s="54"/>
      <c r="E431" s="64"/>
      <c r="F431" s="64"/>
      <c r="G431" s="64"/>
      <c r="H431" s="64"/>
      <c r="I431" s="64"/>
      <c r="J431" s="64"/>
      <c r="K431" s="64"/>
      <c r="L431" s="64"/>
      <c r="M431" s="64"/>
    </row>
    <row r="432" spans="1:13" s="3" customFormat="1" x14ac:dyDescent="0.2">
      <c r="A432" s="6"/>
      <c r="B432" s="54"/>
      <c r="E432" s="64"/>
      <c r="F432" s="64"/>
      <c r="G432" s="64"/>
      <c r="H432" s="64"/>
      <c r="I432" s="64"/>
      <c r="J432" s="64"/>
      <c r="K432" s="64"/>
      <c r="L432" s="64"/>
      <c r="M432" s="64"/>
    </row>
    <row r="433" spans="1:13" s="3" customFormat="1" x14ac:dyDescent="0.2">
      <c r="A433" s="6"/>
      <c r="B433" s="54"/>
      <c r="E433" s="64"/>
      <c r="F433" s="64"/>
      <c r="G433" s="64"/>
      <c r="H433" s="64"/>
      <c r="I433" s="64"/>
      <c r="J433" s="64"/>
      <c r="K433" s="64"/>
      <c r="L433" s="64"/>
      <c r="M433" s="64"/>
    </row>
    <row r="434" spans="1:13" s="3" customFormat="1" x14ac:dyDescent="0.2">
      <c r="A434" s="6"/>
      <c r="B434" s="54"/>
      <c r="E434" s="64"/>
      <c r="F434" s="64"/>
      <c r="G434" s="64"/>
      <c r="H434" s="64"/>
      <c r="I434" s="64"/>
      <c r="J434" s="64"/>
      <c r="K434" s="64"/>
      <c r="L434" s="64"/>
      <c r="M434" s="64"/>
    </row>
    <row r="435" spans="1:13" s="3" customFormat="1" x14ac:dyDescent="0.2">
      <c r="A435" s="6"/>
      <c r="B435" s="54"/>
      <c r="E435" s="64"/>
      <c r="F435" s="64"/>
      <c r="G435" s="64"/>
      <c r="H435" s="64"/>
      <c r="I435" s="64"/>
      <c r="J435" s="64"/>
      <c r="K435" s="64"/>
      <c r="L435" s="64"/>
      <c r="M435" s="64"/>
    </row>
    <row r="436" spans="1:13" s="3" customFormat="1" x14ac:dyDescent="0.2">
      <c r="A436" s="6"/>
      <c r="B436" s="54"/>
      <c r="E436" s="64"/>
      <c r="F436" s="64"/>
      <c r="G436" s="64"/>
      <c r="H436" s="64"/>
      <c r="I436" s="64"/>
      <c r="J436" s="64"/>
      <c r="K436" s="64"/>
      <c r="L436" s="64"/>
      <c r="M436" s="64"/>
    </row>
    <row r="437" spans="1:13" s="3" customFormat="1" x14ac:dyDescent="0.2">
      <c r="A437" s="6"/>
      <c r="B437" s="54"/>
      <c r="E437" s="64"/>
      <c r="F437" s="64"/>
      <c r="G437" s="64"/>
      <c r="H437" s="64"/>
      <c r="I437" s="64"/>
      <c r="J437" s="64"/>
      <c r="K437" s="64"/>
      <c r="L437" s="64"/>
      <c r="M437" s="64"/>
    </row>
    <row r="438" spans="1:13" s="3" customFormat="1" x14ac:dyDescent="0.2">
      <c r="A438" s="6"/>
      <c r="B438" s="54"/>
      <c r="E438" s="64"/>
      <c r="F438" s="64"/>
      <c r="G438" s="64"/>
      <c r="H438" s="64"/>
      <c r="I438" s="64"/>
      <c r="J438" s="64"/>
      <c r="K438" s="64"/>
      <c r="L438" s="64"/>
      <c r="M438" s="64"/>
    </row>
    <row r="439" spans="1:13" s="3" customFormat="1" x14ac:dyDescent="0.2">
      <c r="A439" s="6"/>
      <c r="B439" s="54"/>
      <c r="E439" s="64"/>
      <c r="F439" s="64"/>
      <c r="G439" s="64"/>
      <c r="H439" s="64"/>
      <c r="I439" s="64"/>
      <c r="J439" s="64"/>
      <c r="K439" s="64"/>
      <c r="L439" s="64"/>
      <c r="M439" s="64"/>
    </row>
    <row r="440" spans="1:13" s="3" customFormat="1" x14ac:dyDescent="0.2">
      <c r="A440" s="6"/>
      <c r="B440" s="54"/>
      <c r="E440" s="64"/>
      <c r="F440" s="64"/>
      <c r="G440" s="64"/>
      <c r="H440" s="64"/>
      <c r="I440" s="64"/>
      <c r="J440" s="64"/>
      <c r="K440" s="64"/>
      <c r="L440" s="64"/>
      <c r="M440" s="64"/>
    </row>
    <row r="441" spans="1:13" s="3" customFormat="1" x14ac:dyDescent="0.2">
      <c r="A441" s="6"/>
      <c r="B441" s="54"/>
      <c r="E441" s="64"/>
      <c r="F441" s="64"/>
      <c r="G441" s="64"/>
      <c r="H441" s="64"/>
      <c r="I441" s="64"/>
      <c r="J441" s="64"/>
      <c r="K441" s="64"/>
      <c r="L441" s="64"/>
      <c r="M441" s="64"/>
    </row>
    <row r="442" spans="1:13" s="3" customFormat="1" x14ac:dyDescent="0.2">
      <c r="A442" s="6"/>
      <c r="B442" s="54"/>
      <c r="E442" s="64"/>
      <c r="F442" s="64"/>
      <c r="G442" s="64"/>
      <c r="H442" s="64"/>
      <c r="I442" s="64"/>
      <c r="J442" s="64"/>
      <c r="K442" s="64"/>
      <c r="L442" s="64"/>
      <c r="M442" s="64"/>
    </row>
  </sheetData>
  <sheetProtection algorithmName="SHA-512" hashValue="Z/JsntYBjL5CkvdFZ3pIUqMPprO3v7hGl27YibRYRyJ6scDfTQy2sbZdr7OeOkEVT6vYuZTSge0FrdtjSEcMsQ==" saltValue="S1WOIW0gZkXpjPlXv6IRiw==" spinCount="100000" sheet="1" selectLockedCells="1"/>
  <mergeCells count="8">
    <mergeCell ref="M13:N13"/>
    <mergeCell ref="F12:I12"/>
    <mergeCell ref="F1:I1"/>
    <mergeCell ref="M9:N9"/>
    <mergeCell ref="M10:N10"/>
    <mergeCell ref="M11:N11"/>
    <mergeCell ref="M12:N12"/>
    <mergeCell ref="K9:L9"/>
  </mergeCells>
  <dataValidations count="6">
    <dataValidation type="whole" allowBlank="1" showInputMessage="1" showErrorMessage="1" sqref="C175:J217 B175 B177:B217 C318:J319 D320:D323">
      <formula1>0</formula1>
      <formula2>100000000000000000000</formula2>
    </dataValidation>
    <dataValidation type="whole" allowBlank="1" showInputMessage="1" showErrorMessage="1" sqref="C278:J317 B277:B319 B321:B323 E323:Y323">
      <formula1>0</formula1>
      <formula2>1E+24</formula2>
    </dataValidation>
    <dataValidation type="whole" allowBlank="1" showInputMessage="1" showErrorMessage="1" sqref="C276:J277 B276 E320:Y322">
      <formula1>0</formula1>
      <formula2>100000000000000000</formula2>
    </dataValidation>
    <dataValidation type="whole" allowBlank="1" showInputMessage="1" showErrorMessage="1" sqref="B176 B218:J275 B123:J174 C320:C322">
      <formula1>0</formula1>
      <formula2>1000000000000000000</formula2>
    </dataValidation>
    <dataValidation type="whole" allowBlank="1" showInputMessage="1" showErrorMessage="1" sqref="M16:M23 H23:L23 G24:J70 F23:F70 B15:D70 E41:E70 K15 K24:K319 Z320:Z323">
      <formula1>0</formula1>
      <formula2>1E+22</formula2>
    </dataValidation>
    <dataValidation type="whole" allowBlank="1" showInputMessage="1" showErrorMessage="1" sqref="B71:J122">
      <formula1>0</formula1>
      <formula2>10000000000000000000</formula2>
    </dataValidation>
  </dataValidations>
  <pageMargins left="0.7" right="0.7" top="0.75" bottom="0.75" header="0.3" footer="0.3"/>
  <pageSetup paperSize="768" orientation="portrait" horizontalDpi="4294967293" verticalDpi="18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325"/>
  <sheetViews>
    <sheetView zoomScale="145" zoomScaleNormal="145" workbookViewId="0">
      <pane ySplit="13" topLeftCell="A17" activePane="bottomLeft" state="frozen"/>
      <selection pane="bottomLeft" activeCell="F21" sqref="F21"/>
    </sheetView>
  </sheetViews>
  <sheetFormatPr defaultRowHeight="12.75" x14ac:dyDescent="0.2"/>
  <cols>
    <col min="1" max="1" width="39.140625" style="1" customWidth="1"/>
    <col min="2" max="2" width="36.42578125" style="31" customWidth="1"/>
    <col min="3" max="3" width="7.28515625" style="100" customWidth="1"/>
    <col min="4" max="4" width="3.28515625" style="65" customWidth="1"/>
    <col min="5" max="5" width="1.85546875" style="65" customWidth="1"/>
    <col min="6" max="6" width="8.42578125" style="65" customWidth="1"/>
    <col min="7" max="16" width="9.140625" style="65"/>
    <col min="17" max="17" width="2.7109375" style="65" customWidth="1"/>
    <col min="18" max="28" width="9.140625" style="65"/>
  </cols>
  <sheetData>
    <row r="1" spans="1:30" x14ac:dyDescent="0.2">
      <c r="A1" s="13"/>
      <c r="B1" s="29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63"/>
      <c r="AB1" s="63"/>
    </row>
    <row r="2" spans="1:30" x14ac:dyDescent="0.2">
      <c r="A2" s="13"/>
      <c r="B2" s="29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63"/>
      <c r="AB2" s="63"/>
    </row>
    <row r="3" spans="1:30" x14ac:dyDescent="0.2">
      <c r="A3" s="13"/>
      <c r="B3" s="29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63"/>
      <c r="AB3" s="63"/>
    </row>
    <row r="4" spans="1:30" x14ac:dyDescent="0.2">
      <c r="A4" s="13"/>
      <c r="B4" s="29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63"/>
      <c r="AB4" s="63"/>
    </row>
    <row r="5" spans="1:30" x14ac:dyDescent="0.2">
      <c r="A5" s="13"/>
      <c r="B5" s="29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63"/>
      <c r="AB5" s="63"/>
    </row>
    <row r="6" spans="1:30" x14ac:dyDescent="0.2">
      <c r="A6" s="13"/>
      <c r="B6" s="2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63"/>
      <c r="AB6" s="63"/>
    </row>
    <row r="7" spans="1:30" x14ac:dyDescent="0.2">
      <c r="A7" s="13"/>
      <c r="B7" s="29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63"/>
      <c r="AB7" s="63"/>
    </row>
    <row r="8" spans="1:30" x14ac:dyDescent="0.2">
      <c r="A8" s="13"/>
      <c r="B8" s="29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63"/>
      <c r="AB8" s="63"/>
    </row>
    <row r="9" spans="1:30" x14ac:dyDescent="0.2">
      <c r="A9" s="14"/>
      <c r="B9" s="29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63"/>
      <c r="AB9" s="63"/>
    </row>
    <row r="10" spans="1:30" x14ac:dyDescent="0.2">
      <c r="A10" s="15"/>
      <c r="B10" s="29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63"/>
      <c r="AB10" s="63"/>
    </row>
    <row r="11" spans="1:30" ht="15.75" x14ac:dyDescent="0.25">
      <c r="A11" s="5" t="s">
        <v>0</v>
      </c>
      <c r="B11" s="12" t="s">
        <v>156</v>
      </c>
      <c r="C11" s="17"/>
      <c r="D11" s="17"/>
      <c r="E11" s="325"/>
      <c r="F11" s="325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63"/>
      <c r="AB11" s="63"/>
      <c r="AC11" s="3"/>
      <c r="AD11" s="3"/>
    </row>
    <row r="12" spans="1:30" x14ac:dyDescent="0.2">
      <c r="A12" s="48" t="s">
        <v>1</v>
      </c>
      <c r="B12" s="11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25"/>
      <c r="AA12" s="63"/>
      <c r="AB12" s="63"/>
    </row>
    <row r="13" spans="1:30" x14ac:dyDescent="0.2">
      <c r="A13" s="73" t="s">
        <v>3</v>
      </c>
      <c r="B13" s="77"/>
      <c r="C13" s="19"/>
      <c r="D13" s="19"/>
      <c r="E13" s="70"/>
      <c r="F13" s="70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63"/>
      <c r="AB13" s="63"/>
    </row>
    <row r="14" spans="1:30" x14ac:dyDescent="0.2">
      <c r="A14" s="51" t="s">
        <v>4</v>
      </c>
      <c r="B14" s="49"/>
      <c r="C14" s="98"/>
      <c r="D14" s="19"/>
      <c r="E14" s="70"/>
      <c r="F14" s="70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63"/>
      <c r="AB14" s="63"/>
    </row>
    <row r="15" spans="1:30" ht="15.75" x14ac:dyDescent="0.25">
      <c r="A15" s="47" t="s">
        <v>23</v>
      </c>
      <c r="B15" s="145">
        <f>B16+B23+B30+B33+B40+B43</f>
        <v>2078</v>
      </c>
      <c r="C15" s="99"/>
      <c r="D15" s="69"/>
      <c r="E15" s="69"/>
      <c r="F15" s="326" t="s">
        <v>227</v>
      </c>
      <c r="G15" s="326"/>
      <c r="H15" s="326"/>
      <c r="I15" s="326"/>
      <c r="J15" s="326"/>
      <c r="K15" s="326"/>
      <c r="L15" s="326"/>
      <c r="M15" s="326"/>
      <c r="N15" s="326"/>
      <c r="O15" s="326"/>
      <c r="P15" s="326"/>
      <c r="Q15" s="69"/>
      <c r="R15" s="16"/>
      <c r="S15" s="16"/>
      <c r="T15" s="16"/>
      <c r="U15" s="16"/>
      <c r="V15" s="16"/>
      <c r="W15" s="16"/>
      <c r="X15" s="16"/>
      <c r="Y15" s="16"/>
      <c r="Z15" s="45"/>
      <c r="AA15" s="63"/>
      <c r="AB15" s="63"/>
    </row>
    <row r="16" spans="1:30" ht="15.75" x14ac:dyDescent="0.25">
      <c r="A16" s="46" t="s">
        <v>24</v>
      </c>
      <c r="B16" s="145">
        <f>B17+B20</f>
        <v>2078</v>
      </c>
      <c r="C16" s="99"/>
      <c r="D16" s="66"/>
      <c r="E16" s="18"/>
      <c r="F16" s="18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66"/>
      <c r="R16" s="16"/>
      <c r="S16" s="16"/>
      <c r="T16" s="16"/>
      <c r="U16" s="16"/>
      <c r="V16" s="16"/>
      <c r="W16" s="16"/>
      <c r="X16" s="16"/>
      <c r="Y16" s="16"/>
      <c r="Z16" s="45"/>
      <c r="AA16" s="63"/>
      <c r="AB16" s="63"/>
    </row>
    <row r="17" spans="1:28" ht="15.75" x14ac:dyDescent="0.25">
      <c r="A17" s="2" t="s">
        <v>25</v>
      </c>
      <c r="B17" s="145">
        <f>B18+B19</f>
        <v>350</v>
      </c>
      <c r="C17" s="99"/>
      <c r="D17" s="67"/>
      <c r="E17" s="70" t="s">
        <v>228</v>
      </c>
      <c r="F17" s="161" t="s">
        <v>450</v>
      </c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67"/>
      <c r="R17" s="16"/>
      <c r="S17" s="16"/>
      <c r="T17" s="16"/>
      <c r="U17" s="16"/>
      <c r="V17" s="16"/>
      <c r="W17" s="16"/>
      <c r="X17" s="16"/>
      <c r="Y17" s="16"/>
      <c r="Z17" s="45"/>
      <c r="AA17" s="63"/>
      <c r="AB17" s="63"/>
    </row>
    <row r="18" spans="1:28" ht="15.75" x14ac:dyDescent="0.25">
      <c r="A18" s="2" t="s">
        <v>26</v>
      </c>
      <c r="B18" s="146">
        <v>210</v>
      </c>
      <c r="C18" s="99"/>
      <c r="D18" s="67"/>
      <c r="E18" s="70" t="s">
        <v>228</v>
      </c>
      <c r="F18" s="161" t="s">
        <v>451</v>
      </c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67"/>
      <c r="R18" s="16"/>
      <c r="S18" s="16"/>
      <c r="T18" s="16"/>
      <c r="U18" s="16"/>
      <c r="V18" s="16"/>
      <c r="W18" s="16"/>
      <c r="X18" s="16"/>
      <c r="Y18" s="16"/>
      <c r="Z18" s="45"/>
      <c r="AA18" s="63"/>
      <c r="AB18" s="63"/>
    </row>
    <row r="19" spans="1:28" ht="15.75" x14ac:dyDescent="0.25">
      <c r="A19" s="2" t="s">
        <v>182</v>
      </c>
      <c r="B19" s="146">
        <v>140</v>
      </c>
      <c r="C19" s="99"/>
      <c r="D19" s="68"/>
      <c r="E19" s="71" t="s">
        <v>228</v>
      </c>
      <c r="F19" s="44" t="s">
        <v>452</v>
      </c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68"/>
      <c r="R19" s="16"/>
      <c r="S19" s="16"/>
      <c r="T19" s="16"/>
      <c r="U19" s="16"/>
      <c r="V19" s="16"/>
      <c r="W19" s="16"/>
      <c r="X19" s="16"/>
      <c r="Y19" s="16"/>
      <c r="Z19" s="45"/>
      <c r="AA19" s="63"/>
      <c r="AB19" s="63"/>
    </row>
    <row r="20" spans="1:28" ht="15.75" x14ac:dyDescent="0.25">
      <c r="A20" s="2" t="s">
        <v>6</v>
      </c>
      <c r="B20" s="145">
        <f>B21+B22</f>
        <v>1728</v>
      </c>
      <c r="C20" s="99"/>
      <c r="D20" s="68"/>
      <c r="E20" s="71" t="s">
        <v>228</v>
      </c>
      <c r="F20" s="44" t="s">
        <v>453</v>
      </c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68"/>
      <c r="R20" s="16"/>
      <c r="S20" s="16"/>
      <c r="T20" s="16"/>
      <c r="U20" s="16"/>
      <c r="V20" s="16"/>
      <c r="W20" s="16"/>
      <c r="X20" s="16"/>
      <c r="Y20" s="16"/>
      <c r="Z20" s="45"/>
      <c r="AA20" s="63"/>
      <c r="AB20" s="63"/>
    </row>
    <row r="21" spans="1:28" ht="15.75" x14ac:dyDescent="0.25">
      <c r="A21" s="2" t="s">
        <v>27</v>
      </c>
      <c r="B21" s="146">
        <v>1666</v>
      </c>
      <c r="C21" s="99"/>
      <c r="D21" s="68"/>
      <c r="E21" s="71" t="s">
        <v>228</v>
      </c>
      <c r="F21" s="44" t="s">
        <v>454</v>
      </c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68"/>
      <c r="R21" s="16"/>
      <c r="S21" s="16"/>
      <c r="T21" s="16"/>
      <c r="U21" s="16"/>
      <c r="V21" s="16"/>
      <c r="W21" s="16"/>
      <c r="X21" s="16"/>
      <c r="Y21" s="16"/>
      <c r="Z21" s="45"/>
      <c r="AA21" s="63"/>
      <c r="AB21" s="63"/>
    </row>
    <row r="22" spans="1:28" ht="15.75" x14ac:dyDescent="0.25">
      <c r="A22" s="2" t="s">
        <v>183</v>
      </c>
      <c r="B22" s="146">
        <v>62</v>
      </c>
      <c r="C22" s="99"/>
      <c r="D22" s="68"/>
      <c r="E22" s="16" t="s">
        <v>228</v>
      </c>
      <c r="F22" s="44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68"/>
      <c r="R22" s="16"/>
      <c r="S22" s="16"/>
      <c r="T22" s="16"/>
      <c r="U22" s="16"/>
      <c r="V22" s="16"/>
      <c r="W22" s="16"/>
      <c r="X22" s="16"/>
      <c r="Y22" s="16"/>
      <c r="Z22" s="45"/>
      <c r="AA22" s="63"/>
      <c r="AB22" s="63"/>
    </row>
    <row r="23" spans="1:28" ht="15.75" x14ac:dyDescent="0.25">
      <c r="A23" s="46" t="s">
        <v>28</v>
      </c>
      <c r="B23" s="145">
        <f>B24+B27</f>
        <v>0</v>
      </c>
      <c r="C23" s="99"/>
      <c r="D23" s="68"/>
      <c r="E23" s="16" t="s">
        <v>228</v>
      </c>
      <c r="F23" s="44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68"/>
      <c r="R23" s="16"/>
      <c r="S23" s="16"/>
      <c r="T23" s="16"/>
      <c r="U23" s="16"/>
      <c r="V23" s="16"/>
      <c r="W23" s="16"/>
      <c r="X23" s="16"/>
      <c r="Y23" s="16"/>
      <c r="Z23" s="45"/>
      <c r="AA23" s="63"/>
      <c r="AB23" s="63"/>
    </row>
    <row r="24" spans="1:28" ht="15.75" x14ac:dyDescent="0.25">
      <c r="A24" s="2" t="s">
        <v>29</v>
      </c>
      <c r="B24" s="145">
        <f>B25+B26</f>
        <v>0</v>
      </c>
      <c r="C24" s="99"/>
      <c r="D24" s="68"/>
      <c r="E24" s="16" t="s">
        <v>228</v>
      </c>
      <c r="F24" s="44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68"/>
      <c r="R24" s="16"/>
      <c r="S24" s="16"/>
      <c r="T24" s="16"/>
      <c r="U24" s="16"/>
      <c r="V24" s="16"/>
      <c r="W24" s="16"/>
      <c r="X24" s="16"/>
      <c r="Y24" s="16"/>
      <c r="Z24" s="45"/>
      <c r="AA24" s="63"/>
      <c r="AB24" s="63"/>
    </row>
    <row r="25" spans="1:28" ht="15.75" x14ac:dyDescent="0.25">
      <c r="A25" s="2" t="s">
        <v>30</v>
      </c>
      <c r="B25" s="146"/>
      <c r="C25" s="99"/>
      <c r="D25" s="68"/>
      <c r="E25" s="16" t="s">
        <v>228</v>
      </c>
      <c r="F25" s="44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68"/>
      <c r="R25" s="16"/>
      <c r="S25" s="16"/>
      <c r="T25" s="16"/>
      <c r="U25" s="16"/>
      <c r="V25" s="16"/>
      <c r="W25" s="16"/>
      <c r="X25" s="16"/>
      <c r="Y25" s="16"/>
      <c r="Z25" s="45"/>
      <c r="AA25" s="63"/>
      <c r="AB25" s="63"/>
    </row>
    <row r="26" spans="1:28" ht="15.75" x14ac:dyDescent="0.25">
      <c r="A26" s="2" t="s">
        <v>184</v>
      </c>
      <c r="B26" s="146"/>
      <c r="C26" s="99"/>
      <c r="D26" s="68"/>
      <c r="E26" s="16" t="s">
        <v>228</v>
      </c>
      <c r="F26" s="44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68"/>
      <c r="R26" s="16"/>
      <c r="S26" s="16"/>
      <c r="T26" s="16"/>
      <c r="U26" s="16"/>
      <c r="V26" s="16"/>
      <c r="W26" s="16"/>
      <c r="X26" s="16"/>
      <c r="Y26" s="16"/>
      <c r="Z26" s="45"/>
      <c r="AA26" s="63"/>
      <c r="AB26" s="63"/>
    </row>
    <row r="27" spans="1:28" ht="15.75" x14ac:dyDescent="0.25">
      <c r="A27" s="2" t="s">
        <v>31</v>
      </c>
      <c r="B27" s="145">
        <f>B28+B29</f>
        <v>0</v>
      </c>
      <c r="C27" s="99"/>
      <c r="D27" s="68"/>
      <c r="E27" s="16" t="s">
        <v>228</v>
      </c>
      <c r="F27" s="44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68"/>
      <c r="R27" s="16"/>
      <c r="S27" s="16"/>
      <c r="T27" s="16"/>
      <c r="U27" s="16"/>
      <c r="V27" s="16"/>
      <c r="W27" s="16"/>
      <c r="X27" s="16"/>
      <c r="Y27" s="16"/>
      <c r="Z27" s="45"/>
      <c r="AA27" s="63"/>
      <c r="AB27" s="63"/>
    </row>
    <row r="28" spans="1:28" ht="15.75" x14ac:dyDescent="0.25">
      <c r="A28" s="2" t="s">
        <v>32</v>
      </c>
      <c r="B28" s="146"/>
      <c r="C28" s="99"/>
      <c r="D28" s="68"/>
      <c r="E28" s="16" t="s">
        <v>228</v>
      </c>
      <c r="F28" s="44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68"/>
      <c r="R28" s="16"/>
      <c r="S28" s="16"/>
      <c r="T28" s="16"/>
      <c r="U28" s="16"/>
      <c r="V28" s="16"/>
      <c r="W28" s="16"/>
      <c r="X28" s="16"/>
      <c r="Y28" s="16"/>
      <c r="Z28" s="45"/>
      <c r="AA28" s="63"/>
      <c r="AB28" s="63"/>
    </row>
    <row r="29" spans="1:28" ht="15.75" x14ac:dyDescent="0.25">
      <c r="A29" s="2" t="s">
        <v>185</v>
      </c>
      <c r="B29" s="146"/>
      <c r="C29" s="99"/>
      <c r="D29" s="68"/>
      <c r="E29" s="16" t="s">
        <v>228</v>
      </c>
      <c r="F29" s="44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68"/>
      <c r="R29" s="16"/>
      <c r="S29" s="16"/>
      <c r="T29" s="16"/>
      <c r="U29" s="16"/>
      <c r="V29" s="16"/>
      <c r="W29" s="16"/>
      <c r="X29" s="16"/>
      <c r="Y29" s="16"/>
      <c r="Z29" s="45"/>
      <c r="AA29" s="63"/>
      <c r="AB29" s="63"/>
    </row>
    <row r="30" spans="1:28" ht="15.75" x14ac:dyDescent="0.25">
      <c r="A30" s="46" t="s">
        <v>33</v>
      </c>
      <c r="B30" s="145">
        <f>B31+B32</f>
        <v>0</v>
      </c>
      <c r="C30" s="99"/>
      <c r="D30" s="68"/>
      <c r="E30" s="16" t="s">
        <v>228</v>
      </c>
      <c r="F30" s="44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68"/>
      <c r="R30" s="16"/>
      <c r="S30" s="16"/>
      <c r="T30" s="16"/>
      <c r="U30" s="16"/>
      <c r="V30" s="16"/>
      <c r="W30" s="16"/>
      <c r="X30" s="16"/>
      <c r="Y30" s="16"/>
      <c r="Z30" s="45"/>
      <c r="AA30" s="63"/>
      <c r="AB30" s="63"/>
    </row>
    <row r="31" spans="1:28" ht="15.75" x14ac:dyDescent="0.25">
      <c r="A31" s="2" t="s">
        <v>34</v>
      </c>
      <c r="B31" s="146"/>
      <c r="C31" s="99"/>
      <c r="D31" s="68"/>
      <c r="E31" s="16" t="s">
        <v>228</v>
      </c>
      <c r="F31" s="44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68"/>
      <c r="R31" s="16"/>
      <c r="S31" s="16"/>
      <c r="T31" s="16"/>
      <c r="U31" s="16"/>
      <c r="V31" s="16"/>
      <c r="W31" s="16"/>
      <c r="X31" s="16"/>
      <c r="Y31" s="16"/>
      <c r="Z31" s="45"/>
      <c r="AA31" s="63"/>
      <c r="AB31" s="63"/>
    </row>
    <row r="32" spans="1:28" ht="15.75" x14ac:dyDescent="0.25">
      <c r="A32" s="2" t="s">
        <v>186</v>
      </c>
      <c r="B32" s="146"/>
      <c r="C32" s="99"/>
      <c r="D32" s="68"/>
      <c r="E32" s="16" t="s">
        <v>228</v>
      </c>
      <c r="F32" s="44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68"/>
      <c r="R32" s="16"/>
      <c r="S32" s="16"/>
      <c r="T32" s="16"/>
      <c r="U32" s="16"/>
      <c r="V32" s="16"/>
      <c r="W32" s="16"/>
      <c r="X32" s="16"/>
      <c r="Y32" s="16"/>
      <c r="Z32" s="45"/>
      <c r="AA32" s="63"/>
      <c r="AB32" s="63"/>
    </row>
    <row r="33" spans="1:28" ht="15.75" x14ac:dyDescent="0.25">
      <c r="A33" s="46" t="s">
        <v>35</v>
      </c>
      <c r="B33" s="145">
        <f>B34+B37</f>
        <v>0</v>
      </c>
      <c r="C33" s="99"/>
      <c r="D33" s="68"/>
      <c r="E33" s="16" t="s">
        <v>228</v>
      </c>
      <c r="F33" s="44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68"/>
      <c r="R33" s="16"/>
      <c r="S33" s="16"/>
      <c r="T33" s="16"/>
      <c r="U33" s="16"/>
      <c r="V33" s="16"/>
      <c r="W33" s="16"/>
      <c r="X33" s="16"/>
      <c r="Y33" s="16"/>
      <c r="Z33" s="45"/>
      <c r="AA33" s="63"/>
      <c r="AB33" s="63"/>
    </row>
    <row r="34" spans="1:28" ht="15.75" x14ac:dyDescent="0.25">
      <c r="A34" s="2" t="s">
        <v>36</v>
      </c>
      <c r="B34" s="145">
        <f>B35+B36</f>
        <v>0</v>
      </c>
      <c r="C34" s="99"/>
      <c r="D34" s="68"/>
      <c r="E34" s="16" t="s">
        <v>228</v>
      </c>
      <c r="F34" s="44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68"/>
      <c r="R34" s="16"/>
      <c r="S34" s="16"/>
      <c r="T34" s="16"/>
      <c r="U34" s="16"/>
      <c r="V34" s="16"/>
      <c r="W34" s="16"/>
      <c r="X34" s="16"/>
      <c r="Y34" s="16"/>
      <c r="Z34" s="45"/>
      <c r="AA34" s="63"/>
      <c r="AB34" s="63"/>
    </row>
    <row r="35" spans="1:28" ht="15.75" x14ac:dyDescent="0.25">
      <c r="A35" s="2" t="s">
        <v>37</v>
      </c>
      <c r="B35" s="146"/>
      <c r="C35" s="99"/>
      <c r="D35" s="68"/>
      <c r="E35" s="16" t="s">
        <v>228</v>
      </c>
      <c r="F35" s="44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68"/>
      <c r="R35" s="16"/>
      <c r="S35" s="16"/>
      <c r="T35" s="16"/>
      <c r="U35" s="16"/>
      <c r="V35" s="16"/>
      <c r="W35" s="16"/>
      <c r="X35" s="16"/>
      <c r="Y35" s="16"/>
      <c r="Z35" s="45"/>
      <c r="AA35" s="63"/>
      <c r="AB35" s="63"/>
    </row>
    <row r="36" spans="1:28" ht="15.75" x14ac:dyDescent="0.25">
      <c r="A36" s="2" t="s">
        <v>187</v>
      </c>
      <c r="B36" s="146"/>
      <c r="C36" s="99"/>
      <c r="D36" s="68"/>
      <c r="E36" s="16" t="s">
        <v>228</v>
      </c>
      <c r="F36" s="44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68"/>
      <c r="R36" s="16"/>
      <c r="S36" s="16"/>
      <c r="T36" s="16"/>
      <c r="U36" s="16"/>
      <c r="V36" s="16"/>
      <c r="W36" s="16"/>
      <c r="X36" s="16"/>
      <c r="Y36" s="16"/>
      <c r="Z36" s="45"/>
      <c r="AA36" s="63"/>
      <c r="AB36" s="63"/>
    </row>
    <row r="37" spans="1:28" ht="15.75" x14ac:dyDescent="0.25">
      <c r="A37" s="2" t="s">
        <v>38</v>
      </c>
      <c r="B37" s="145">
        <f>B38+B39</f>
        <v>0</v>
      </c>
      <c r="C37" s="99"/>
      <c r="D37" s="67"/>
      <c r="E37" s="70" t="s">
        <v>228</v>
      </c>
      <c r="F37" s="72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67"/>
      <c r="R37" s="16"/>
      <c r="S37" s="16"/>
      <c r="T37" s="16"/>
      <c r="U37" s="16"/>
      <c r="V37" s="16"/>
      <c r="W37" s="16"/>
      <c r="X37" s="16"/>
      <c r="Y37" s="16"/>
      <c r="Z37" s="45"/>
      <c r="AA37" s="63"/>
      <c r="AB37" s="63"/>
    </row>
    <row r="38" spans="1:28" ht="15.75" x14ac:dyDescent="0.25">
      <c r="A38" s="2" t="s">
        <v>39</v>
      </c>
      <c r="B38" s="146"/>
      <c r="C38" s="99"/>
      <c r="D38" s="68"/>
      <c r="E38" s="71" t="s">
        <v>228</v>
      </c>
      <c r="F38" s="44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68"/>
      <c r="R38" s="16"/>
      <c r="S38" s="16"/>
      <c r="T38" s="16"/>
      <c r="U38" s="16"/>
      <c r="V38" s="16"/>
      <c r="W38" s="16"/>
      <c r="X38" s="16"/>
      <c r="Y38" s="16"/>
      <c r="Z38" s="45"/>
      <c r="AA38" s="63"/>
      <c r="AB38" s="63"/>
    </row>
    <row r="39" spans="1:28" ht="15.75" x14ac:dyDescent="0.25">
      <c r="A39" s="2" t="s">
        <v>188</v>
      </c>
      <c r="B39" s="146"/>
      <c r="C39" s="99"/>
      <c r="D39" s="68"/>
      <c r="E39" s="71" t="s">
        <v>228</v>
      </c>
      <c r="F39" s="44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68"/>
      <c r="R39" s="16"/>
      <c r="S39" s="16"/>
      <c r="T39" s="16"/>
      <c r="U39" s="16"/>
      <c r="V39" s="16"/>
      <c r="W39" s="16"/>
      <c r="X39" s="16"/>
      <c r="Y39" s="16"/>
      <c r="Z39" s="45"/>
      <c r="AA39" s="63"/>
      <c r="AB39" s="63"/>
    </row>
    <row r="40" spans="1:28" ht="15.75" x14ac:dyDescent="0.25">
      <c r="A40" s="46" t="s">
        <v>279</v>
      </c>
      <c r="B40" s="145">
        <f>B41+B42</f>
        <v>0</v>
      </c>
      <c r="C40" s="99"/>
      <c r="D40" s="68"/>
      <c r="E40" s="71" t="s">
        <v>228</v>
      </c>
      <c r="F40" s="44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68"/>
      <c r="R40" s="16"/>
      <c r="S40" s="16"/>
      <c r="T40" s="16"/>
      <c r="U40" s="16"/>
      <c r="V40" s="16"/>
      <c r="W40" s="16"/>
      <c r="X40" s="16"/>
      <c r="Y40" s="16"/>
      <c r="Z40" s="45"/>
      <c r="AA40" s="63"/>
      <c r="AB40" s="63"/>
    </row>
    <row r="41" spans="1:28" ht="15.75" x14ac:dyDescent="0.25">
      <c r="A41" s="2" t="s">
        <v>317</v>
      </c>
      <c r="B41" s="146"/>
      <c r="C41" s="99"/>
      <c r="D41" s="68"/>
      <c r="E41" s="16" t="s">
        <v>228</v>
      </c>
      <c r="F41" s="44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68"/>
      <c r="R41" s="16"/>
      <c r="S41" s="16"/>
      <c r="T41" s="16"/>
      <c r="U41" s="16"/>
      <c r="V41" s="16"/>
      <c r="W41" s="16"/>
      <c r="X41" s="16"/>
      <c r="Y41" s="16"/>
      <c r="Z41" s="45"/>
      <c r="AA41" s="63"/>
      <c r="AB41" s="63"/>
    </row>
    <row r="42" spans="1:28" ht="15.75" x14ac:dyDescent="0.25">
      <c r="A42" s="2" t="s">
        <v>318</v>
      </c>
      <c r="B42" s="146"/>
      <c r="C42" s="99"/>
      <c r="D42" s="68"/>
      <c r="E42" s="16" t="s">
        <v>228</v>
      </c>
      <c r="F42" s="44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68"/>
      <c r="R42" s="16"/>
      <c r="S42" s="16"/>
      <c r="T42" s="16"/>
      <c r="U42" s="16"/>
      <c r="V42" s="16"/>
      <c r="W42" s="16"/>
      <c r="X42" s="16"/>
      <c r="Y42" s="16"/>
      <c r="Z42" s="45"/>
      <c r="AA42" s="63"/>
      <c r="AB42" s="63"/>
    </row>
    <row r="43" spans="1:28" ht="15.75" x14ac:dyDescent="0.25">
      <c r="A43" s="46" t="s">
        <v>314</v>
      </c>
      <c r="B43" s="145">
        <f>B44+B45</f>
        <v>0</v>
      </c>
      <c r="C43" s="99"/>
      <c r="D43" s="68"/>
      <c r="E43" s="16" t="s">
        <v>228</v>
      </c>
      <c r="F43" s="44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68"/>
      <c r="R43" s="16"/>
      <c r="S43" s="16"/>
      <c r="T43" s="16"/>
      <c r="U43" s="16"/>
      <c r="V43" s="16"/>
      <c r="W43" s="16"/>
      <c r="X43" s="16"/>
      <c r="Y43" s="16"/>
      <c r="Z43" s="45"/>
      <c r="AA43" s="63"/>
      <c r="AB43" s="63"/>
    </row>
    <row r="44" spans="1:28" ht="15.75" x14ac:dyDescent="0.25">
      <c r="A44" s="2" t="s">
        <v>315</v>
      </c>
      <c r="B44" s="146"/>
      <c r="C44" s="99"/>
      <c r="D44" s="68"/>
      <c r="E44" s="16" t="s">
        <v>228</v>
      </c>
      <c r="F44" s="44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68"/>
      <c r="R44" s="16"/>
      <c r="S44" s="16"/>
      <c r="T44" s="16"/>
      <c r="U44" s="16"/>
      <c r="V44" s="16"/>
      <c r="W44" s="16"/>
      <c r="X44" s="16"/>
      <c r="Y44" s="16"/>
      <c r="Z44" s="45"/>
      <c r="AA44" s="63"/>
      <c r="AB44" s="63"/>
    </row>
    <row r="45" spans="1:28" ht="15.75" x14ac:dyDescent="0.25">
      <c r="A45" s="2" t="s">
        <v>316</v>
      </c>
      <c r="B45" s="146"/>
      <c r="C45" s="99"/>
      <c r="D45" s="68"/>
      <c r="E45" s="16" t="s">
        <v>228</v>
      </c>
      <c r="F45" s="44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68"/>
      <c r="R45" s="16"/>
      <c r="S45" s="16"/>
      <c r="T45" s="16"/>
      <c r="U45" s="16"/>
      <c r="V45" s="16"/>
      <c r="W45" s="16"/>
      <c r="X45" s="16"/>
      <c r="Y45" s="16"/>
      <c r="Z45" s="45"/>
      <c r="AA45" s="63"/>
      <c r="AB45" s="63"/>
    </row>
    <row r="46" spans="1:28" ht="15.75" x14ac:dyDescent="0.25">
      <c r="A46" s="46" t="s">
        <v>280</v>
      </c>
      <c r="B46" s="146"/>
      <c r="C46" s="99"/>
      <c r="D46" s="68"/>
      <c r="E46" s="16" t="s">
        <v>228</v>
      </c>
      <c r="F46" s="44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68"/>
      <c r="R46" s="16"/>
      <c r="S46" s="16"/>
      <c r="T46" s="16"/>
      <c r="U46" s="16"/>
      <c r="V46" s="16"/>
      <c r="W46" s="16"/>
      <c r="X46" s="16"/>
      <c r="Y46" s="16"/>
      <c r="Z46" s="45"/>
      <c r="AA46" s="63"/>
      <c r="AB46" s="63"/>
    </row>
    <row r="47" spans="1:28" ht="15.75" x14ac:dyDescent="0.25">
      <c r="A47" s="47" t="s">
        <v>40</v>
      </c>
      <c r="B47" s="145">
        <f>B48+B55+B58+B61+B68+B71+B74+B77+B80</f>
        <v>628</v>
      </c>
      <c r="C47" s="99"/>
      <c r="D47" s="68"/>
      <c r="E47" s="16" t="s">
        <v>228</v>
      </c>
      <c r="F47" s="44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68"/>
      <c r="R47" s="16"/>
      <c r="S47" s="16"/>
      <c r="T47" s="16"/>
      <c r="U47" s="16"/>
      <c r="V47" s="16"/>
      <c r="W47" s="16"/>
      <c r="X47" s="16"/>
      <c r="Y47" s="16"/>
      <c r="Z47" s="45"/>
      <c r="AA47" s="63"/>
      <c r="AB47" s="63"/>
    </row>
    <row r="48" spans="1:28" ht="15.75" x14ac:dyDescent="0.25">
      <c r="A48" s="46" t="s">
        <v>5</v>
      </c>
      <c r="B48" s="145">
        <f>B49+B52</f>
        <v>628</v>
      </c>
      <c r="C48" s="99"/>
      <c r="D48" s="68"/>
      <c r="E48" s="16" t="s">
        <v>228</v>
      </c>
      <c r="F48" s="44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68"/>
      <c r="R48" s="16"/>
      <c r="S48" s="16"/>
      <c r="T48" s="16"/>
      <c r="U48" s="16"/>
      <c r="V48" s="16"/>
      <c r="W48" s="16"/>
      <c r="X48" s="16"/>
      <c r="Y48" s="16"/>
      <c r="Z48" s="45"/>
      <c r="AA48" s="63"/>
      <c r="AB48" s="63"/>
    </row>
    <row r="49" spans="1:28" ht="15.75" x14ac:dyDescent="0.25">
      <c r="A49" s="2" t="s">
        <v>274</v>
      </c>
      <c r="B49" s="145">
        <f>B50+B51</f>
        <v>628</v>
      </c>
      <c r="C49" s="99"/>
      <c r="D49" s="68"/>
      <c r="E49" s="16" t="s">
        <v>228</v>
      </c>
      <c r="F49" s="44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68"/>
      <c r="R49" s="16"/>
      <c r="S49" s="16"/>
      <c r="T49" s="16"/>
      <c r="U49" s="16"/>
      <c r="V49" s="16"/>
      <c r="W49" s="16"/>
      <c r="X49" s="16"/>
      <c r="Y49" s="16"/>
      <c r="Z49" s="45"/>
      <c r="AA49" s="63"/>
      <c r="AB49" s="63"/>
    </row>
    <row r="50" spans="1:28" ht="15.75" x14ac:dyDescent="0.25">
      <c r="A50" s="2" t="s">
        <v>277</v>
      </c>
      <c r="B50" s="146">
        <v>500</v>
      </c>
      <c r="C50" s="99"/>
      <c r="D50" s="68"/>
      <c r="E50" s="16" t="s">
        <v>228</v>
      </c>
      <c r="F50" s="44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68"/>
      <c r="R50" s="16"/>
      <c r="S50" s="16"/>
      <c r="T50" s="16"/>
      <c r="U50" s="16"/>
      <c r="V50" s="16"/>
      <c r="W50" s="16"/>
      <c r="X50" s="16"/>
      <c r="Y50" s="16"/>
      <c r="Z50" s="45"/>
      <c r="AA50" s="63"/>
      <c r="AB50" s="63"/>
    </row>
    <row r="51" spans="1:28" ht="15.75" x14ac:dyDescent="0.25">
      <c r="A51" s="2" t="s">
        <v>278</v>
      </c>
      <c r="B51" s="146">
        <v>128</v>
      </c>
      <c r="C51" s="99"/>
      <c r="D51" s="68"/>
      <c r="E51" s="16" t="s">
        <v>228</v>
      </c>
      <c r="F51" s="160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68"/>
      <c r="R51" s="16"/>
      <c r="S51" s="16"/>
      <c r="T51" s="16"/>
      <c r="U51" s="16"/>
      <c r="V51" s="16"/>
      <c r="W51" s="16"/>
      <c r="X51" s="16"/>
      <c r="Y51" s="16"/>
      <c r="Z51" s="45"/>
      <c r="AA51" s="63"/>
      <c r="AB51" s="63"/>
    </row>
    <row r="52" spans="1:28" ht="15.75" x14ac:dyDescent="0.25">
      <c r="A52" s="2" t="s">
        <v>6</v>
      </c>
      <c r="B52" s="145">
        <f>B53+B54</f>
        <v>0</v>
      </c>
      <c r="C52" s="99"/>
      <c r="D52" s="68"/>
      <c r="E52" s="16" t="s">
        <v>228</v>
      </c>
      <c r="F52" s="44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68"/>
      <c r="R52" s="16"/>
      <c r="S52" s="16"/>
      <c r="T52" s="16"/>
      <c r="U52" s="16"/>
      <c r="V52" s="16"/>
      <c r="W52" s="16"/>
      <c r="X52" s="16"/>
      <c r="Y52" s="16"/>
      <c r="Z52" s="45"/>
      <c r="AA52" s="63"/>
      <c r="AB52" s="63"/>
    </row>
    <row r="53" spans="1:28" ht="15.75" x14ac:dyDescent="0.25">
      <c r="A53" s="2" t="s">
        <v>275</v>
      </c>
      <c r="B53" s="146"/>
      <c r="C53" s="99"/>
      <c r="D53" s="68"/>
      <c r="E53" s="16" t="s">
        <v>228</v>
      </c>
      <c r="F53" s="44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68"/>
      <c r="R53" s="16"/>
      <c r="S53" s="16"/>
      <c r="T53" s="16"/>
      <c r="U53" s="16"/>
      <c r="V53" s="16"/>
      <c r="W53" s="16"/>
      <c r="X53" s="16"/>
      <c r="Y53" s="16"/>
      <c r="Z53" s="45"/>
      <c r="AA53" s="63"/>
      <c r="AB53" s="63"/>
    </row>
    <row r="54" spans="1:28" ht="15.75" x14ac:dyDescent="0.25">
      <c r="A54" s="2" t="s">
        <v>276</v>
      </c>
      <c r="B54" s="146"/>
      <c r="C54" s="99"/>
      <c r="D54" s="68"/>
      <c r="E54" s="16" t="s">
        <v>228</v>
      </c>
      <c r="F54" s="44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68"/>
      <c r="R54" s="16"/>
      <c r="S54" s="16"/>
      <c r="T54" s="16"/>
      <c r="U54" s="16"/>
      <c r="V54" s="16"/>
      <c r="W54" s="16"/>
      <c r="X54" s="16"/>
      <c r="Y54" s="16"/>
      <c r="Z54" s="45"/>
      <c r="AA54" s="63"/>
      <c r="AB54" s="63"/>
    </row>
    <row r="55" spans="1:28" ht="15.75" x14ac:dyDescent="0.25">
      <c r="A55" s="46" t="s">
        <v>41</v>
      </c>
      <c r="B55" s="145">
        <f>B56+B57</f>
        <v>0</v>
      </c>
      <c r="C55" s="99"/>
      <c r="D55" s="68"/>
      <c r="E55" s="16" t="s">
        <v>228</v>
      </c>
      <c r="F55" s="44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68"/>
      <c r="R55" s="16"/>
      <c r="S55" s="16"/>
      <c r="T55" s="16"/>
      <c r="U55" s="16"/>
      <c r="V55" s="16"/>
      <c r="W55" s="16"/>
      <c r="X55" s="16"/>
      <c r="Y55" s="16"/>
      <c r="Z55" s="45"/>
      <c r="AA55" s="63"/>
      <c r="AB55" s="63"/>
    </row>
    <row r="56" spans="1:28" ht="15.75" x14ac:dyDescent="0.25">
      <c r="A56" s="2" t="s">
        <v>42</v>
      </c>
      <c r="B56" s="146"/>
      <c r="C56" s="99"/>
      <c r="D56" s="67"/>
      <c r="E56" s="70" t="s">
        <v>228</v>
      </c>
      <c r="F56" s="72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67"/>
      <c r="R56" s="16"/>
      <c r="S56" s="16"/>
      <c r="T56" s="16"/>
      <c r="U56" s="16"/>
      <c r="V56" s="16"/>
      <c r="W56" s="16"/>
      <c r="X56" s="16"/>
      <c r="Y56" s="16"/>
      <c r="Z56" s="45"/>
      <c r="AA56" s="63"/>
      <c r="AB56" s="63"/>
    </row>
    <row r="57" spans="1:28" ht="15.75" x14ac:dyDescent="0.25">
      <c r="A57" s="2" t="s">
        <v>189</v>
      </c>
      <c r="B57" s="146"/>
      <c r="C57" s="99"/>
      <c r="D57" s="68"/>
      <c r="E57" s="71" t="s">
        <v>228</v>
      </c>
      <c r="F57" s="44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68"/>
      <c r="R57" s="16"/>
      <c r="S57" s="16"/>
      <c r="T57" s="16"/>
      <c r="U57" s="16"/>
      <c r="V57" s="16"/>
      <c r="W57" s="16"/>
      <c r="X57" s="16"/>
      <c r="Y57" s="16"/>
      <c r="Z57" s="45"/>
      <c r="AA57" s="63"/>
      <c r="AB57" s="63"/>
    </row>
    <row r="58" spans="1:28" ht="15.75" x14ac:dyDescent="0.25">
      <c r="A58" s="46" t="s">
        <v>43</v>
      </c>
      <c r="B58" s="145">
        <f>B59+B60</f>
        <v>0</v>
      </c>
      <c r="C58" s="99"/>
      <c r="D58" s="68"/>
      <c r="E58" s="71" t="s">
        <v>228</v>
      </c>
      <c r="F58" s="44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68"/>
      <c r="R58" s="16"/>
      <c r="S58" s="16"/>
      <c r="T58" s="16"/>
      <c r="U58" s="16"/>
      <c r="V58" s="16"/>
      <c r="W58" s="16"/>
      <c r="X58" s="16"/>
      <c r="Y58" s="16"/>
      <c r="Z58" s="45"/>
      <c r="AA58" s="63"/>
      <c r="AB58" s="63"/>
    </row>
    <row r="59" spans="1:28" ht="15.75" x14ac:dyDescent="0.25">
      <c r="A59" s="2" t="s">
        <v>44</v>
      </c>
      <c r="B59" s="146"/>
      <c r="C59" s="99"/>
      <c r="D59" s="68"/>
      <c r="E59" s="71" t="s">
        <v>228</v>
      </c>
      <c r="F59" s="44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68"/>
      <c r="R59" s="16"/>
      <c r="S59" s="16"/>
      <c r="T59" s="16"/>
      <c r="U59" s="16"/>
      <c r="V59" s="16"/>
      <c r="W59" s="16"/>
      <c r="X59" s="16"/>
      <c r="Y59" s="16"/>
      <c r="Z59" s="45"/>
      <c r="AA59" s="63"/>
      <c r="AB59" s="63"/>
    </row>
    <row r="60" spans="1:28" ht="15.75" x14ac:dyDescent="0.25">
      <c r="A60" s="2" t="s">
        <v>190</v>
      </c>
      <c r="B60" s="146"/>
      <c r="C60" s="99"/>
      <c r="D60" s="68"/>
      <c r="E60" s="16" t="s">
        <v>228</v>
      </c>
      <c r="F60" s="44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68"/>
      <c r="R60" s="16"/>
      <c r="S60" s="16"/>
      <c r="T60" s="16"/>
      <c r="U60" s="16"/>
      <c r="V60" s="16"/>
      <c r="W60" s="16"/>
      <c r="X60" s="16"/>
      <c r="Y60" s="16"/>
      <c r="Z60" s="45"/>
      <c r="AA60" s="63"/>
      <c r="AB60" s="63"/>
    </row>
    <row r="61" spans="1:28" ht="15.75" x14ac:dyDescent="0.25">
      <c r="A61" s="46" t="s">
        <v>7</v>
      </c>
      <c r="B61" s="145">
        <f>B62+B65</f>
        <v>0</v>
      </c>
      <c r="C61" s="99"/>
      <c r="D61" s="68"/>
      <c r="E61" s="16" t="s">
        <v>228</v>
      </c>
      <c r="F61" s="44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68"/>
      <c r="R61" s="16"/>
      <c r="S61" s="16"/>
      <c r="T61" s="16"/>
      <c r="U61" s="16"/>
      <c r="V61" s="16"/>
      <c r="W61" s="16"/>
      <c r="X61" s="16"/>
      <c r="Y61" s="16"/>
      <c r="Z61" s="45"/>
      <c r="AA61" s="63"/>
      <c r="AB61" s="63"/>
    </row>
    <row r="62" spans="1:28" ht="15.75" x14ac:dyDescent="0.25">
      <c r="A62" s="2" t="s">
        <v>45</v>
      </c>
      <c r="B62" s="145">
        <f>B63+B64</f>
        <v>0</v>
      </c>
      <c r="C62" s="99"/>
      <c r="D62" s="68"/>
      <c r="E62" s="16" t="s">
        <v>228</v>
      </c>
      <c r="F62" s="44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68"/>
      <c r="R62" s="16"/>
      <c r="S62" s="16"/>
      <c r="T62" s="16"/>
      <c r="U62" s="16"/>
      <c r="V62" s="16"/>
      <c r="W62" s="16"/>
      <c r="X62" s="16"/>
      <c r="Y62" s="16"/>
      <c r="Z62" s="45"/>
      <c r="AA62" s="63"/>
      <c r="AB62" s="63"/>
    </row>
    <row r="63" spans="1:28" ht="15.75" x14ac:dyDescent="0.25">
      <c r="A63" s="2" t="s">
        <v>46</v>
      </c>
      <c r="B63" s="146"/>
      <c r="C63" s="99"/>
      <c r="D63" s="68"/>
      <c r="E63" s="16" t="s">
        <v>228</v>
      </c>
      <c r="F63" s="44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68"/>
      <c r="R63" s="16"/>
      <c r="S63" s="16"/>
      <c r="T63" s="16"/>
      <c r="U63" s="16"/>
      <c r="V63" s="16"/>
      <c r="W63" s="16"/>
      <c r="X63" s="16"/>
      <c r="Y63" s="16"/>
      <c r="Z63" s="45"/>
      <c r="AA63" s="63"/>
      <c r="AB63" s="63"/>
    </row>
    <row r="64" spans="1:28" ht="15.75" x14ac:dyDescent="0.25">
      <c r="A64" s="2" t="s">
        <v>191</v>
      </c>
      <c r="B64" s="146"/>
      <c r="C64" s="99"/>
      <c r="D64" s="68"/>
      <c r="E64" s="16" t="s">
        <v>228</v>
      </c>
      <c r="F64" s="44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68"/>
      <c r="R64" s="16"/>
      <c r="S64" s="16"/>
      <c r="T64" s="16"/>
      <c r="U64" s="16"/>
      <c r="V64" s="16"/>
      <c r="W64" s="16"/>
      <c r="X64" s="16"/>
      <c r="Y64" s="16"/>
      <c r="Z64" s="45"/>
      <c r="AA64" s="63"/>
      <c r="AB64" s="63"/>
    </row>
    <row r="65" spans="1:28" ht="15.75" x14ac:dyDescent="0.25">
      <c r="A65" s="2" t="s">
        <v>47</v>
      </c>
      <c r="B65" s="145">
        <f>B66+B67</f>
        <v>0</v>
      </c>
      <c r="C65" s="99"/>
      <c r="D65" s="68"/>
      <c r="E65" s="16" t="s">
        <v>228</v>
      </c>
      <c r="F65" s="44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68"/>
      <c r="R65" s="16"/>
      <c r="S65" s="16"/>
      <c r="T65" s="16"/>
      <c r="U65" s="16"/>
      <c r="V65" s="16"/>
      <c r="W65" s="16"/>
      <c r="X65" s="16"/>
      <c r="Y65" s="16"/>
      <c r="Z65" s="45"/>
      <c r="AA65" s="63"/>
      <c r="AB65" s="63"/>
    </row>
    <row r="66" spans="1:28" ht="15.75" x14ac:dyDescent="0.25">
      <c r="A66" s="2" t="s">
        <v>48</v>
      </c>
      <c r="B66" s="146"/>
      <c r="C66" s="99"/>
      <c r="D66" s="68"/>
      <c r="E66" s="16" t="s">
        <v>228</v>
      </c>
      <c r="F66" s="44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68"/>
      <c r="R66" s="16"/>
      <c r="S66" s="16"/>
      <c r="T66" s="16"/>
      <c r="U66" s="16"/>
      <c r="V66" s="16"/>
      <c r="W66" s="16"/>
      <c r="X66" s="16"/>
      <c r="Y66" s="16"/>
      <c r="Z66" s="45"/>
      <c r="AA66" s="63"/>
      <c r="AB66" s="63"/>
    </row>
    <row r="67" spans="1:28" ht="15.75" x14ac:dyDescent="0.25">
      <c r="A67" s="2" t="s">
        <v>192</v>
      </c>
      <c r="B67" s="146"/>
      <c r="C67" s="99"/>
      <c r="D67" s="68"/>
      <c r="E67" s="16" t="s">
        <v>228</v>
      </c>
      <c r="F67" s="44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68"/>
      <c r="R67" s="16"/>
      <c r="S67" s="16"/>
      <c r="T67" s="16"/>
      <c r="U67" s="16"/>
      <c r="V67" s="16"/>
      <c r="W67" s="16"/>
      <c r="X67" s="16"/>
      <c r="Y67" s="16"/>
      <c r="Z67" s="45"/>
      <c r="AA67" s="63"/>
      <c r="AB67" s="63"/>
    </row>
    <row r="68" spans="1:28" ht="15.75" x14ac:dyDescent="0.25">
      <c r="A68" s="46" t="s">
        <v>49</v>
      </c>
      <c r="B68" s="145">
        <f>B69+B70</f>
        <v>0</v>
      </c>
      <c r="C68" s="99"/>
      <c r="D68" s="68"/>
      <c r="E68" s="16" t="s">
        <v>228</v>
      </c>
      <c r="F68" s="44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68"/>
      <c r="R68" s="16"/>
      <c r="S68" s="16"/>
      <c r="T68" s="16"/>
      <c r="U68" s="16"/>
      <c r="V68" s="16"/>
      <c r="W68" s="16"/>
      <c r="X68" s="16"/>
      <c r="Y68" s="16"/>
      <c r="Z68" s="45"/>
      <c r="AA68" s="63"/>
      <c r="AB68" s="63"/>
    </row>
    <row r="69" spans="1:28" ht="15.75" x14ac:dyDescent="0.25">
      <c r="A69" s="2" t="s">
        <v>50</v>
      </c>
      <c r="B69" s="146"/>
      <c r="C69" s="99"/>
      <c r="D69" s="68"/>
      <c r="E69" s="16" t="s">
        <v>228</v>
      </c>
      <c r="F69" s="44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68"/>
      <c r="R69" s="16"/>
      <c r="S69" s="16"/>
      <c r="T69" s="16"/>
      <c r="U69" s="16"/>
      <c r="V69" s="16"/>
      <c r="W69" s="16"/>
      <c r="X69" s="16"/>
      <c r="Y69" s="16"/>
      <c r="Z69" s="45"/>
      <c r="AA69" s="63"/>
      <c r="AB69" s="63"/>
    </row>
    <row r="70" spans="1:28" ht="15.75" x14ac:dyDescent="0.25">
      <c r="A70" s="2" t="s">
        <v>193</v>
      </c>
      <c r="B70" s="146"/>
      <c r="C70" s="99"/>
      <c r="D70" s="68"/>
      <c r="E70" s="16" t="s">
        <v>228</v>
      </c>
      <c r="F70" s="44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68"/>
      <c r="R70" s="16"/>
      <c r="S70" s="16"/>
      <c r="T70" s="16"/>
      <c r="U70" s="16"/>
      <c r="V70" s="16"/>
      <c r="W70" s="16"/>
      <c r="X70" s="16"/>
      <c r="Y70" s="16"/>
      <c r="Z70" s="45"/>
      <c r="AA70" s="63"/>
      <c r="AB70" s="63"/>
    </row>
    <row r="71" spans="1:28" ht="15.75" x14ac:dyDescent="0.25">
      <c r="A71" s="46" t="s">
        <v>51</v>
      </c>
      <c r="B71" s="145">
        <f>B72+B73</f>
        <v>0</v>
      </c>
      <c r="C71" s="99"/>
      <c r="D71" s="68"/>
      <c r="E71" s="16" t="s">
        <v>228</v>
      </c>
      <c r="F71" s="44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68"/>
      <c r="R71" s="16"/>
      <c r="S71" s="16"/>
      <c r="T71" s="16"/>
      <c r="U71" s="16"/>
      <c r="V71" s="16"/>
      <c r="W71" s="16"/>
      <c r="X71" s="16"/>
      <c r="Y71" s="16"/>
      <c r="Z71" s="45"/>
      <c r="AA71" s="63"/>
      <c r="AB71" s="63"/>
    </row>
    <row r="72" spans="1:28" ht="15.75" x14ac:dyDescent="0.25">
      <c r="A72" s="2" t="s">
        <v>52</v>
      </c>
      <c r="B72" s="146"/>
      <c r="C72" s="99"/>
      <c r="D72" s="68"/>
      <c r="E72" s="16" t="s">
        <v>228</v>
      </c>
      <c r="F72" s="44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68"/>
      <c r="R72" s="16"/>
      <c r="S72" s="16"/>
      <c r="T72" s="16"/>
      <c r="U72" s="16"/>
      <c r="V72" s="16"/>
      <c r="W72" s="16"/>
      <c r="X72" s="16"/>
      <c r="Y72" s="16"/>
      <c r="Z72" s="45"/>
      <c r="AA72" s="63"/>
      <c r="AB72" s="63"/>
    </row>
    <row r="73" spans="1:28" ht="15.75" x14ac:dyDescent="0.25">
      <c r="A73" s="2" t="s">
        <v>194</v>
      </c>
      <c r="B73" s="146"/>
      <c r="C73" s="99"/>
      <c r="D73" s="68"/>
      <c r="E73" s="16" t="s">
        <v>228</v>
      </c>
      <c r="F73" s="44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68"/>
      <c r="R73" s="16"/>
      <c r="S73" s="16"/>
      <c r="T73" s="16"/>
      <c r="U73" s="16"/>
      <c r="V73" s="16"/>
      <c r="W73" s="16"/>
      <c r="X73" s="16"/>
      <c r="Y73" s="16"/>
      <c r="Z73" s="45"/>
      <c r="AA73" s="63"/>
      <c r="AB73" s="63"/>
    </row>
    <row r="74" spans="1:28" ht="15.75" x14ac:dyDescent="0.25">
      <c r="A74" s="46" t="s">
        <v>53</v>
      </c>
      <c r="B74" s="145">
        <f>B75+B76</f>
        <v>0</v>
      </c>
      <c r="C74" s="99"/>
      <c r="D74" s="68"/>
      <c r="E74" s="16" t="s">
        <v>228</v>
      </c>
      <c r="F74" s="160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68"/>
      <c r="R74" s="16"/>
      <c r="S74" s="16"/>
      <c r="T74" s="16"/>
      <c r="U74" s="16"/>
      <c r="V74" s="16"/>
      <c r="W74" s="16"/>
      <c r="X74" s="16"/>
      <c r="Y74" s="16"/>
      <c r="Z74" s="45"/>
      <c r="AA74" s="63"/>
      <c r="AB74" s="63"/>
    </row>
    <row r="75" spans="1:28" ht="15.75" x14ac:dyDescent="0.25">
      <c r="A75" s="2" t="s">
        <v>54</v>
      </c>
      <c r="B75" s="146"/>
      <c r="C75" s="99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16"/>
      <c r="S75" s="16"/>
      <c r="T75" s="16"/>
      <c r="U75" s="16"/>
      <c r="V75" s="16"/>
      <c r="W75" s="16"/>
      <c r="X75" s="16"/>
      <c r="Y75" s="16"/>
      <c r="Z75" s="45"/>
      <c r="AA75" s="63"/>
      <c r="AB75" s="63"/>
    </row>
    <row r="76" spans="1:28" ht="15.75" x14ac:dyDescent="0.25">
      <c r="A76" s="2" t="s">
        <v>195</v>
      </c>
      <c r="B76" s="146"/>
      <c r="C76" s="99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45"/>
      <c r="AA76" s="63"/>
      <c r="AB76" s="63"/>
    </row>
    <row r="77" spans="1:28" ht="15.75" x14ac:dyDescent="0.25">
      <c r="A77" s="46" t="s">
        <v>319</v>
      </c>
      <c r="B77" s="145">
        <f>B78+B79</f>
        <v>0</v>
      </c>
      <c r="C77" s="99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45"/>
      <c r="AA77" s="63"/>
      <c r="AB77" s="63"/>
    </row>
    <row r="78" spans="1:28" ht="15.75" x14ac:dyDescent="0.25">
      <c r="A78" s="2" t="s">
        <v>72</v>
      </c>
      <c r="B78" s="146"/>
      <c r="C78" s="99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45"/>
      <c r="AA78" s="63"/>
      <c r="AB78" s="63"/>
    </row>
    <row r="79" spans="1:28" ht="15.75" x14ac:dyDescent="0.25">
      <c r="A79" s="55" t="s">
        <v>196</v>
      </c>
      <c r="B79" s="146"/>
      <c r="C79" s="99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45"/>
      <c r="AA79" s="63"/>
      <c r="AB79" s="63"/>
    </row>
    <row r="80" spans="1:28" ht="15.75" x14ac:dyDescent="0.25">
      <c r="A80" s="46" t="s">
        <v>271</v>
      </c>
      <c r="B80" s="145">
        <f>B81+B82</f>
        <v>0</v>
      </c>
      <c r="C80" s="99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45"/>
      <c r="AA80" s="63"/>
      <c r="AB80" s="63"/>
    </row>
    <row r="81" spans="1:28" ht="15.75" x14ac:dyDescent="0.25">
      <c r="A81" s="2" t="s">
        <v>272</v>
      </c>
      <c r="B81" s="146"/>
      <c r="C81" s="99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45"/>
      <c r="AA81" s="63"/>
      <c r="AB81" s="63"/>
    </row>
    <row r="82" spans="1:28" ht="15.75" x14ac:dyDescent="0.25">
      <c r="A82" s="55" t="s">
        <v>273</v>
      </c>
      <c r="B82" s="146">
        <v>0</v>
      </c>
      <c r="C82" s="99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45"/>
      <c r="AA82" s="63"/>
      <c r="AB82" s="63"/>
    </row>
    <row r="83" spans="1:28" ht="15.75" x14ac:dyDescent="0.25">
      <c r="A83" s="56" t="s">
        <v>55</v>
      </c>
      <c r="B83" s="145">
        <f>B84+B97+B100+B103+B110+B113+B116+B119</f>
        <v>141</v>
      </c>
      <c r="C83" s="99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45"/>
      <c r="AA83" s="63"/>
      <c r="AB83" s="63"/>
    </row>
    <row r="84" spans="1:28" ht="15.75" x14ac:dyDescent="0.25">
      <c r="A84" s="57" t="s">
        <v>56</v>
      </c>
      <c r="B84" s="145">
        <f>B85+B88+B91+B94</f>
        <v>141</v>
      </c>
      <c r="C84" s="99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45"/>
      <c r="AA84" s="63"/>
      <c r="AB84" s="63"/>
    </row>
    <row r="85" spans="1:28" ht="15.75" x14ac:dyDescent="0.25">
      <c r="A85" s="55" t="s">
        <v>57</v>
      </c>
      <c r="B85" s="145">
        <f>B86+B87</f>
        <v>141</v>
      </c>
      <c r="C85" s="99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45"/>
      <c r="AA85" s="63"/>
      <c r="AB85" s="63"/>
    </row>
    <row r="86" spans="1:28" ht="15.75" x14ac:dyDescent="0.25">
      <c r="A86" s="55" t="s">
        <v>58</v>
      </c>
      <c r="B86" s="146">
        <v>85</v>
      </c>
      <c r="C86" s="99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45"/>
      <c r="AA86" s="63"/>
      <c r="AB86" s="63"/>
    </row>
    <row r="87" spans="1:28" ht="15.75" x14ac:dyDescent="0.25">
      <c r="A87" s="55" t="s">
        <v>197</v>
      </c>
      <c r="B87" s="146">
        <v>56</v>
      </c>
      <c r="C87" s="99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45"/>
      <c r="AA87" s="63"/>
      <c r="AB87" s="63"/>
    </row>
    <row r="88" spans="1:28" ht="15.75" x14ac:dyDescent="0.25">
      <c r="A88" s="55" t="s">
        <v>237</v>
      </c>
      <c r="B88" s="145">
        <f>B89+B90</f>
        <v>0</v>
      </c>
      <c r="C88" s="99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45"/>
      <c r="AA88" s="63"/>
      <c r="AB88" s="63"/>
    </row>
    <row r="89" spans="1:28" ht="15.75" x14ac:dyDescent="0.25">
      <c r="A89" s="55" t="s">
        <v>59</v>
      </c>
      <c r="B89" s="146"/>
      <c r="C89" s="99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45"/>
      <c r="AA89" s="63"/>
      <c r="AB89" s="63"/>
    </row>
    <row r="90" spans="1:28" ht="15.75" x14ac:dyDescent="0.25">
      <c r="A90" s="55" t="s">
        <v>198</v>
      </c>
      <c r="B90" s="146"/>
      <c r="C90" s="99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45"/>
      <c r="AA90" s="63"/>
      <c r="AB90" s="63"/>
    </row>
    <row r="91" spans="1:28" ht="15.75" x14ac:dyDescent="0.25">
      <c r="A91" s="55" t="s">
        <v>60</v>
      </c>
      <c r="B91" s="145">
        <f>B92+B93</f>
        <v>0</v>
      </c>
      <c r="C91" s="99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45"/>
      <c r="AA91" s="63"/>
      <c r="AB91" s="63"/>
    </row>
    <row r="92" spans="1:28" ht="15.75" x14ac:dyDescent="0.25">
      <c r="A92" s="55" t="s">
        <v>61</v>
      </c>
      <c r="B92" s="146"/>
      <c r="C92" s="99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45"/>
      <c r="AA92" s="63"/>
      <c r="AB92" s="63"/>
    </row>
    <row r="93" spans="1:28" ht="15.75" x14ac:dyDescent="0.25">
      <c r="A93" s="55" t="s">
        <v>199</v>
      </c>
      <c r="B93" s="146"/>
      <c r="C93" s="99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45"/>
      <c r="AA93" s="63"/>
      <c r="AB93" s="63"/>
    </row>
    <row r="94" spans="1:28" ht="15.75" x14ac:dyDescent="0.25">
      <c r="A94" s="55" t="s">
        <v>62</v>
      </c>
      <c r="B94" s="145">
        <f>B95+B96</f>
        <v>0</v>
      </c>
      <c r="C94" s="99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45"/>
      <c r="AA94" s="63"/>
      <c r="AB94" s="63"/>
    </row>
    <row r="95" spans="1:28" ht="15.75" x14ac:dyDescent="0.25">
      <c r="A95" s="55" t="s">
        <v>63</v>
      </c>
      <c r="B95" s="146"/>
      <c r="C95" s="99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45"/>
      <c r="AA95" s="63"/>
      <c r="AB95" s="63"/>
    </row>
    <row r="96" spans="1:28" ht="15.75" x14ac:dyDescent="0.25">
      <c r="A96" s="55" t="s">
        <v>200</v>
      </c>
      <c r="B96" s="146"/>
      <c r="C96" s="99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45"/>
      <c r="AA96" s="63"/>
      <c r="AB96" s="63"/>
    </row>
    <row r="97" spans="1:28" ht="15.75" x14ac:dyDescent="0.25">
      <c r="A97" s="57" t="s">
        <v>64</v>
      </c>
      <c r="B97" s="145">
        <f>B98+B99</f>
        <v>0</v>
      </c>
      <c r="C97" s="99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45"/>
      <c r="AA97" s="63"/>
      <c r="AB97" s="63"/>
    </row>
    <row r="98" spans="1:28" ht="15.75" x14ac:dyDescent="0.25">
      <c r="A98" s="55" t="s">
        <v>65</v>
      </c>
      <c r="B98" s="146"/>
      <c r="C98" s="99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45"/>
      <c r="AA98" s="63"/>
      <c r="AB98" s="63"/>
    </row>
    <row r="99" spans="1:28" ht="15.75" x14ac:dyDescent="0.25">
      <c r="A99" s="55" t="s">
        <v>201</v>
      </c>
      <c r="B99" s="146"/>
      <c r="C99" s="99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45"/>
      <c r="AA99" s="63"/>
      <c r="AB99" s="63"/>
    </row>
    <row r="100" spans="1:28" ht="15.75" x14ac:dyDescent="0.25">
      <c r="A100" s="57" t="s">
        <v>66</v>
      </c>
      <c r="B100" s="145">
        <f>B101+B102</f>
        <v>0</v>
      </c>
      <c r="C100" s="99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45"/>
      <c r="AA100" s="63"/>
      <c r="AB100" s="63"/>
    </row>
    <row r="101" spans="1:28" ht="15.75" x14ac:dyDescent="0.25">
      <c r="A101" s="55" t="s">
        <v>67</v>
      </c>
      <c r="B101" s="146"/>
      <c r="C101" s="99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45"/>
      <c r="AA101" s="63"/>
      <c r="AB101" s="63"/>
    </row>
    <row r="102" spans="1:28" ht="15.75" x14ac:dyDescent="0.25">
      <c r="A102" s="55" t="s">
        <v>202</v>
      </c>
      <c r="B102" s="146"/>
      <c r="C102" s="99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45"/>
      <c r="AA102" s="63"/>
      <c r="AB102" s="63"/>
    </row>
    <row r="103" spans="1:28" ht="15.75" x14ac:dyDescent="0.25">
      <c r="A103" s="57" t="s">
        <v>68</v>
      </c>
      <c r="B103" s="145">
        <f>B104+B107</f>
        <v>0</v>
      </c>
      <c r="C103" s="99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45"/>
      <c r="AA103" s="63"/>
      <c r="AB103" s="63"/>
    </row>
    <row r="104" spans="1:28" ht="15.75" x14ac:dyDescent="0.25">
      <c r="A104" s="55" t="s">
        <v>238</v>
      </c>
      <c r="B104" s="145">
        <f>B105+B106</f>
        <v>0</v>
      </c>
      <c r="C104" s="99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45"/>
      <c r="AA104" s="63"/>
      <c r="AB104" s="63"/>
    </row>
    <row r="105" spans="1:28" ht="15.75" x14ac:dyDescent="0.25">
      <c r="A105" s="2" t="s">
        <v>239</v>
      </c>
      <c r="B105" s="146"/>
      <c r="C105" s="99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45"/>
      <c r="AA105" s="63"/>
      <c r="AB105" s="63"/>
    </row>
    <row r="106" spans="1:28" ht="15.75" x14ac:dyDescent="0.25">
      <c r="A106" s="2" t="s">
        <v>240</v>
      </c>
      <c r="B106" s="146"/>
      <c r="C106" s="99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45"/>
      <c r="AA106" s="63"/>
      <c r="AB106" s="63"/>
    </row>
    <row r="107" spans="1:28" ht="15.75" x14ac:dyDescent="0.25">
      <c r="A107" s="2" t="s">
        <v>241</v>
      </c>
      <c r="B107" s="145">
        <f>B108+B109</f>
        <v>0</v>
      </c>
      <c r="C107" s="99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45"/>
      <c r="AA107" s="63"/>
      <c r="AB107" s="63"/>
    </row>
    <row r="108" spans="1:28" ht="15.75" x14ac:dyDescent="0.25">
      <c r="A108" s="2" t="s">
        <v>242</v>
      </c>
      <c r="B108" s="146"/>
      <c r="C108" s="99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45"/>
      <c r="AA108" s="63"/>
      <c r="AB108" s="63"/>
    </row>
    <row r="109" spans="1:28" ht="15.75" x14ac:dyDescent="0.25">
      <c r="A109" s="55" t="s">
        <v>243</v>
      </c>
      <c r="B109" s="146"/>
      <c r="C109" s="99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45"/>
      <c r="AA109" s="63"/>
      <c r="AB109" s="63"/>
    </row>
    <row r="110" spans="1:28" ht="15.75" x14ac:dyDescent="0.25">
      <c r="A110" s="57" t="s">
        <v>69</v>
      </c>
      <c r="B110" s="145">
        <f>B111+B112</f>
        <v>0</v>
      </c>
      <c r="C110" s="99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45"/>
      <c r="AA110" s="63"/>
      <c r="AB110" s="63"/>
    </row>
    <row r="111" spans="1:28" ht="15.75" x14ac:dyDescent="0.25">
      <c r="A111" s="55" t="s">
        <v>244</v>
      </c>
      <c r="B111" s="146"/>
      <c r="C111" s="99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45"/>
      <c r="AA111" s="63"/>
      <c r="AB111" s="63"/>
    </row>
    <row r="112" spans="1:28" ht="15.75" x14ac:dyDescent="0.25">
      <c r="A112" s="55" t="s">
        <v>245</v>
      </c>
      <c r="B112" s="146"/>
      <c r="C112" s="99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45"/>
      <c r="AA112" s="63"/>
      <c r="AB112" s="63"/>
    </row>
    <row r="113" spans="1:28" ht="15.75" x14ac:dyDescent="0.25">
      <c r="A113" s="57" t="s">
        <v>70</v>
      </c>
      <c r="B113" s="145">
        <f>B114+B115</f>
        <v>0</v>
      </c>
      <c r="C113" s="99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45"/>
      <c r="AA113" s="63"/>
      <c r="AB113" s="63"/>
    </row>
    <row r="114" spans="1:28" ht="15.75" x14ac:dyDescent="0.25">
      <c r="A114" s="55" t="s">
        <v>246</v>
      </c>
      <c r="B114" s="146"/>
      <c r="C114" s="99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45"/>
      <c r="AA114" s="63"/>
      <c r="AB114" s="63"/>
    </row>
    <row r="115" spans="1:28" ht="15.75" x14ac:dyDescent="0.25">
      <c r="A115" s="55" t="s">
        <v>247</v>
      </c>
      <c r="B115" s="146"/>
      <c r="C115" s="99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45"/>
      <c r="AA115" s="63"/>
      <c r="AB115" s="63"/>
    </row>
    <row r="116" spans="1:28" ht="15.75" x14ac:dyDescent="0.25">
      <c r="A116" s="57" t="s">
        <v>71</v>
      </c>
      <c r="B116" s="145">
        <f>B117+B118</f>
        <v>0</v>
      </c>
      <c r="C116" s="99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45"/>
      <c r="AA116" s="63"/>
      <c r="AB116" s="63"/>
    </row>
    <row r="117" spans="1:28" ht="15.75" x14ac:dyDescent="0.25">
      <c r="A117" s="55" t="s">
        <v>248</v>
      </c>
      <c r="B117" s="146"/>
      <c r="C117" s="99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45"/>
      <c r="AA117" s="63"/>
      <c r="AB117" s="63"/>
    </row>
    <row r="118" spans="1:28" ht="15.75" x14ac:dyDescent="0.25">
      <c r="A118" s="55" t="s">
        <v>249</v>
      </c>
      <c r="B118" s="146"/>
      <c r="C118" s="99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45"/>
      <c r="AA118" s="63"/>
      <c r="AB118" s="63"/>
    </row>
    <row r="119" spans="1:28" ht="15.75" x14ac:dyDescent="0.25">
      <c r="A119" s="57" t="s">
        <v>320</v>
      </c>
      <c r="B119" s="145">
        <f>B120+B121</f>
        <v>0</v>
      </c>
      <c r="C119" s="99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45"/>
      <c r="AA119" s="63"/>
      <c r="AB119" s="63"/>
    </row>
    <row r="120" spans="1:28" ht="15.75" x14ac:dyDescent="0.25">
      <c r="A120" s="55" t="s">
        <v>250</v>
      </c>
      <c r="B120" s="146"/>
      <c r="C120" s="99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45"/>
      <c r="AA120" s="63"/>
      <c r="AB120" s="63"/>
    </row>
    <row r="121" spans="1:28" ht="15.75" x14ac:dyDescent="0.25">
      <c r="A121" s="55" t="s">
        <v>251</v>
      </c>
      <c r="B121" s="146"/>
      <c r="C121" s="99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45"/>
      <c r="AA121" s="63"/>
      <c r="AB121" s="63"/>
    </row>
    <row r="122" spans="1:28" ht="15.75" x14ac:dyDescent="0.25">
      <c r="A122" s="57" t="s">
        <v>270</v>
      </c>
      <c r="B122" s="146">
        <v>0</v>
      </c>
      <c r="C122" s="99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45"/>
      <c r="AA122" s="63"/>
      <c r="AB122" s="63"/>
    </row>
    <row r="123" spans="1:28" ht="15.75" x14ac:dyDescent="0.25">
      <c r="A123" s="56" t="s">
        <v>73</v>
      </c>
      <c r="B123" s="145">
        <f>B124+B146+B153+B156+B160+B163+B166+B169+B172</f>
        <v>124</v>
      </c>
      <c r="C123" s="99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45"/>
      <c r="AA123" s="63"/>
      <c r="AB123" s="63"/>
    </row>
    <row r="124" spans="1:28" ht="15.75" x14ac:dyDescent="0.25">
      <c r="A124" s="57" t="s">
        <v>8</v>
      </c>
      <c r="B124" s="145">
        <f>B125+B132+B135+B139</f>
        <v>124</v>
      </c>
      <c r="C124" s="99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45"/>
      <c r="AA124" s="63"/>
      <c r="AB124" s="63"/>
    </row>
    <row r="125" spans="1:28" ht="15.75" x14ac:dyDescent="0.25">
      <c r="A125" s="55" t="s">
        <v>9</v>
      </c>
      <c r="B125" s="145">
        <f>B126+B129</f>
        <v>124</v>
      </c>
      <c r="C125" s="99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45"/>
      <c r="AA125" s="63"/>
      <c r="AB125" s="63"/>
    </row>
    <row r="126" spans="1:28" ht="15.75" x14ac:dyDescent="0.25">
      <c r="A126" s="55" t="s">
        <v>264</v>
      </c>
      <c r="B126" s="145">
        <f>B127+B128</f>
        <v>123</v>
      </c>
      <c r="C126" s="99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45"/>
      <c r="AA126" s="63"/>
      <c r="AB126" s="63"/>
    </row>
    <row r="127" spans="1:28" ht="15.75" x14ac:dyDescent="0.25">
      <c r="A127" s="55" t="s">
        <v>265</v>
      </c>
      <c r="B127" s="146">
        <v>40</v>
      </c>
      <c r="C127" s="99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45"/>
      <c r="AA127" s="63"/>
      <c r="AB127" s="63"/>
    </row>
    <row r="128" spans="1:28" ht="15.75" x14ac:dyDescent="0.25">
      <c r="A128" s="55" t="s">
        <v>266</v>
      </c>
      <c r="B128" s="146">
        <v>83</v>
      </c>
      <c r="C128" s="99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45"/>
      <c r="AA128" s="63"/>
      <c r="AB128" s="63"/>
    </row>
    <row r="129" spans="1:28" ht="15.75" x14ac:dyDescent="0.25">
      <c r="A129" s="55" t="s">
        <v>267</v>
      </c>
      <c r="B129" s="145">
        <f>B130+B131</f>
        <v>1</v>
      </c>
      <c r="C129" s="99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45"/>
      <c r="AA129" s="63"/>
      <c r="AB129" s="63"/>
    </row>
    <row r="130" spans="1:28" ht="15.75" x14ac:dyDescent="0.25">
      <c r="A130" s="55" t="s">
        <v>268</v>
      </c>
      <c r="B130" s="146"/>
      <c r="C130" s="99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45"/>
      <c r="AA130" s="63"/>
      <c r="AB130" s="63"/>
    </row>
    <row r="131" spans="1:28" ht="15.75" x14ac:dyDescent="0.25">
      <c r="A131" s="55" t="s">
        <v>269</v>
      </c>
      <c r="B131" s="146">
        <v>1</v>
      </c>
      <c r="C131" s="99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45"/>
      <c r="AA131" s="63"/>
      <c r="AB131" s="63"/>
    </row>
    <row r="132" spans="1:28" ht="15.75" x14ac:dyDescent="0.25">
      <c r="A132" s="55" t="s">
        <v>10</v>
      </c>
      <c r="B132" s="145">
        <f>B133+B134</f>
        <v>0</v>
      </c>
      <c r="C132" s="99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45"/>
      <c r="AA132" s="63"/>
      <c r="AB132" s="63"/>
    </row>
    <row r="133" spans="1:28" ht="15.75" x14ac:dyDescent="0.25">
      <c r="A133" s="55" t="s">
        <v>74</v>
      </c>
      <c r="B133" s="146"/>
      <c r="C133" s="99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45"/>
      <c r="AA133" s="63"/>
      <c r="AB133" s="63"/>
    </row>
    <row r="134" spans="1:28" ht="15.75" x14ac:dyDescent="0.25">
      <c r="A134" s="55" t="s">
        <v>203</v>
      </c>
      <c r="B134" s="146"/>
      <c r="C134" s="99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45"/>
      <c r="AA134" s="63"/>
      <c r="AB134" s="63"/>
    </row>
    <row r="135" spans="1:28" ht="15.75" x14ac:dyDescent="0.25">
      <c r="A135" s="55" t="s">
        <v>11</v>
      </c>
      <c r="B135" s="145">
        <f>B136+B137</f>
        <v>0</v>
      </c>
      <c r="C135" s="99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45"/>
      <c r="AA135" s="63"/>
      <c r="AB135" s="63"/>
    </row>
    <row r="136" spans="1:28" ht="15.75" x14ac:dyDescent="0.25">
      <c r="A136" s="55" t="s">
        <v>75</v>
      </c>
      <c r="B136" s="146"/>
      <c r="C136" s="99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45"/>
      <c r="AA136" s="63"/>
      <c r="AB136" s="63"/>
    </row>
    <row r="137" spans="1:28" ht="15.75" x14ac:dyDescent="0.25">
      <c r="A137" s="55" t="s">
        <v>204</v>
      </c>
      <c r="B137" s="146"/>
      <c r="C137" s="99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45"/>
      <c r="AA137" s="63"/>
      <c r="AB137" s="63"/>
    </row>
    <row r="138" spans="1:28" ht="15.75" x14ac:dyDescent="0.25">
      <c r="A138" s="55" t="s">
        <v>321</v>
      </c>
      <c r="B138" s="148"/>
      <c r="C138" s="99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45"/>
      <c r="AA138" s="63"/>
      <c r="AB138" s="63"/>
    </row>
    <row r="139" spans="1:28" ht="15.75" x14ac:dyDescent="0.25">
      <c r="A139" s="55" t="s">
        <v>322</v>
      </c>
      <c r="B139" s="145">
        <f>B140+B143</f>
        <v>0</v>
      </c>
      <c r="C139" s="99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45"/>
      <c r="AA139" s="63"/>
      <c r="AB139" s="63"/>
    </row>
    <row r="140" spans="1:28" ht="15.75" x14ac:dyDescent="0.25">
      <c r="A140" s="55" t="s">
        <v>150</v>
      </c>
      <c r="B140" s="145">
        <f>B141+B142</f>
        <v>0</v>
      </c>
      <c r="C140" s="99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45"/>
      <c r="AA140" s="63"/>
      <c r="AB140" s="63"/>
    </row>
    <row r="141" spans="1:28" ht="15.75" x14ac:dyDescent="0.25">
      <c r="A141" s="55" t="s">
        <v>151</v>
      </c>
      <c r="B141" s="146"/>
      <c r="C141" s="99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45"/>
      <c r="AA141" s="63"/>
      <c r="AB141" s="63"/>
    </row>
    <row r="142" spans="1:28" ht="15.75" x14ac:dyDescent="0.25">
      <c r="A142" s="55" t="s">
        <v>252</v>
      </c>
      <c r="B142" s="146"/>
      <c r="C142" s="99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45"/>
      <c r="AA142" s="63"/>
      <c r="AB142" s="63"/>
    </row>
    <row r="143" spans="1:28" ht="15.75" x14ac:dyDescent="0.25">
      <c r="A143" s="55" t="s">
        <v>152</v>
      </c>
      <c r="B143" s="145">
        <f>B144+B145</f>
        <v>0</v>
      </c>
      <c r="C143" s="99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45"/>
      <c r="AA143" s="63"/>
      <c r="AB143" s="63"/>
    </row>
    <row r="144" spans="1:28" ht="15.75" x14ac:dyDescent="0.25">
      <c r="A144" s="55" t="s">
        <v>153</v>
      </c>
      <c r="B144" s="146"/>
      <c r="C144" s="99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45"/>
      <c r="AA144" s="63"/>
      <c r="AB144" s="63"/>
    </row>
    <row r="145" spans="1:28" ht="15.75" x14ac:dyDescent="0.25">
      <c r="A145" s="55" t="s">
        <v>205</v>
      </c>
      <c r="B145" s="146"/>
      <c r="C145" s="99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45"/>
      <c r="AA145" s="63"/>
      <c r="AB145" s="63"/>
    </row>
    <row r="146" spans="1:28" ht="15.75" x14ac:dyDescent="0.25">
      <c r="A146" s="57" t="s">
        <v>76</v>
      </c>
      <c r="B146" s="145">
        <f>B147+B150</f>
        <v>0</v>
      </c>
      <c r="C146" s="99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45"/>
      <c r="AA146" s="63"/>
      <c r="AB146" s="63"/>
    </row>
    <row r="147" spans="1:28" ht="15.75" x14ac:dyDescent="0.25">
      <c r="A147" s="2" t="s">
        <v>77</v>
      </c>
      <c r="B147" s="145">
        <f>B148+B149</f>
        <v>0</v>
      </c>
      <c r="C147" s="99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45"/>
      <c r="AA147" s="63"/>
      <c r="AB147" s="63"/>
    </row>
    <row r="148" spans="1:28" ht="15.75" x14ac:dyDescent="0.25">
      <c r="A148" s="2" t="s">
        <v>78</v>
      </c>
      <c r="B148" s="146"/>
      <c r="C148" s="99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45"/>
      <c r="AA148" s="63"/>
      <c r="AB148" s="63"/>
    </row>
    <row r="149" spans="1:28" ht="15.75" x14ac:dyDescent="0.25">
      <c r="A149" s="2" t="s">
        <v>206</v>
      </c>
      <c r="B149" s="146"/>
      <c r="C149" s="99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45"/>
      <c r="AA149" s="63"/>
      <c r="AB149" s="63"/>
    </row>
    <row r="150" spans="1:28" ht="15.75" x14ac:dyDescent="0.25">
      <c r="A150" s="2" t="s">
        <v>79</v>
      </c>
      <c r="B150" s="145">
        <f>B151+B152</f>
        <v>0</v>
      </c>
      <c r="C150" s="99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45"/>
      <c r="AA150" s="63"/>
      <c r="AB150" s="63"/>
    </row>
    <row r="151" spans="1:28" ht="15.75" x14ac:dyDescent="0.25">
      <c r="A151" s="2" t="s">
        <v>80</v>
      </c>
      <c r="B151" s="146"/>
      <c r="C151" s="99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45"/>
      <c r="AA151" s="63"/>
      <c r="AB151" s="63"/>
    </row>
    <row r="152" spans="1:28" ht="15.75" x14ac:dyDescent="0.25">
      <c r="A152" s="55" t="s">
        <v>207</v>
      </c>
      <c r="B152" s="146"/>
      <c r="C152" s="99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45"/>
      <c r="AA152" s="63"/>
      <c r="AB152" s="63"/>
    </row>
    <row r="153" spans="1:28" ht="15.75" x14ac:dyDescent="0.25">
      <c r="A153" s="57" t="s">
        <v>81</v>
      </c>
      <c r="B153" s="145">
        <f>B154+B155</f>
        <v>0</v>
      </c>
      <c r="C153" s="99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45"/>
      <c r="AA153" s="63"/>
      <c r="AB153" s="63"/>
    </row>
    <row r="154" spans="1:28" ht="15.75" x14ac:dyDescent="0.25">
      <c r="A154" s="55" t="s">
        <v>82</v>
      </c>
      <c r="B154" s="146"/>
      <c r="C154" s="99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45"/>
      <c r="AA154" s="63"/>
      <c r="AB154" s="63"/>
    </row>
    <row r="155" spans="1:28" ht="15.75" x14ac:dyDescent="0.25">
      <c r="A155" s="55" t="s">
        <v>208</v>
      </c>
      <c r="B155" s="146"/>
      <c r="C155" s="99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45"/>
      <c r="AA155" s="63"/>
      <c r="AB155" s="63"/>
    </row>
    <row r="156" spans="1:28" ht="15.75" x14ac:dyDescent="0.25">
      <c r="A156" s="57" t="s">
        <v>12</v>
      </c>
      <c r="B156" s="145">
        <f>B157</f>
        <v>0</v>
      </c>
      <c r="C156" s="99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45"/>
      <c r="AA156" s="63"/>
      <c r="AB156" s="63"/>
    </row>
    <row r="157" spans="1:28" ht="15.75" x14ac:dyDescent="0.25">
      <c r="A157" s="55" t="s">
        <v>83</v>
      </c>
      <c r="B157" s="145">
        <f>B158+B159</f>
        <v>0</v>
      </c>
      <c r="C157" s="99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45"/>
      <c r="AA157" s="63"/>
      <c r="AB157" s="63"/>
    </row>
    <row r="158" spans="1:28" ht="15.75" x14ac:dyDescent="0.25">
      <c r="A158" s="2" t="s">
        <v>84</v>
      </c>
      <c r="B158" s="146"/>
      <c r="C158" s="99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45"/>
      <c r="AA158" s="63"/>
      <c r="AB158" s="63"/>
    </row>
    <row r="159" spans="1:28" ht="15.75" x14ac:dyDescent="0.25">
      <c r="A159" s="2" t="s">
        <v>209</v>
      </c>
      <c r="B159" s="146"/>
      <c r="C159" s="99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45"/>
      <c r="AA159" s="63"/>
      <c r="AB159" s="63"/>
    </row>
    <row r="160" spans="1:28" ht="15.75" x14ac:dyDescent="0.25">
      <c r="A160" s="57" t="s">
        <v>233</v>
      </c>
      <c r="B160" s="145">
        <f>B161+B162</f>
        <v>0</v>
      </c>
      <c r="C160" s="99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45"/>
      <c r="AA160" s="63"/>
      <c r="AB160" s="63"/>
    </row>
    <row r="161" spans="1:28" ht="15.75" x14ac:dyDescent="0.25">
      <c r="A161" s="55" t="s">
        <v>281</v>
      </c>
      <c r="B161" s="146"/>
      <c r="C161" s="99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45"/>
      <c r="AA161" s="63"/>
      <c r="AB161" s="63"/>
    </row>
    <row r="162" spans="1:28" ht="15.75" x14ac:dyDescent="0.25">
      <c r="A162" s="55" t="s">
        <v>282</v>
      </c>
      <c r="B162" s="146"/>
      <c r="C162" s="99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45"/>
      <c r="AA162" s="63"/>
      <c r="AB162" s="63"/>
    </row>
    <row r="163" spans="1:28" ht="15.75" x14ac:dyDescent="0.25">
      <c r="A163" s="57" t="s">
        <v>13</v>
      </c>
      <c r="B163" s="145">
        <f>B164+B165</f>
        <v>0</v>
      </c>
      <c r="C163" s="99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45"/>
      <c r="AA163" s="63"/>
      <c r="AB163" s="63"/>
    </row>
    <row r="164" spans="1:28" ht="15.75" x14ac:dyDescent="0.25">
      <c r="A164" s="55" t="s">
        <v>85</v>
      </c>
      <c r="B164" s="146"/>
      <c r="C164" s="99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45"/>
      <c r="AA164" s="63"/>
      <c r="AB164" s="63"/>
    </row>
    <row r="165" spans="1:28" ht="15.75" x14ac:dyDescent="0.25">
      <c r="A165" s="55" t="s">
        <v>210</v>
      </c>
      <c r="B165" s="146"/>
      <c r="C165" s="99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45"/>
      <c r="AA165" s="63"/>
      <c r="AB165" s="63"/>
    </row>
    <row r="166" spans="1:28" ht="15.75" x14ac:dyDescent="0.25">
      <c r="A166" s="57" t="s">
        <v>14</v>
      </c>
      <c r="B166" s="145">
        <f>B167+B168</f>
        <v>0</v>
      </c>
      <c r="C166" s="99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45"/>
      <c r="AA166" s="63"/>
      <c r="AB166" s="63"/>
    </row>
    <row r="167" spans="1:28" ht="15.75" x14ac:dyDescent="0.25">
      <c r="A167" s="55" t="s">
        <v>253</v>
      </c>
      <c r="B167" s="146"/>
      <c r="C167" s="99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45"/>
      <c r="AA167" s="63"/>
      <c r="AB167" s="63"/>
    </row>
    <row r="168" spans="1:28" ht="15.75" x14ac:dyDescent="0.25">
      <c r="A168" s="55" t="s">
        <v>254</v>
      </c>
      <c r="B168" s="146"/>
      <c r="C168" s="99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45"/>
      <c r="AA168" s="63"/>
      <c r="AB168" s="63"/>
    </row>
    <row r="169" spans="1:28" ht="15.75" x14ac:dyDescent="0.25">
      <c r="A169" s="57" t="s">
        <v>323</v>
      </c>
      <c r="B169" s="145">
        <f>B170+B171</f>
        <v>0</v>
      </c>
      <c r="C169" s="99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45"/>
      <c r="AA169" s="63"/>
      <c r="AB169" s="63"/>
    </row>
    <row r="170" spans="1:28" ht="15.75" x14ac:dyDescent="0.25">
      <c r="A170" s="55" t="s">
        <v>255</v>
      </c>
      <c r="B170" s="146"/>
      <c r="C170" s="99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45"/>
      <c r="AA170" s="63"/>
      <c r="AB170" s="63"/>
    </row>
    <row r="171" spans="1:28" ht="15.75" x14ac:dyDescent="0.25">
      <c r="A171" s="55" t="s">
        <v>256</v>
      </c>
      <c r="B171" s="146"/>
      <c r="C171" s="99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45"/>
      <c r="AA171" s="63"/>
      <c r="AB171" s="63"/>
    </row>
    <row r="172" spans="1:28" ht="15.75" x14ac:dyDescent="0.25">
      <c r="A172" s="57" t="s">
        <v>234</v>
      </c>
      <c r="B172" s="145">
        <f>B174+B173</f>
        <v>0</v>
      </c>
      <c r="C172" s="99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45"/>
      <c r="AA172" s="63"/>
      <c r="AB172" s="63"/>
    </row>
    <row r="173" spans="1:28" ht="15.75" x14ac:dyDescent="0.25">
      <c r="A173" s="55" t="s">
        <v>235</v>
      </c>
      <c r="B173" s="147"/>
      <c r="C173" s="99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45"/>
      <c r="AA173" s="63"/>
      <c r="AB173" s="63"/>
    </row>
    <row r="174" spans="1:28" ht="15.75" x14ac:dyDescent="0.25">
      <c r="A174" s="55" t="s">
        <v>236</v>
      </c>
      <c r="B174" s="146"/>
      <c r="C174" s="99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45"/>
      <c r="AA174" s="63"/>
      <c r="AB174" s="63"/>
    </row>
    <row r="175" spans="1:28" ht="15.75" x14ac:dyDescent="0.25">
      <c r="A175" s="62" t="s">
        <v>86</v>
      </c>
      <c r="B175" s="148"/>
      <c r="C175" s="99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45"/>
      <c r="AA175" s="63"/>
      <c r="AB175" s="63"/>
    </row>
    <row r="176" spans="1:28" ht="15.75" x14ac:dyDescent="0.25">
      <c r="A176" s="81" t="s">
        <v>87</v>
      </c>
      <c r="B176" s="145">
        <f>B178+B177</f>
        <v>0</v>
      </c>
      <c r="C176" s="99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45"/>
      <c r="AA176" s="63"/>
      <c r="AB176" s="63"/>
    </row>
    <row r="177" spans="1:28" ht="15.75" x14ac:dyDescent="0.25">
      <c r="A177" s="55" t="s">
        <v>257</v>
      </c>
      <c r="B177" s="146"/>
      <c r="C177" s="99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45"/>
      <c r="AA177" s="63"/>
      <c r="AB177" s="63"/>
    </row>
    <row r="178" spans="1:28" ht="15.75" x14ac:dyDescent="0.25">
      <c r="A178" s="55" t="s">
        <v>258</v>
      </c>
      <c r="B178" s="146"/>
      <c r="C178" s="99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45"/>
      <c r="AA178" s="63"/>
      <c r="AB178" s="63"/>
    </row>
    <row r="179" spans="1:28" ht="15.75" x14ac:dyDescent="0.25">
      <c r="A179" s="62" t="s">
        <v>88</v>
      </c>
      <c r="B179" s="146"/>
      <c r="C179" s="99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45"/>
      <c r="AA179" s="63"/>
      <c r="AB179" s="63"/>
    </row>
    <row r="180" spans="1:28" ht="15.75" x14ac:dyDescent="0.25">
      <c r="A180" s="81" t="s">
        <v>15</v>
      </c>
      <c r="B180" s="145">
        <f>B181+B182</f>
        <v>0</v>
      </c>
      <c r="C180" s="99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45"/>
      <c r="AA180" s="63"/>
      <c r="AB180" s="63"/>
    </row>
    <row r="181" spans="1:28" ht="15.75" x14ac:dyDescent="0.25">
      <c r="A181" s="55" t="s">
        <v>16</v>
      </c>
      <c r="B181" s="146"/>
      <c r="C181" s="99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45"/>
      <c r="AA181" s="63"/>
      <c r="AB181" s="63"/>
    </row>
    <row r="182" spans="1:28" ht="15.75" x14ac:dyDescent="0.25">
      <c r="A182" s="55" t="s">
        <v>211</v>
      </c>
      <c r="B182" s="146"/>
      <c r="C182" s="99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45"/>
      <c r="AA182" s="63"/>
      <c r="AB182" s="63"/>
    </row>
    <row r="183" spans="1:28" ht="15.75" x14ac:dyDescent="0.25">
      <c r="A183" s="62" t="s">
        <v>124</v>
      </c>
      <c r="B183" s="146"/>
      <c r="C183" s="99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45"/>
      <c r="AA183" s="63"/>
      <c r="AB183" s="63"/>
    </row>
    <row r="184" spans="1:28" ht="15.75" x14ac:dyDescent="0.25">
      <c r="A184" s="62" t="s">
        <v>89</v>
      </c>
      <c r="B184" s="146"/>
      <c r="C184" s="99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45"/>
      <c r="AA184" s="63"/>
      <c r="AB184" s="63"/>
    </row>
    <row r="185" spans="1:28" ht="15.75" x14ac:dyDescent="0.25">
      <c r="A185" s="62" t="s">
        <v>285</v>
      </c>
      <c r="B185" s="159"/>
      <c r="C185" s="99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45"/>
      <c r="AA185" s="63"/>
      <c r="AB185" s="63"/>
    </row>
    <row r="186" spans="1:28" ht="15.75" x14ac:dyDescent="0.25">
      <c r="A186" s="81" t="s">
        <v>434</v>
      </c>
      <c r="B186" s="145">
        <f>B187</f>
        <v>0</v>
      </c>
      <c r="C186" s="99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45"/>
      <c r="AA186" s="63"/>
      <c r="AB186" s="63"/>
    </row>
    <row r="187" spans="1:28" ht="15.75" x14ac:dyDescent="0.25">
      <c r="A187" s="55" t="s">
        <v>435</v>
      </c>
      <c r="B187" s="146"/>
      <c r="C187" s="99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45"/>
      <c r="AA187" s="63"/>
      <c r="AB187" s="63"/>
    </row>
    <row r="188" spans="1:28" ht="15.75" x14ac:dyDescent="0.25">
      <c r="A188" s="81" t="s">
        <v>436</v>
      </c>
      <c r="B188" s="145">
        <f>SUM(B189:B191)</f>
        <v>0</v>
      </c>
      <c r="C188" s="99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45"/>
      <c r="AA188" s="63"/>
      <c r="AB188" s="63"/>
    </row>
    <row r="189" spans="1:28" ht="15.75" x14ac:dyDescent="0.25">
      <c r="A189" s="55" t="s">
        <v>324</v>
      </c>
      <c r="B189" s="146"/>
      <c r="C189" s="99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45"/>
      <c r="AA189" s="63"/>
      <c r="AB189" s="63"/>
    </row>
    <row r="190" spans="1:28" ht="15.75" x14ac:dyDescent="0.25">
      <c r="A190" s="55" t="s">
        <v>437</v>
      </c>
      <c r="B190" s="146"/>
      <c r="C190" s="99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45"/>
      <c r="AA190" s="63"/>
      <c r="AB190" s="63"/>
    </row>
    <row r="191" spans="1:28" ht="15.75" x14ac:dyDescent="0.25">
      <c r="A191" s="55" t="s">
        <v>438</v>
      </c>
      <c r="B191" s="146"/>
      <c r="C191" s="99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45"/>
      <c r="AA191" s="63"/>
      <c r="AB191" s="63"/>
    </row>
    <row r="192" spans="1:28" ht="15.75" x14ac:dyDescent="0.25">
      <c r="A192" s="81" t="s">
        <v>439</v>
      </c>
      <c r="B192" s="145">
        <f>SUM(B193:B195)</f>
        <v>0</v>
      </c>
      <c r="C192" s="99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45"/>
      <c r="AA192" s="63"/>
      <c r="AB192" s="63"/>
    </row>
    <row r="193" spans="1:28" ht="15.75" x14ac:dyDescent="0.25">
      <c r="A193" s="55" t="s">
        <v>440</v>
      </c>
      <c r="B193" s="146"/>
      <c r="C193" s="99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45"/>
      <c r="AA193" s="63"/>
      <c r="AB193" s="63"/>
    </row>
    <row r="194" spans="1:28" ht="15.75" x14ac:dyDescent="0.25">
      <c r="A194" s="55" t="s">
        <v>441</v>
      </c>
      <c r="B194" s="146"/>
      <c r="C194" s="99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45"/>
      <c r="AA194" s="63"/>
      <c r="AB194" s="63"/>
    </row>
    <row r="195" spans="1:28" ht="15.75" x14ac:dyDescent="0.25">
      <c r="A195" s="55" t="s">
        <v>442</v>
      </c>
      <c r="B195" s="146"/>
      <c r="C195" s="99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45"/>
      <c r="AA195" s="63"/>
      <c r="AB195" s="63"/>
    </row>
    <row r="196" spans="1:28" ht="15.75" x14ac:dyDescent="0.25">
      <c r="A196" s="62" t="s">
        <v>90</v>
      </c>
      <c r="B196" s="145"/>
      <c r="C196" s="99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45"/>
      <c r="AA196" s="63"/>
      <c r="AB196" s="63"/>
    </row>
    <row r="197" spans="1:28" ht="15.75" x14ac:dyDescent="0.25">
      <c r="A197" s="57" t="s">
        <v>91</v>
      </c>
      <c r="B197" s="145">
        <f>B198+B199+B200</f>
        <v>0</v>
      </c>
      <c r="C197" s="99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45"/>
      <c r="AA197" s="63"/>
      <c r="AB197" s="63"/>
    </row>
    <row r="198" spans="1:28" ht="15.75" x14ac:dyDescent="0.25">
      <c r="A198" s="55" t="s">
        <v>92</v>
      </c>
      <c r="B198" s="146"/>
      <c r="C198" s="99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45"/>
      <c r="AA198" s="63"/>
      <c r="AB198" s="63"/>
    </row>
    <row r="199" spans="1:28" ht="15.75" x14ac:dyDescent="0.25">
      <c r="A199" s="55" t="s">
        <v>93</v>
      </c>
      <c r="B199" s="146"/>
      <c r="C199" s="99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45"/>
      <c r="AA199" s="63"/>
      <c r="AB199" s="63"/>
    </row>
    <row r="200" spans="1:28" ht="15.75" x14ac:dyDescent="0.25">
      <c r="A200" s="55" t="s">
        <v>94</v>
      </c>
      <c r="B200" s="146"/>
      <c r="C200" s="99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45"/>
      <c r="AA200" s="63"/>
      <c r="AB200" s="63"/>
    </row>
    <row r="201" spans="1:28" ht="15.75" x14ac:dyDescent="0.25">
      <c r="A201" s="57" t="s">
        <v>95</v>
      </c>
      <c r="B201" s="145">
        <f>B202+B203+B204+B205</f>
        <v>0</v>
      </c>
      <c r="C201" s="99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45"/>
      <c r="AA201" s="63"/>
      <c r="AB201" s="63"/>
    </row>
    <row r="202" spans="1:28" ht="15.75" x14ac:dyDescent="0.25">
      <c r="A202" s="55" t="s">
        <v>96</v>
      </c>
      <c r="B202" s="146"/>
      <c r="C202" s="99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45"/>
      <c r="AA202" s="63"/>
      <c r="AB202" s="63"/>
    </row>
    <row r="203" spans="1:28" ht="15.75" customHeight="1" x14ac:dyDescent="0.25">
      <c r="A203" s="55" t="s">
        <v>98</v>
      </c>
      <c r="B203" s="146"/>
      <c r="C203" s="99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45"/>
      <c r="AA203" s="63"/>
      <c r="AB203" s="63"/>
    </row>
    <row r="204" spans="1:28" ht="12.75" customHeight="1" x14ac:dyDescent="0.25">
      <c r="A204" s="55" t="s">
        <v>97</v>
      </c>
      <c r="B204" s="146"/>
      <c r="C204" s="99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45"/>
      <c r="AA204" s="63"/>
      <c r="AB204" s="63"/>
    </row>
    <row r="205" spans="1:28" ht="26.25" x14ac:dyDescent="0.25">
      <c r="A205" s="55" t="s">
        <v>99</v>
      </c>
      <c r="B205" s="146"/>
      <c r="C205" s="99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45"/>
      <c r="AA205" s="63"/>
      <c r="AB205" s="63"/>
    </row>
    <row r="206" spans="1:28" ht="15.75" x14ac:dyDescent="0.25">
      <c r="A206" s="57" t="s">
        <v>100</v>
      </c>
      <c r="B206" s="145">
        <f>B207+B208+B209+B210</f>
        <v>0</v>
      </c>
      <c r="C206" s="99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45"/>
      <c r="AA206" s="63"/>
      <c r="AB206" s="63"/>
    </row>
    <row r="207" spans="1:28" ht="18.75" customHeight="1" x14ac:dyDescent="0.25">
      <c r="A207" s="55" t="s">
        <v>101</v>
      </c>
      <c r="B207" s="146"/>
      <c r="C207" s="99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45"/>
      <c r="AA207" s="63"/>
      <c r="AB207" s="63"/>
    </row>
    <row r="208" spans="1:28" ht="15.75" x14ac:dyDescent="0.25">
      <c r="A208" s="55" t="s">
        <v>102</v>
      </c>
      <c r="B208" s="146"/>
      <c r="C208" s="99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45"/>
      <c r="AA208" s="63"/>
      <c r="AB208" s="63"/>
    </row>
    <row r="209" spans="1:28" ht="15.75" customHeight="1" x14ac:dyDescent="0.25">
      <c r="A209" s="55" t="s">
        <v>103</v>
      </c>
      <c r="B209" s="146"/>
      <c r="C209" s="99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45"/>
      <c r="AA209" s="63"/>
      <c r="AB209" s="63"/>
    </row>
    <row r="210" spans="1:28" ht="26.25" x14ac:dyDescent="0.25">
      <c r="A210" s="55" t="s">
        <v>104</v>
      </c>
      <c r="B210" s="146"/>
      <c r="C210" s="99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45"/>
      <c r="AA210" s="63"/>
      <c r="AB210" s="63"/>
    </row>
    <row r="211" spans="1:28" ht="15.75" x14ac:dyDescent="0.25">
      <c r="A211" s="57" t="s">
        <v>105</v>
      </c>
      <c r="B211" s="145">
        <f>B212+B215+B218+B221</f>
        <v>0</v>
      </c>
      <c r="C211" s="99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45"/>
      <c r="AA211" s="63"/>
      <c r="AB211" s="63"/>
    </row>
    <row r="212" spans="1:28" ht="15.75" x14ac:dyDescent="0.25">
      <c r="A212" s="55" t="s">
        <v>106</v>
      </c>
      <c r="B212" s="145">
        <f>B213+B214</f>
        <v>0</v>
      </c>
      <c r="C212" s="99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45"/>
      <c r="AA212" s="63"/>
      <c r="AB212" s="63"/>
    </row>
    <row r="213" spans="1:28" ht="15.75" x14ac:dyDescent="0.25">
      <c r="A213" s="55" t="s">
        <v>107</v>
      </c>
      <c r="B213" s="146"/>
      <c r="C213" s="99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45"/>
      <c r="AA213" s="63"/>
      <c r="AB213" s="63"/>
    </row>
    <row r="214" spans="1:28" ht="15.75" x14ac:dyDescent="0.25">
      <c r="A214" s="55" t="s">
        <v>259</v>
      </c>
      <c r="B214" s="146"/>
      <c r="C214" s="99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45"/>
      <c r="AA214" s="63"/>
      <c r="AB214" s="63"/>
    </row>
    <row r="215" spans="1:28" ht="15.75" x14ac:dyDescent="0.25">
      <c r="A215" s="55" t="s">
        <v>108</v>
      </c>
      <c r="B215" s="145">
        <f>B216+B217</f>
        <v>0</v>
      </c>
      <c r="C215" s="99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45"/>
      <c r="AA215" s="63"/>
      <c r="AB215" s="63"/>
    </row>
    <row r="216" spans="1:28" ht="15.75" x14ac:dyDescent="0.25">
      <c r="A216" s="55" t="s">
        <v>111</v>
      </c>
      <c r="B216" s="146"/>
      <c r="C216" s="99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45"/>
      <c r="AA216" s="63"/>
      <c r="AB216" s="63"/>
    </row>
    <row r="217" spans="1:28" ht="15.75" x14ac:dyDescent="0.25">
      <c r="A217" s="55" t="s">
        <v>212</v>
      </c>
      <c r="B217" s="146"/>
      <c r="C217" s="99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45"/>
      <c r="AA217" s="63"/>
      <c r="AB217" s="63"/>
    </row>
    <row r="218" spans="1:28" ht="15.75" customHeight="1" x14ac:dyDescent="0.25">
      <c r="A218" s="55" t="s">
        <v>109</v>
      </c>
      <c r="B218" s="145">
        <f>B219+B220</f>
        <v>0</v>
      </c>
      <c r="C218" s="99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45"/>
      <c r="AA218" s="63"/>
      <c r="AB218" s="63"/>
    </row>
    <row r="219" spans="1:28" ht="15.75" x14ac:dyDescent="0.25">
      <c r="A219" s="55" t="s">
        <v>110</v>
      </c>
      <c r="B219" s="147"/>
      <c r="C219" s="99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45"/>
      <c r="AA219" s="63"/>
      <c r="AB219" s="63"/>
    </row>
    <row r="220" spans="1:28" ht="15.75" customHeight="1" x14ac:dyDescent="0.25">
      <c r="A220" s="55" t="s">
        <v>213</v>
      </c>
      <c r="B220" s="147"/>
      <c r="C220" s="99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45"/>
      <c r="AA220" s="63"/>
      <c r="AB220" s="63"/>
    </row>
    <row r="221" spans="1:28" ht="26.25" x14ac:dyDescent="0.25">
      <c r="A221" s="55" t="s">
        <v>112</v>
      </c>
      <c r="B221" s="145">
        <f>B222+B223</f>
        <v>0</v>
      </c>
      <c r="C221" s="99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45"/>
      <c r="AA221" s="63"/>
      <c r="AB221" s="63"/>
    </row>
    <row r="222" spans="1:28" ht="15.75" x14ac:dyDescent="0.25">
      <c r="A222" s="55" t="s">
        <v>113</v>
      </c>
      <c r="B222" s="146"/>
      <c r="C222" s="99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45"/>
      <c r="AA222" s="63"/>
      <c r="AB222" s="63"/>
    </row>
    <row r="223" spans="1:28" ht="15.75" x14ac:dyDescent="0.25">
      <c r="A223" s="55" t="s">
        <v>214</v>
      </c>
      <c r="B223" s="146"/>
      <c r="C223" s="99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45"/>
      <c r="AA223" s="63"/>
      <c r="AB223" s="63"/>
    </row>
    <row r="224" spans="1:28" ht="15.75" x14ac:dyDescent="0.25">
      <c r="A224" s="57" t="s">
        <v>114</v>
      </c>
      <c r="B224" s="145">
        <f>B225+B228+B231</f>
        <v>0</v>
      </c>
      <c r="C224" s="99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45"/>
      <c r="AA224" s="63"/>
      <c r="AB224" s="63"/>
    </row>
    <row r="225" spans="1:28" ht="15.75" x14ac:dyDescent="0.25">
      <c r="A225" s="55" t="s">
        <v>115</v>
      </c>
      <c r="B225" s="145">
        <f>B226+B227</f>
        <v>0</v>
      </c>
      <c r="C225" s="99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45"/>
      <c r="AA225" s="63"/>
      <c r="AB225" s="63"/>
    </row>
    <row r="226" spans="1:28" ht="15.75" x14ac:dyDescent="0.25">
      <c r="A226" s="55" t="s">
        <v>116</v>
      </c>
      <c r="B226" s="146"/>
      <c r="C226" s="99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45"/>
      <c r="AA226" s="63"/>
      <c r="AB226" s="63"/>
    </row>
    <row r="227" spans="1:28" ht="15.75" x14ac:dyDescent="0.25">
      <c r="A227" s="55" t="s">
        <v>215</v>
      </c>
      <c r="B227" s="146"/>
      <c r="C227" s="99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45"/>
      <c r="AA227" s="63"/>
      <c r="AB227" s="63"/>
    </row>
    <row r="228" spans="1:28" ht="15.75" x14ac:dyDescent="0.25">
      <c r="A228" s="55" t="s">
        <v>117</v>
      </c>
      <c r="B228" s="145">
        <f>B229+B230</f>
        <v>0</v>
      </c>
      <c r="C228" s="99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45"/>
      <c r="AA228" s="63"/>
      <c r="AB228" s="63"/>
    </row>
    <row r="229" spans="1:28" ht="15.75" x14ac:dyDescent="0.25">
      <c r="A229" s="55" t="s">
        <v>118</v>
      </c>
      <c r="B229" s="146"/>
      <c r="C229" s="99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45"/>
      <c r="AA229" s="63"/>
      <c r="AB229" s="63"/>
    </row>
    <row r="230" spans="1:28" ht="15.75" customHeight="1" x14ac:dyDescent="0.25">
      <c r="A230" s="55" t="s">
        <v>216</v>
      </c>
      <c r="B230" s="146"/>
      <c r="C230" s="99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45"/>
      <c r="AA230" s="63"/>
      <c r="AB230" s="63"/>
    </row>
    <row r="231" spans="1:28" ht="26.25" x14ac:dyDescent="0.25">
      <c r="A231" s="55" t="s">
        <v>119</v>
      </c>
      <c r="B231" s="145">
        <f>B232+B233</f>
        <v>0</v>
      </c>
      <c r="C231" s="99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45"/>
      <c r="AA231" s="63"/>
      <c r="AB231" s="63"/>
    </row>
    <row r="232" spans="1:28" ht="15.75" x14ac:dyDescent="0.25">
      <c r="A232" s="55" t="s">
        <v>120</v>
      </c>
      <c r="B232" s="146"/>
      <c r="C232" s="99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45"/>
      <c r="AA232" s="63"/>
      <c r="AB232" s="63"/>
    </row>
    <row r="233" spans="1:28" ht="15.75" x14ac:dyDescent="0.25">
      <c r="A233" s="55" t="s">
        <v>217</v>
      </c>
      <c r="B233" s="146"/>
      <c r="C233" s="99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45"/>
      <c r="AA233" s="63"/>
      <c r="AB233" s="63"/>
    </row>
    <row r="234" spans="1:28" ht="15.75" x14ac:dyDescent="0.25">
      <c r="A234" s="57" t="s">
        <v>121</v>
      </c>
      <c r="B234" s="145">
        <f>B235+B238+B241</f>
        <v>0</v>
      </c>
      <c r="C234" s="99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45"/>
      <c r="AA234" s="63"/>
      <c r="AB234" s="63"/>
    </row>
    <row r="235" spans="1:28" ht="15.75" x14ac:dyDescent="0.25">
      <c r="A235" s="55" t="s">
        <v>122</v>
      </c>
      <c r="B235" s="145">
        <f>B236+B237</f>
        <v>0</v>
      </c>
      <c r="C235" s="99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45"/>
      <c r="AA235" s="63"/>
      <c r="AB235" s="63"/>
    </row>
    <row r="236" spans="1:28" ht="15.75" x14ac:dyDescent="0.25">
      <c r="A236" s="55" t="s">
        <v>123</v>
      </c>
      <c r="B236" s="146"/>
      <c r="C236" s="99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45"/>
      <c r="AA236" s="63"/>
      <c r="AB236" s="63"/>
    </row>
    <row r="237" spans="1:28" ht="15.75" x14ac:dyDescent="0.25">
      <c r="A237" s="55" t="s">
        <v>218</v>
      </c>
      <c r="B237" s="146"/>
      <c r="C237" s="99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45"/>
      <c r="AA237" s="63"/>
      <c r="AB237" s="63"/>
    </row>
    <row r="238" spans="1:28" ht="15.75" x14ac:dyDescent="0.25">
      <c r="A238" s="55" t="s">
        <v>125</v>
      </c>
      <c r="B238" s="145">
        <f>B239+B240</f>
        <v>0</v>
      </c>
      <c r="C238" s="99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45"/>
      <c r="AA238" s="63"/>
      <c r="AB238" s="63"/>
    </row>
    <row r="239" spans="1:28" ht="15.75" x14ac:dyDescent="0.25">
      <c r="A239" s="55" t="s">
        <v>126</v>
      </c>
      <c r="B239" s="146"/>
      <c r="C239" s="99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45"/>
      <c r="AA239" s="63"/>
      <c r="AB239" s="63"/>
    </row>
    <row r="240" spans="1:28" ht="15.75" customHeight="1" x14ac:dyDescent="0.25">
      <c r="A240" s="55" t="s">
        <v>219</v>
      </c>
      <c r="B240" s="146"/>
      <c r="C240" s="99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45"/>
      <c r="AA240" s="63"/>
      <c r="AB240" s="63"/>
    </row>
    <row r="241" spans="1:28" ht="26.25" x14ac:dyDescent="0.25">
      <c r="A241" s="55" t="s">
        <v>127</v>
      </c>
      <c r="B241" s="145">
        <f>B242+B243</f>
        <v>0</v>
      </c>
      <c r="C241" s="99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45"/>
      <c r="AA241" s="63"/>
      <c r="AB241" s="63"/>
    </row>
    <row r="242" spans="1:28" ht="15.75" x14ac:dyDescent="0.25">
      <c r="A242" s="55" t="s">
        <v>128</v>
      </c>
      <c r="B242" s="146"/>
      <c r="C242" s="99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45"/>
      <c r="AA242" s="63"/>
      <c r="AB242" s="63"/>
    </row>
    <row r="243" spans="1:28" ht="15.75" x14ac:dyDescent="0.25">
      <c r="A243" s="55" t="s">
        <v>220</v>
      </c>
      <c r="B243" s="146"/>
      <c r="C243" s="99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45"/>
      <c r="AA243" s="63"/>
      <c r="AB243" s="63"/>
    </row>
    <row r="244" spans="1:28" ht="15.75" x14ac:dyDescent="0.25">
      <c r="A244" s="57" t="s">
        <v>284</v>
      </c>
      <c r="B244" s="146">
        <v>4</v>
      </c>
      <c r="C244" s="99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45"/>
      <c r="AA244" s="63"/>
      <c r="AB244" s="63"/>
    </row>
    <row r="245" spans="1:28" ht="15.75" x14ac:dyDescent="0.25">
      <c r="A245" s="58" t="s">
        <v>129</v>
      </c>
      <c r="B245" s="145">
        <f>B246+B247</f>
        <v>34</v>
      </c>
      <c r="C245" s="99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45"/>
      <c r="AA245" s="63"/>
      <c r="AB245" s="63"/>
    </row>
    <row r="246" spans="1:28" ht="15.75" x14ac:dyDescent="0.25">
      <c r="A246" s="55" t="s">
        <v>260</v>
      </c>
      <c r="B246" s="146">
        <v>33</v>
      </c>
      <c r="C246" s="99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45"/>
      <c r="AA246" s="63"/>
      <c r="AB246" s="63"/>
    </row>
    <row r="247" spans="1:28" ht="15.75" x14ac:dyDescent="0.25">
      <c r="A247" s="55" t="s">
        <v>261</v>
      </c>
      <c r="B247" s="146">
        <v>1</v>
      </c>
      <c r="C247" s="99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45"/>
      <c r="AA247" s="63"/>
      <c r="AB247" s="63"/>
    </row>
    <row r="248" spans="1:28" ht="15.75" x14ac:dyDescent="0.25">
      <c r="A248" s="55" t="s">
        <v>130</v>
      </c>
      <c r="B248" s="145">
        <f>B249+B250</f>
        <v>0</v>
      </c>
      <c r="C248" s="99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45"/>
      <c r="AA248" s="63"/>
      <c r="AB248" s="63"/>
    </row>
    <row r="249" spans="1:28" ht="15.75" x14ac:dyDescent="0.25">
      <c r="A249" s="55" t="s">
        <v>262</v>
      </c>
      <c r="B249" s="146"/>
      <c r="C249" s="99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45"/>
      <c r="AA249" s="63"/>
      <c r="AB249" s="63"/>
    </row>
    <row r="250" spans="1:28" ht="15.75" x14ac:dyDescent="0.25">
      <c r="A250" s="55" t="s">
        <v>263</v>
      </c>
      <c r="B250" s="146"/>
      <c r="C250" s="99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45"/>
      <c r="AA250" s="63"/>
      <c r="AB250" s="63"/>
    </row>
    <row r="251" spans="1:28" ht="15.75" x14ac:dyDescent="0.25">
      <c r="A251" s="62" t="s">
        <v>325</v>
      </c>
      <c r="B251" s="149"/>
      <c r="C251" s="99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45"/>
      <c r="AA251" s="63"/>
      <c r="AB251" s="63"/>
    </row>
    <row r="252" spans="1:28" ht="15.75" x14ac:dyDescent="0.25">
      <c r="A252" s="62" t="s">
        <v>326</v>
      </c>
      <c r="B252" s="149"/>
      <c r="C252" s="99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45"/>
      <c r="AA252" s="63"/>
      <c r="AB252" s="63"/>
    </row>
    <row r="253" spans="1:28" ht="15.75" x14ac:dyDescent="0.25">
      <c r="A253" s="62" t="s">
        <v>327</v>
      </c>
      <c r="B253" s="145">
        <f>B254+B255+B256+B257+B258+B259+B260+B261+B262</f>
        <v>0</v>
      </c>
      <c r="C253" s="99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45"/>
      <c r="AA253" s="63"/>
      <c r="AB253" s="63"/>
    </row>
    <row r="254" spans="1:28" ht="18.75" customHeight="1" x14ac:dyDescent="0.25">
      <c r="A254" s="55" t="s">
        <v>329</v>
      </c>
      <c r="B254" s="146"/>
      <c r="C254" s="99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45"/>
      <c r="AA254" s="63"/>
      <c r="AB254" s="63"/>
    </row>
    <row r="255" spans="1:28" ht="15.75" x14ac:dyDescent="0.25">
      <c r="A255" s="55" t="s">
        <v>328</v>
      </c>
      <c r="B255" s="146"/>
      <c r="C255" s="99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45"/>
      <c r="AA255" s="63"/>
      <c r="AB255" s="63"/>
    </row>
    <row r="256" spans="1:28" ht="15.75" customHeight="1" x14ac:dyDescent="0.25">
      <c r="A256" s="55" t="s">
        <v>330</v>
      </c>
      <c r="B256" s="146"/>
      <c r="C256" s="99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45"/>
      <c r="AA256" s="63"/>
      <c r="AB256" s="63"/>
    </row>
    <row r="257" spans="1:28" ht="15.75" x14ac:dyDescent="0.25">
      <c r="A257" s="55" t="s">
        <v>331</v>
      </c>
      <c r="B257" s="146"/>
      <c r="C257" s="99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45"/>
      <c r="AA257" s="63"/>
      <c r="AB257" s="63"/>
    </row>
    <row r="258" spans="1:28" ht="15.75" x14ac:dyDescent="0.25">
      <c r="A258" s="55" t="s">
        <v>332</v>
      </c>
      <c r="B258" s="146"/>
      <c r="C258" s="99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45"/>
      <c r="AA258" s="63"/>
      <c r="AB258" s="63"/>
    </row>
    <row r="259" spans="1:28" ht="15.75" x14ac:dyDescent="0.25">
      <c r="A259" s="55" t="s">
        <v>333</v>
      </c>
      <c r="B259" s="146"/>
      <c r="C259" s="99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45"/>
      <c r="AA259" s="63"/>
      <c r="AB259" s="63"/>
    </row>
    <row r="260" spans="1:28" ht="15.75" x14ac:dyDescent="0.25">
      <c r="A260" s="55" t="s">
        <v>334</v>
      </c>
      <c r="B260" s="146"/>
      <c r="C260" s="99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45"/>
      <c r="AA260" s="63"/>
      <c r="AB260" s="63"/>
    </row>
    <row r="261" spans="1:28" ht="15.75" x14ac:dyDescent="0.25">
      <c r="A261" s="55" t="s">
        <v>335</v>
      </c>
      <c r="B261" s="146"/>
      <c r="C261" s="99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45"/>
      <c r="AA261" s="63"/>
      <c r="AB261" s="63"/>
    </row>
    <row r="262" spans="1:28" ht="15.75" x14ac:dyDescent="0.25">
      <c r="A262" s="55" t="s">
        <v>336</v>
      </c>
      <c r="B262" s="146"/>
      <c r="C262" s="99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45"/>
      <c r="AA262" s="63"/>
      <c r="AB262" s="63"/>
    </row>
    <row r="263" spans="1:28" ht="15.75" x14ac:dyDescent="0.25">
      <c r="A263" s="76" t="s">
        <v>337</v>
      </c>
      <c r="B263" s="151"/>
      <c r="C263" s="99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45"/>
      <c r="AA263" s="63"/>
      <c r="AB263" s="63"/>
    </row>
    <row r="264" spans="1:28" ht="15.75" x14ac:dyDescent="0.25">
      <c r="A264" s="57" t="s">
        <v>131</v>
      </c>
      <c r="B264" s="150">
        <f>B265+B266+B267+B268</f>
        <v>0</v>
      </c>
      <c r="C264" s="99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45"/>
      <c r="AA264" s="63"/>
      <c r="AB264" s="63"/>
    </row>
    <row r="265" spans="1:28" ht="15.75" x14ac:dyDescent="0.25">
      <c r="A265" s="55" t="s">
        <v>431</v>
      </c>
      <c r="B265" s="146"/>
      <c r="C265" s="99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45"/>
      <c r="AA265" s="63"/>
      <c r="AB265" s="63"/>
    </row>
    <row r="266" spans="1:28" ht="15.75" x14ac:dyDescent="0.25">
      <c r="A266" s="55" t="s">
        <v>432</v>
      </c>
      <c r="B266" s="146"/>
      <c r="C266" s="99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45"/>
      <c r="AA266" s="63"/>
      <c r="AB266" s="63"/>
    </row>
    <row r="267" spans="1:28" ht="15.75" x14ac:dyDescent="0.25">
      <c r="A267" s="55" t="s">
        <v>433</v>
      </c>
      <c r="B267" s="146"/>
      <c r="C267" s="99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45"/>
      <c r="AA267" s="63"/>
      <c r="AB267" s="63"/>
    </row>
    <row r="268" spans="1:28" ht="26.25" x14ac:dyDescent="0.25">
      <c r="A268" s="58" t="s">
        <v>154</v>
      </c>
      <c r="B268" s="146"/>
      <c r="C268" s="99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45"/>
      <c r="AA268" s="63"/>
      <c r="AB268" s="63"/>
    </row>
    <row r="269" spans="1:28" ht="15.75" x14ac:dyDescent="0.25">
      <c r="A269" s="57" t="s">
        <v>338</v>
      </c>
      <c r="B269" s="146"/>
      <c r="C269" s="99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45"/>
      <c r="AA269" s="63"/>
      <c r="AB269" s="63"/>
    </row>
    <row r="270" spans="1:28" ht="15.75" x14ac:dyDescent="0.25">
      <c r="A270" s="76" t="s">
        <v>17</v>
      </c>
      <c r="B270" s="151"/>
      <c r="C270" s="99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45"/>
      <c r="AA270" s="63"/>
      <c r="AB270" s="63"/>
    </row>
    <row r="271" spans="1:28" ht="15.75" x14ac:dyDescent="0.25">
      <c r="A271" s="59" t="s">
        <v>135</v>
      </c>
      <c r="B271" s="152"/>
      <c r="C271" s="99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45"/>
      <c r="AA271" s="63"/>
      <c r="AB271" s="63"/>
    </row>
    <row r="272" spans="1:28" ht="15.75" x14ac:dyDescent="0.25">
      <c r="A272" s="59" t="s">
        <v>225</v>
      </c>
      <c r="B272" s="146"/>
      <c r="C272" s="99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45"/>
      <c r="AA272" s="63"/>
      <c r="AB272" s="63"/>
    </row>
    <row r="273" spans="1:28" ht="15.75" x14ac:dyDescent="0.25">
      <c r="A273" s="59" t="s">
        <v>226</v>
      </c>
      <c r="B273" s="146"/>
      <c r="C273" s="99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45"/>
      <c r="AA273" s="63"/>
      <c r="AB273" s="63"/>
    </row>
    <row r="274" spans="1:28" ht="15.75" x14ac:dyDescent="0.25">
      <c r="A274" s="59" t="s">
        <v>339</v>
      </c>
      <c r="B274" s="149"/>
      <c r="C274" s="99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45"/>
      <c r="AA274" s="63"/>
      <c r="AB274" s="63"/>
    </row>
    <row r="275" spans="1:28" ht="15.75" x14ac:dyDescent="0.25">
      <c r="A275" s="59" t="s">
        <v>340</v>
      </c>
      <c r="B275" s="149"/>
      <c r="C275" s="99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45"/>
      <c r="AA275" s="63"/>
      <c r="AB275" s="63"/>
    </row>
    <row r="276" spans="1:28" ht="15.75" x14ac:dyDescent="0.25">
      <c r="A276" s="76" t="s">
        <v>341</v>
      </c>
      <c r="B276" s="151"/>
      <c r="C276" s="99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45"/>
      <c r="AA276" s="63"/>
      <c r="AB276" s="63"/>
    </row>
    <row r="277" spans="1:28" ht="15.75" x14ac:dyDescent="0.25">
      <c r="A277" s="57" t="s">
        <v>342</v>
      </c>
      <c r="B277" s="145">
        <f>B278+B281</f>
        <v>0</v>
      </c>
      <c r="C277" s="99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45"/>
      <c r="AA277" s="63"/>
      <c r="AB277" s="63"/>
    </row>
    <row r="278" spans="1:28" ht="15.75" x14ac:dyDescent="0.25">
      <c r="A278" s="55" t="s">
        <v>346</v>
      </c>
      <c r="B278" s="145">
        <f>B279+B280</f>
        <v>0</v>
      </c>
      <c r="C278" s="99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45"/>
      <c r="AA278" s="63"/>
      <c r="AB278" s="63"/>
    </row>
    <row r="279" spans="1:28" ht="15.75" x14ac:dyDescent="0.25">
      <c r="A279" s="55" t="s">
        <v>347</v>
      </c>
      <c r="B279" s="146"/>
      <c r="C279" s="99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45"/>
      <c r="AA279" s="63"/>
      <c r="AB279" s="63"/>
    </row>
    <row r="280" spans="1:28" ht="15.75" x14ac:dyDescent="0.25">
      <c r="A280" s="55" t="s">
        <v>350</v>
      </c>
      <c r="B280" s="146"/>
      <c r="C280" s="99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45"/>
      <c r="AA280" s="63"/>
      <c r="AB280" s="63"/>
    </row>
    <row r="281" spans="1:28" ht="15.75" x14ac:dyDescent="0.25">
      <c r="A281" s="55" t="s">
        <v>348</v>
      </c>
      <c r="B281" s="145">
        <f>B282+B283</f>
        <v>0</v>
      </c>
      <c r="C281" s="99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45"/>
      <c r="AA281" s="63"/>
      <c r="AB281" s="63"/>
    </row>
    <row r="282" spans="1:28" ht="15.75" x14ac:dyDescent="0.25">
      <c r="A282" s="55" t="s">
        <v>349</v>
      </c>
      <c r="B282" s="146"/>
      <c r="C282" s="99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45"/>
      <c r="AA282" s="63"/>
      <c r="AB282" s="63"/>
    </row>
    <row r="283" spans="1:28" ht="15.75" x14ac:dyDescent="0.25">
      <c r="A283" s="55" t="s">
        <v>351</v>
      </c>
      <c r="B283" s="146"/>
      <c r="C283" s="99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45"/>
      <c r="AA283" s="63"/>
      <c r="AB283" s="63"/>
    </row>
    <row r="284" spans="1:28" ht="15.75" x14ac:dyDescent="0.25">
      <c r="A284" s="57" t="s">
        <v>345</v>
      </c>
      <c r="B284" s="145">
        <f>B285+B288</f>
        <v>0</v>
      </c>
      <c r="C284" s="99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45"/>
      <c r="AA284" s="63"/>
      <c r="AB284" s="63"/>
    </row>
    <row r="285" spans="1:28" ht="15.75" x14ac:dyDescent="0.25">
      <c r="A285" s="55" t="s">
        <v>352</v>
      </c>
      <c r="B285" s="145">
        <f>B286+B287</f>
        <v>0</v>
      </c>
      <c r="C285" s="99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45"/>
      <c r="AA285" s="63"/>
      <c r="AB285" s="63"/>
    </row>
    <row r="286" spans="1:28" ht="15.75" x14ac:dyDescent="0.25">
      <c r="A286" s="55" t="s">
        <v>343</v>
      </c>
      <c r="B286" s="146"/>
      <c r="C286" s="99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45"/>
      <c r="AA286" s="63"/>
      <c r="AB286" s="63"/>
    </row>
    <row r="287" spans="1:28" ht="15.75" x14ac:dyDescent="0.25">
      <c r="A287" s="55" t="s">
        <v>353</v>
      </c>
      <c r="B287" s="146"/>
      <c r="C287" s="99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45"/>
      <c r="AA287" s="63"/>
      <c r="AB287" s="63"/>
    </row>
    <row r="288" spans="1:28" ht="15.75" x14ac:dyDescent="0.25">
      <c r="A288" s="55" t="s">
        <v>354</v>
      </c>
      <c r="B288" s="145">
        <f>B289+B290</f>
        <v>0</v>
      </c>
      <c r="C288" s="99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45"/>
      <c r="AA288" s="63"/>
      <c r="AB288" s="63"/>
    </row>
    <row r="289" spans="1:28" ht="15.75" x14ac:dyDescent="0.25">
      <c r="A289" s="55" t="s">
        <v>344</v>
      </c>
      <c r="B289" s="146"/>
      <c r="C289" s="99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45"/>
      <c r="AA289" s="63"/>
      <c r="AB289" s="63"/>
    </row>
    <row r="290" spans="1:28" ht="15.75" x14ac:dyDescent="0.25">
      <c r="A290" s="55" t="s">
        <v>355</v>
      </c>
      <c r="B290" s="146"/>
      <c r="C290" s="99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45"/>
      <c r="AA290" s="63"/>
      <c r="AB290" s="63"/>
    </row>
    <row r="291" spans="1:28" ht="15.75" x14ac:dyDescent="0.25">
      <c r="A291" s="78" t="s">
        <v>18</v>
      </c>
      <c r="B291" s="155"/>
      <c r="C291" s="99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45"/>
      <c r="AA291" s="63"/>
      <c r="AB291" s="63"/>
    </row>
    <row r="292" spans="1:28" ht="15.75" x14ac:dyDescent="0.25">
      <c r="A292" s="79" t="s">
        <v>19</v>
      </c>
      <c r="B292" s="156"/>
      <c r="C292" s="99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45"/>
      <c r="AA292" s="63"/>
      <c r="AB292" s="63"/>
    </row>
    <row r="293" spans="1:28" ht="15.75" x14ac:dyDescent="0.25">
      <c r="A293" s="74" t="s">
        <v>20</v>
      </c>
      <c r="B293" s="153"/>
      <c r="C293" s="99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45"/>
      <c r="AA293" s="63"/>
      <c r="AB293" s="63"/>
    </row>
    <row r="294" spans="1:28" ht="15.75" x14ac:dyDescent="0.25">
      <c r="A294" s="80" t="s">
        <v>21</v>
      </c>
      <c r="B294" s="157"/>
      <c r="C294" s="99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45"/>
      <c r="AA294" s="63"/>
      <c r="AB294" s="63"/>
    </row>
    <row r="295" spans="1:28" ht="15.75" x14ac:dyDescent="0.25">
      <c r="A295" s="75" t="s">
        <v>137</v>
      </c>
      <c r="B295" s="154"/>
      <c r="C295" s="99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45"/>
      <c r="AA295" s="63"/>
      <c r="AB295" s="63"/>
    </row>
    <row r="296" spans="1:28" ht="15.75" x14ac:dyDescent="0.25">
      <c r="A296" s="57" t="s">
        <v>138</v>
      </c>
      <c r="B296" s="152"/>
      <c r="C296" s="99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45"/>
      <c r="AA296" s="63"/>
      <c r="AB296" s="63"/>
    </row>
    <row r="297" spans="1:28" ht="15.75" x14ac:dyDescent="0.25">
      <c r="A297" s="57" t="s">
        <v>136</v>
      </c>
      <c r="B297" s="145">
        <f>B298+B301+B304+B307+B310+B312</f>
        <v>0</v>
      </c>
      <c r="C297" s="99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45"/>
      <c r="AA297" s="63"/>
      <c r="AB297" s="63"/>
    </row>
    <row r="298" spans="1:28" ht="15.75" x14ac:dyDescent="0.25">
      <c r="A298" s="60" t="s">
        <v>155</v>
      </c>
      <c r="B298" s="145">
        <f>B299+B300</f>
        <v>0</v>
      </c>
      <c r="C298" s="99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45"/>
      <c r="AA298" s="63"/>
      <c r="AB298" s="63"/>
    </row>
    <row r="299" spans="1:28" ht="15.75" x14ac:dyDescent="0.25">
      <c r="A299" s="55" t="s">
        <v>139</v>
      </c>
      <c r="B299" s="146"/>
      <c r="C299" s="99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45"/>
      <c r="AA299" s="63"/>
      <c r="AB299" s="63"/>
    </row>
    <row r="300" spans="1:28" ht="15.75" x14ac:dyDescent="0.25">
      <c r="A300" s="55" t="s">
        <v>221</v>
      </c>
      <c r="B300" s="146"/>
      <c r="C300" s="99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45"/>
      <c r="AA300" s="63"/>
      <c r="AB300" s="63"/>
    </row>
    <row r="301" spans="1:28" ht="15.75" x14ac:dyDescent="0.25">
      <c r="A301" s="55" t="s">
        <v>140</v>
      </c>
      <c r="B301" s="145">
        <f>B302+B303</f>
        <v>0</v>
      </c>
      <c r="C301" s="99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45"/>
      <c r="AA301" s="63"/>
      <c r="AB301" s="63"/>
    </row>
    <row r="302" spans="1:28" ht="15.75" x14ac:dyDescent="0.25">
      <c r="A302" s="55" t="s">
        <v>141</v>
      </c>
      <c r="B302" s="146"/>
      <c r="C302" s="99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45"/>
      <c r="AA302" s="63"/>
      <c r="AB302" s="63"/>
    </row>
    <row r="303" spans="1:28" ht="15.75" x14ac:dyDescent="0.25">
      <c r="A303" s="55" t="s">
        <v>222</v>
      </c>
      <c r="B303" s="146"/>
      <c r="C303" s="99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45"/>
      <c r="AA303" s="63"/>
      <c r="AB303" s="63"/>
    </row>
    <row r="304" spans="1:28" ht="15.75" x14ac:dyDescent="0.25">
      <c r="A304" s="55" t="s">
        <v>142</v>
      </c>
      <c r="B304" s="145">
        <f>B305+B306</f>
        <v>0</v>
      </c>
      <c r="C304" s="99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45"/>
      <c r="AA304" s="63"/>
      <c r="AB304" s="63"/>
    </row>
    <row r="305" spans="1:28" ht="15.75" x14ac:dyDescent="0.25">
      <c r="A305" s="55" t="s">
        <v>22</v>
      </c>
      <c r="B305" s="146"/>
      <c r="C305" s="99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45"/>
      <c r="AA305" s="63"/>
      <c r="AB305" s="63"/>
    </row>
    <row r="306" spans="1:28" ht="15.75" x14ac:dyDescent="0.25">
      <c r="A306" s="55" t="s">
        <v>223</v>
      </c>
      <c r="B306" s="146"/>
      <c r="C306" s="99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45"/>
      <c r="AA306" s="63"/>
      <c r="AB306" s="63"/>
    </row>
    <row r="307" spans="1:28" ht="15.75" x14ac:dyDescent="0.25">
      <c r="A307" s="55" t="s">
        <v>143</v>
      </c>
      <c r="B307" s="145">
        <f>B308+B309</f>
        <v>0</v>
      </c>
      <c r="C307" s="99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45"/>
      <c r="AA307" s="63"/>
      <c r="AB307" s="63"/>
    </row>
    <row r="308" spans="1:28" ht="15.75" x14ac:dyDescent="0.25">
      <c r="A308" s="55" t="s">
        <v>144</v>
      </c>
      <c r="B308" s="146"/>
      <c r="C308" s="99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45"/>
      <c r="AA308" s="63"/>
      <c r="AB308" s="63"/>
    </row>
    <row r="309" spans="1:28" ht="15.75" x14ac:dyDescent="0.25">
      <c r="A309" s="55" t="s">
        <v>224</v>
      </c>
      <c r="B309" s="146"/>
      <c r="C309" s="99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45"/>
      <c r="AA309" s="63"/>
      <c r="AB309" s="63"/>
    </row>
    <row r="310" spans="1:28" ht="15.75" x14ac:dyDescent="0.25">
      <c r="A310" s="55" t="s">
        <v>145</v>
      </c>
      <c r="B310" s="148"/>
      <c r="C310" s="99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45"/>
      <c r="AA310" s="63"/>
      <c r="AB310" s="63"/>
    </row>
    <row r="311" spans="1:28" ht="15.75" x14ac:dyDescent="0.25">
      <c r="A311" s="60" t="s">
        <v>146</v>
      </c>
      <c r="B311" s="145"/>
      <c r="C311" s="99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45"/>
      <c r="AA311" s="63"/>
      <c r="AB311" s="63"/>
    </row>
    <row r="312" spans="1:28" ht="15.75" x14ac:dyDescent="0.25">
      <c r="A312" s="55" t="s">
        <v>147</v>
      </c>
      <c r="B312" s="146"/>
      <c r="C312" s="99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45"/>
      <c r="AA312" s="63"/>
      <c r="AB312" s="63"/>
    </row>
    <row r="313" spans="1:28" ht="25.5" x14ac:dyDescent="0.25">
      <c r="A313" s="61" t="s">
        <v>230</v>
      </c>
      <c r="B313" s="147"/>
      <c r="C313" s="99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45"/>
      <c r="AA313" s="63"/>
      <c r="AB313" s="63"/>
    </row>
    <row r="314" spans="1:28" ht="15.75" x14ac:dyDescent="0.25">
      <c r="A314" s="57" t="s">
        <v>148</v>
      </c>
      <c r="B314" s="149"/>
      <c r="C314" s="99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45"/>
      <c r="AA314" s="63"/>
      <c r="AB314" s="63"/>
    </row>
    <row r="315" spans="1:28" ht="26.25" x14ac:dyDescent="0.25">
      <c r="A315" s="76" t="s">
        <v>356</v>
      </c>
      <c r="B315" s="151"/>
      <c r="C315" s="99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45"/>
      <c r="AA315" s="63"/>
      <c r="AB315" s="63"/>
    </row>
    <row r="316" spans="1:28" ht="15.75" x14ac:dyDescent="0.25">
      <c r="A316" s="57" t="s">
        <v>149</v>
      </c>
      <c r="B316" s="148"/>
      <c r="C316" s="99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45"/>
      <c r="AA316" s="63"/>
      <c r="AB316" s="63"/>
    </row>
    <row r="317" spans="1:28" ht="15.75" x14ac:dyDescent="0.25">
      <c r="A317" s="55" t="s">
        <v>357</v>
      </c>
      <c r="B317" s="145">
        <f>B318+B319</f>
        <v>31</v>
      </c>
      <c r="C317" s="99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45"/>
      <c r="AA317" s="63"/>
      <c r="AB317" s="63"/>
    </row>
    <row r="318" spans="1:28" ht="15.75" x14ac:dyDescent="0.25">
      <c r="A318" s="55" t="s">
        <v>22</v>
      </c>
      <c r="B318" s="146">
        <v>10</v>
      </c>
      <c r="C318" s="99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45"/>
      <c r="AA318" s="63"/>
      <c r="AB318" s="63"/>
    </row>
    <row r="319" spans="1:28" ht="15.75" x14ac:dyDescent="0.25">
      <c r="A319" s="55" t="s">
        <v>223</v>
      </c>
      <c r="B319" s="149">
        <v>21</v>
      </c>
      <c r="C319" s="99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45"/>
      <c r="AA319" s="63"/>
      <c r="AB319" s="63"/>
    </row>
    <row r="320" spans="1:28" s="267" customFormat="1" ht="18.75" customHeight="1" x14ac:dyDescent="0.2">
      <c r="A320" s="268" t="s">
        <v>444</v>
      </c>
      <c r="B320" s="270"/>
      <c r="C320" s="263"/>
      <c r="D320" s="264"/>
      <c r="E320" s="264"/>
      <c r="F320" s="264"/>
      <c r="G320" s="264"/>
      <c r="H320" s="264"/>
      <c r="I320" s="264"/>
      <c r="J320" s="264"/>
      <c r="K320" s="264"/>
      <c r="L320" s="264"/>
      <c r="M320" s="264"/>
      <c r="N320" s="264"/>
      <c r="O320" s="264"/>
      <c r="P320" s="264"/>
      <c r="Q320" s="264"/>
      <c r="R320" s="264"/>
      <c r="S320" s="264"/>
      <c r="T320" s="264"/>
      <c r="U320" s="264"/>
      <c r="V320" s="264"/>
      <c r="W320" s="264"/>
      <c r="X320" s="264"/>
      <c r="Y320" s="264"/>
      <c r="Z320" s="265"/>
      <c r="AA320" s="266"/>
      <c r="AB320" s="266"/>
    </row>
    <row r="321" spans="1:28" s="267" customFormat="1" ht="18.75" customHeight="1" x14ac:dyDescent="0.2">
      <c r="A321" s="269" t="s">
        <v>446</v>
      </c>
      <c r="B321" s="152"/>
      <c r="C321" s="263"/>
      <c r="D321" s="264"/>
      <c r="E321" s="264"/>
      <c r="F321" s="264"/>
      <c r="G321" s="264"/>
      <c r="H321" s="264"/>
      <c r="I321" s="264"/>
      <c r="J321" s="264"/>
      <c r="K321" s="264"/>
      <c r="L321" s="264"/>
      <c r="M321" s="264"/>
      <c r="N321" s="264"/>
      <c r="O321" s="264"/>
      <c r="P321" s="264"/>
      <c r="Q321" s="264"/>
      <c r="R321" s="264"/>
      <c r="S321" s="264"/>
      <c r="T321" s="264"/>
      <c r="U321" s="264"/>
      <c r="V321" s="264"/>
      <c r="W321" s="264"/>
      <c r="X321" s="264"/>
      <c r="Y321" s="264"/>
      <c r="Z321" s="265"/>
      <c r="AA321" s="266"/>
      <c r="AB321" s="266"/>
    </row>
    <row r="322" spans="1:28" s="267" customFormat="1" ht="18.75" customHeight="1" x14ac:dyDescent="0.2">
      <c r="A322" s="269" t="s">
        <v>447</v>
      </c>
      <c r="B322" s="148"/>
      <c r="C322" s="263"/>
      <c r="D322" s="264"/>
      <c r="E322" s="264"/>
      <c r="F322" s="264"/>
      <c r="G322" s="264"/>
      <c r="H322" s="264"/>
      <c r="I322" s="264"/>
      <c r="J322" s="264"/>
      <c r="K322" s="264"/>
      <c r="L322" s="264"/>
      <c r="M322" s="264"/>
      <c r="N322" s="264"/>
      <c r="O322" s="264"/>
      <c r="P322" s="264"/>
      <c r="Q322" s="264"/>
      <c r="R322" s="264"/>
      <c r="S322" s="264"/>
      <c r="T322" s="264"/>
      <c r="U322" s="264"/>
      <c r="V322" s="264"/>
      <c r="W322" s="264"/>
      <c r="X322" s="264"/>
      <c r="Y322" s="264"/>
      <c r="Z322" s="265"/>
      <c r="AA322" s="266"/>
      <c r="AB322" s="266"/>
    </row>
    <row r="323" spans="1:28" ht="30" customHeight="1" x14ac:dyDescent="0.25">
      <c r="A323" s="268" t="s">
        <v>445</v>
      </c>
      <c r="B323" s="146"/>
      <c r="C323" s="99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45"/>
      <c r="AA323" s="63"/>
      <c r="AB323" s="63"/>
    </row>
    <row r="324" spans="1:28" ht="15.75" x14ac:dyDescent="0.25">
      <c r="A324" s="53"/>
      <c r="B324" s="50"/>
      <c r="C324" s="99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45"/>
      <c r="AA324" s="63"/>
      <c r="AB324" s="63"/>
    </row>
    <row r="325" spans="1:28" ht="15.75" x14ac:dyDescent="0.25">
      <c r="A325" s="41"/>
      <c r="B325" s="42"/>
      <c r="C325" s="99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45"/>
      <c r="AA325" s="63"/>
      <c r="AB325" s="63"/>
    </row>
  </sheetData>
  <sheetProtection sheet="1" selectLockedCells="1"/>
  <mergeCells count="2">
    <mergeCell ref="E11:F11"/>
    <mergeCell ref="F15:P15"/>
  </mergeCells>
  <dataValidations xWindow="672" yWindow="503" count="8">
    <dataValidation type="whole" allowBlank="1" showInputMessage="1" showErrorMessage="1" sqref="D38:D55 G16:P67 B15:C70 D19:D36 Q19:Q36 R15:Z67 Q38:Q55 D57:D74 Q57:Q74 Z68:Z325">
      <formula1>0</formula1>
      <formula2>1E+22</formula2>
    </dataValidation>
    <dataValidation allowBlank="1" showInputMessage="1" showErrorMessage="1" prompt="Limit your input in a maximum of 80 characters per bullet." sqref="F13:F14"/>
    <dataValidation allowBlank="1" showInputMessage="1" showErrorMessage="1" prompt="Limit your input in a maximum of 70 characters per bullet." sqref="F17:F74"/>
    <dataValidation type="whole" allowBlank="1" showInputMessage="1" showErrorMessage="1" sqref="D174:Y216 C175:C217 B175 B177:B217 C318:C319">
      <formula1>0</formula1>
      <formula2>100000000000000000000</formula2>
    </dataValidation>
    <dataValidation type="whole" allowBlank="1" showInputMessage="1" showErrorMessage="1" sqref="D323:Y325 C278:C317 D300:Y319 B277:B319 B321:B323">
      <formula1>0</formula1>
      <formula2>1E+24</formula2>
    </dataValidation>
    <dataValidation type="whole" allowBlank="1" showInputMessage="1" showErrorMessage="1" sqref="D264:Y299 C276:C277 B276 D320:Y322">
      <formula1>0</formula1>
      <formula2>100000000000000000</formula2>
    </dataValidation>
    <dataValidation type="whole" allowBlank="1" showInputMessage="1" showErrorMessage="1" sqref="D217:Y263 D120:Y173 B176 B218:C275 B123:C174 C320:C322">
      <formula1>0</formula1>
      <formula2>1000000000000000000</formula2>
    </dataValidation>
    <dataValidation type="whole" allowBlank="1" showInputMessage="1" showErrorMessage="1" sqref="G68:P119 R68:Y119 D75:F119 Q75:Q119 B71:C122">
      <formula1>0</formula1>
      <formula2>10000000000000000000</formula2>
    </dataValidation>
  </dataValidations>
  <pageMargins left="0.7" right="0.7" top="0.75" bottom="0.75" header="0.3" footer="0.3"/>
  <pageSetup paperSize="768" orientation="portrait" horizontalDpi="4294967293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326"/>
  <sheetViews>
    <sheetView zoomScale="70" zoomScaleNormal="70" workbookViewId="0">
      <pane ySplit="13" topLeftCell="A17" activePane="bottomLeft" state="frozen"/>
      <selection pane="bottomLeft" activeCell="F29" sqref="F29"/>
    </sheetView>
  </sheetViews>
  <sheetFormatPr defaultRowHeight="12.75" x14ac:dyDescent="0.2"/>
  <cols>
    <col min="1" max="1" width="39.140625" style="1" customWidth="1"/>
    <col min="2" max="2" width="36.42578125" style="31" customWidth="1"/>
    <col min="3" max="3" width="7.28515625" style="100" customWidth="1"/>
    <col min="4" max="4" width="3.28515625" style="65" customWidth="1"/>
    <col min="5" max="5" width="1.85546875" style="65" customWidth="1"/>
    <col min="6" max="6" width="8.42578125" style="65" customWidth="1"/>
    <col min="7" max="16" width="9.140625" style="65"/>
    <col min="17" max="17" width="2.7109375" style="65" customWidth="1"/>
    <col min="18" max="28" width="9.140625" style="65"/>
  </cols>
  <sheetData>
    <row r="1" spans="1:30" x14ac:dyDescent="0.2">
      <c r="A1" s="13"/>
      <c r="B1" s="29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63"/>
      <c r="AB1" s="63"/>
    </row>
    <row r="2" spans="1:30" x14ac:dyDescent="0.2">
      <c r="A2" s="13"/>
      <c r="B2" s="29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63"/>
      <c r="AB2" s="63"/>
    </row>
    <row r="3" spans="1:30" x14ac:dyDescent="0.2">
      <c r="A3" s="13"/>
      <c r="B3" s="29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63"/>
      <c r="AB3" s="63"/>
    </row>
    <row r="4" spans="1:30" x14ac:dyDescent="0.2">
      <c r="A4" s="13"/>
      <c r="B4" s="29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63"/>
      <c r="AB4" s="63"/>
    </row>
    <row r="5" spans="1:30" x14ac:dyDescent="0.2">
      <c r="A5" s="13"/>
      <c r="B5" s="29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63"/>
      <c r="AB5" s="63"/>
    </row>
    <row r="6" spans="1:30" x14ac:dyDescent="0.2">
      <c r="A6" s="13"/>
      <c r="B6" s="2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63"/>
      <c r="AB6" s="63"/>
    </row>
    <row r="7" spans="1:30" x14ac:dyDescent="0.2">
      <c r="A7" s="13"/>
      <c r="B7" s="29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63"/>
      <c r="AB7" s="63"/>
    </row>
    <row r="8" spans="1:30" x14ac:dyDescent="0.2">
      <c r="A8" s="13"/>
      <c r="B8" s="29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63"/>
      <c r="AB8" s="63"/>
    </row>
    <row r="9" spans="1:30" x14ac:dyDescent="0.2">
      <c r="A9" s="14"/>
      <c r="B9" s="29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63"/>
      <c r="AB9" s="63"/>
    </row>
    <row r="10" spans="1:30" x14ac:dyDescent="0.2">
      <c r="A10" s="15"/>
      <c r="B10" s="29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63"/>
      <c r="AB10" s="63"/>
    </row>
    <row r="11" spans="1:30" ht="15.75" x14ac:dyDescent="0.25">
      <c r="A11" s="5" t="s">
        <v>0</v>
      </c>
      <c r="B11" s="12" t="s">
        <v>231</v>
      </c>
      <c r="C11" s="17"/>
      <c r="D11" s="17"/>
      <c r="E11" s="325"/>
      <c r="F11" s="325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63"/>
      <c r="AB11" s="63"/>
      <c r="AC11" s="3"/>
      <c r="AD11" s="3"/>
    </row>
    <row r="12" spans="1:30" x14ac:dyDescent="0.2">
      <c r="A12" s="48" t="s">
        <v>1</v>
      </c>
      <c r="B12" s="11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25"/>
      <c r="AA12" s="63"/>
      <c r="AB12" s="63"/>
    </row>
    <row r="13" spans="1:30" x14ac:dyDescent="0.2">
      <c r="A13" s="73" t="s">
        <v>3</v>
      </c>
      <c r="B13" s="77"/>
      <c r="C13" s="19"/>
      <c r="D13" s="19"/>
      <c r="E13" s="70"/>
      <c r="F13" s="70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63"/>
      <c r="AB13" s="63"/>
    </row>
    <row r="14" spans="1:30" x14ac:dyDescent="0.2">
      <c r="A14" s="51" t="s">
        <v>4</v>
      </c>
      <c r="B14" s="49"/>
      <c r="C14" s="98"/>
      <c r="D14" s="19"/>
      <c r="E14" s="70"/>
      <c r="F14" s="70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63"/>
      <c r="AB14" s="63"/>
    </row>
    <row r="15" spans="1:30" ht="15.75" x14ac:dyDescent="0.25">
      <c r="A15" s="47" t="s">
        <v>23</v>
      </c>
      <c r="B15" s="145">
        <f>B16+B23+B30+B33+B40+B43</f>
        <v>200</v>
      </c>
      <c r="C15" s="99"/>
      <c r="D15" s="69"/>
      <c r="E15" s="69"/>
      <c r="F15" s="326" t="s">
        <v>227</v>
      </c>
      <c r="G15" s="326"/>
      <c r="H15" s="326"/>
      <c r="I15" s="326"/>
      <c r="J15" s="326"/>
      <c r="K15" s="326"/>
      <c r="L15" s="326"/>
      <c r="M15" s="326"/>
      <c r="N15" s="326"/>
      <c r="O15" s="326"/>
      <c r="P15" s="326"/>
      <c r="Q15" s="69"/>
      <c r="R15" s="16"/>
      <c r="S15" s="16"/>
      <c r="T15" s="16"/>
      <c r="U15" s="16"/>
      <c r="V15" s="16"/>
      <c r="W15" s="16"/>
      <c r="X15" s="16"/>
      <c r="Y15" s="16"/>
      <c r="Z15" s="45"/>
      <c r="AA15" s="63"/>
      <c r="AB15" s="63"/>
    </row>
    <row r="16" spans="1:30" ht="15.75" x14ac:dyDescent="0.25">
      <c r="A16" s="46" t="s">
        <v>24</v>
      </c>
      <c r="B16" s="145">
        <f>B17+B20</f>
        <v>200</v>
      </c>
      <c r="C16" s="99"/>
      <c r="D16" s="66"/>
      <c r="E16" s="18"/>
      <c r="F16" s="18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66"/>
      <c r="R16" s="16"/>
      <c r="S16" s="16"/>
      <c r="T16" s="16"/>
      <c r="U16" s="16"/>
      <c r="V16" s="16"/>
      <c r="W16" s="16"/>
      <c r="X16" s="16"/>
      <c r="Y16" s="16"/>
      <c r="Z16" s="45"/>
      <c r="AA16" s="63"/>
      <c r="AB16" s="63"/>
    </row>
    <row r="17" spans="1:28" ht="15.75" x14ac:dyDescent="0.25">
      <c r="A17" s="2" t="s">
        <v>25</v>
      </c>
      <c r="B17" s="145">
        <f>B18+B19</f>
        <v>0</v>
      </c>
      <c r="C17" s="99"/>
      <c r="D17" s="67"/>
      <c r="E17" s="70" t="s">
        <v>228</v>
      </c>
      <c r="F17" s="161" t="s">
        <v>450</v>
      </c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67"/>
      <c r="R17" s="16"/>
      <c r="S17" s="16"/>
      <c r="T17" s="16"/>
      <c r="U17" s="16"/>
      <c r="V17" s="16"/>
      <c r="W17" s="16"/>
      <c r="X17" s="16"/>
      <c r="Y17" s="16"/>
      <c r="Z17" s="45"/>
      <c r="AA17" s="63"/>
      <c r="AB17" s="63"/>
    </row>
    <row r="18" spans="1:28" ht="15.75" x14ac:dyDescent="0.25">
      <c r="A18" s="2" t="s">
        <v>26</v>
      </c>
      <c r="B18" s="146"/>
      <c r="C18" s="99"/>
      <c r="D18" s="67"/>
      <c r="E18" s="70" t="s">
        <v>228</v>
      </c>
      <c r="F18" s="161" t="s">
        <v>455</v>
      </c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67"/>
      <c r="R18" s="16"/>
      <c r="S18" s="16"/>
      <c r="T18" s="16"/>
      <c r="U18" s="16"/>
      <c r="V18" s="16"/>
      <c r="W18" s="16"/>
      <c r="X18" s="16"/>
      <c r="Y18" s="16"/>
      <c r="Z18" s="45"/>
      <c r="AA18" s="63"/>
      <c r="AB18" s="63"/>
    </row>
    <row r="19" spans="1:28" ht="15.75" x14ac:dyDescent="0.25">
      <c r="A19" s="2" t="s">
        <v>182</v>
      </c>
      <c r="B19" s="146"/>
      <c r="C19" s="99"/>
      <c r="D19" s="68"/>
      <c r="E19" s="71" t="s">
        <v>228</v>
      </c>
      <c r="F19" s="44" t="s">
        <v>456</v>
      </c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68"/>
      <c r="R19" s="16"/>
      <c r="S19" s="16"/>
      <c r="T19" s="16"/>
      <c r="U19" s="16"/>
      <c r="V19" s="16"/>
      <c r="W19" s="16"/>
      <c r="X19" s="16"/>
      <c r="Y19" s="16"/>
      <c r="Z19" s="45"/>
      <c r="AA19" s="63"/>
      <c r="AB19" s="63"/>
    </row>
    <row r="20" spans="1:28" ht="15.75" x14ac:dyDescent="0.25">
      <c r="A20" s="2" t="s">
        <v>6</v>
      </c>
      <c r="B20" s="145">
        <f>B21+B22</f>
        <v>200</v>
      </c>
      <c r="C20" s="99"/>
      <c r="D20" s="68"/>
      <c r="E20" s="71" t="s">
        <v>228</v>
      </c>
      <c r="F20" s="44" t="s">
        <v>457</v>
      </c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68"/>
      <c r="R20" s="16"/>
      <c r="S20" s="16"/>
      <c r="T20" s="16"/>
      <c r="U20" s="16"/>
      <c r="V20" s="16"/>
      <c r="W20" s="16"/>
      <c r="X20" s="16"/>
      <c r="Y20" s="16"/>
      <c r="Z20" s="45"/>
      <c r="AA20" s="63"/>
      <c r="AB20" s="63"/>
    </row>
    <row r="21" spans="1:28" ht="15.75" x14ac:dyDescent="0.25">
      <c r="A21" s="2" t="s">
        <v>27</v>
      </c>
      <c r="B21" s="146">
        <v>200</v>
      </c>
      <c r="C21" s="99"/>
      <c r="D21" s="68"/>
      <c r="E21" s="71" t="s">
        <v>228</v>
      </c>
      <c r="F21" s="44" t="s">
        <v>458</v>
      </c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68"/>
      <c r="R21" s="16"/>
      <c r="S21" s="16"/>
      <c r="T21" s="16"/>
      <c r="U21" s="16"/>
      <c r="V21" s="16"/>
      <c r="W21" s="16"/>
      <c r="X21" s="16"/>
      <c r="Y21" s="16"/>
      <c r="Z21" s="45"/>
      <c r="AA21" s="63"/>
      <c r="AB21" s="63"/>
    </row>
    <row r="22" spans="1:28" ht="15.75" x14ac:dyDescent="0.25">
      <c r="A22" s="2" t="s">
        <v>183</v>
      </c>
      <c r="B22" s="146"/>
      <c r="C22" s="99"/>
      <c r="D22" s="68"/>
      <c r="E22" s="16" t="s">
        <v>228</v>
      </c>
      <c r="F22" s="44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68"/>
      <c r="R22" s="16"/>
      <c r="S22" s="16"/>
      <c r="T22" s="16"/>
      <c r="U22" s="16"/>
      <c r="V22" s="16"/>
      <c r="W22" s="16"/>
      <c r="X22" s="16"/>
      <c r="Y22" s="16"/>
      <c r="Z22" s="45"/>
      <c r="AA22" s="63"/>
      <c r="AB22" s="63"/>
    </row>
    <row r="23" spans="1:28" ht="15.75" x14ac:dyDescent="0.25">
      <c r="A23" s="46" t="s">
        <v>28</v>
      </c>
      <c r="B23" s="145">
        <f>B24+B27</f>
        <v>0</v>
      </c>
      <c r="C23" s="99"/>
      <c r="D23" s="68"/>
      <c r="E23" s="16" t="s">
        <v>228</v>
      </c>
      <c r="F23" s="44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68"/>
      <c r="R23" s="16"/>
      <c r="S23" s="16"/>
      <c r="T23" s="16"/>
      <c r="U23" s="16"/>
      <c r="V23" s="16"/>
      <c r="W23" s="16"/>
      <c r="X23" s="16"/>
      <c r="Y23" s="16"/>
      <c r="Z23" s="45"/>
      <c r="AA23" s="63"/>
      <c r="AB23" s="63"/>
    </row>
    <row r="24" spans="1:28" ht="15.75" x14ac:dyDescent="0.25">
      <c r="A24" s="2" t="s">
        <v>29</v>
      </c>
      <c r="B24" s="145">
        <f>B25+B26</f>
        <v>0</v>
      </c>
      <c r="C24" s="99"/>
      <c r="D24" s="68"/>
      <c r="E24" s="16" t="s">
        <v>228</v>
      </c>
      <c r="F24" s="44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68"/>
      <c r="R24" s="16"/>
      <c r="S24" s="16"/>
      <c r="T24" s="16"/>
      <c r="U24" s="16"/>
      <c r="V24" s="16"/>
      <c r="W24" s="16"/>
      <c r="X24" s="16"/>
      <c r="Y24" s="16"/>
      <c r="Z24" s="45"/>
      <c r="AA24" s="63"/>
      <c r="AB24" s="63"/>
    </row>
    <row r="25" spans="1:28" ht="15.75" x14ac:dyDescent="0.25">
      <c r="A25" s="2" t="s">
        <v>30</v>
      </c>
      <c r="B25" s="146"/>
      <c r="C25" s="99"/>
      <c r="D25" s="68"/>
      <c r="E25" s="16" t="s">
        <v>228</v>
      </c>
      <c r="F25" s="44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68"/>
      <c r="R25" s="16"/>
      <c r="S25" s="16"/>
      <c r="T25" s="16"/>
      <c r="U25" s="16"/>
      <c r="V25" s="16"/>
      <c r="W25" s="16"/>
      <c r="X25" s="16"/>
      <c r="Y25" s="16"/>
      <c r="Z25" s="45"/>
      <c r="AA25" s="63"/>
      <c r="AB25" s="63"/>
    </row>
    <row r="26" spans="1:28" ht="15.75" x14ac:dyDescent="0.25">
      <c r="A26" s="2" t="s">
        <v>184</v>
      </c>
      <c r="B26" s="146"/>
      <c r="C26" s="99"/>
      <c r="D26" s="68"/>
      <c r="E26" s="16" t="s">
        <v>228</v>
      </c>
      <c r="F26" s="44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68"/>
      <c r="R26" s="16"/>
      <c r="S26" s="16"/>
      <c r="T26" s="16"/>
      <c r="U26" s="16"/>
      <c r="V26" s="16"/>
      <c r="W26" s="16"/>
      <c r="X26" s="16"/>
      <c r="Y26" s="16"/>
      <c r="Z26" s="45"/>
      <c r="AA26" s="63"/>
      <c r="AB26" s="63"/>
    </row>
    <row r="27" spans="1:28" ht="15.75" x14ac:dyDescent="0.25">
      <c r="A27" s="2" t="s">
        <v>31</v>
      </c>
      <c r="B27" s="145">
        <f>B28+B29</f>
        <v>0</v>
      </c>
      <c r="C27" s="99"/>
      <c r="D27" s="68"/>
      <c r="E27" s="16" t="s">
        <v>228</v>
      </c>
      <c r="F27" s="44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68"/>
      <c r="R27" s="16"/>
      <c r="S27" s="16"/>
      <c r="T27" s="16"/>
      <c r="U27" s="16"/>
      <c r="V27" s="16"/>
      <c r="W27" s="16"/>
      <c r="X27" s="16"/>
      <c r="Y27" s="16"/>
      <c r="Z27" s="45"/>
      <c r="AA27" s="63"/>
      <c r="AB27" s="63"/>
    </row>
    <row r="28" spans="1:28" ht="15.75" x14ac:dyDescent="0.25">
      <c r="A28" s="2" t="s">
        <v>32</v>
      </c>
      <c r="B28" s="146"/>
      <c r="C28" s="99"/>
      <c r="D28" s="68"/>
      <c r="E28" s="16" t="s">
        <v>228</v>
      </c>
      <c r="F28" s="44" t="s">
        <v>459</v>
      </c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68"/>
      <c r="R28" s="16"/>
      <c r="S28" s="16"/>
      <c r="T28" s="16"/>
      <c r="U28" s="16"/>
      <c r="V28" s="16"/>
      <c r="W28" s="16"/>
      <c r="X28" s="16"/>
      <c r="Y28" s="16"/>
      <c r="Z28" s="45"/>
      <c r="AA28" s="63"/>
      <c r="AB28" s="63"/>
    </row>
    <row r="29" spans="1:28" ht="15.75" x14ac:dyDescent="0.25">
      <c r="A29" s="2" t="s">
        <v>185</v>
      </c>
      <c r="B29" s="146"/>
      <c r="C29" s="99"/>
      <c r="D29" s="68"/>
      <c r="E29" s="16" t="s">
        <v>228</v>
      </c>
      <c r="F29" s="44" t="s">
        <v>460</v>
      </c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68"/>
      <c r="R29" s="16"/>
      <c r="S29" s="16"/>
      <c r="T29" s="16"/>
      <c r="U29" s="16"/>
      <c r="V29" s="16"/>
      <c r="W29" s="16"/>
      <c r="X29" s="16"/>
      <c r="Y29" s="16"/>
      <c r="Z29" s="45"/>
      <c r="AA29" s="63"/>
      <c r="AB29" s="63"/>
    </row>
    <row r="30" spans="1:28" ht="15.75" x14ac:dyDescent="0.25">
      <c r="A30" s="46" t="s">
        <v>33</v>
      </c>
      <c r="B30" s="145">
        <f>B31+B32</f>
        <v>0</v>
      </c>
      <c r="C30" s="99"/>
      <c r="D30" s="68"/>
      <c r="E30" s="16" t="s">
        <v>228</v>
      </c>
      <c r="F30" s="44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68"/>
      <c r="R30" s="16"/>
      <c r="S30" s="16"/>
      <c r="T30" s="16"/>
      <c r="U30" s="16"/>
      <c r="V30" s="16"/>
      <c r="W30" s="16"/>
      <c r="X30" s="16"/>
      <c r="Y30" s="16"/>
      <c r="Z30" s="45"/>
      <c r="AA30" s="63"/>
      <c r="AB30" s="63"/>
    </row>
    <row r="31" spans="1:28" ht="15.75" x14ac:dyDescent="0.25">
      <c r="A31" s="2" t="s">
        <v>34</v>
      </c>
      <c r="B31" s="146"/>
      <c r="C31" s="99"/>
      <c r="D31" s="68"/>
      <c r="E31" s="16" t="s">
        <v>228</v>
      </c>
      <c r="F31" s="44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68"/>
      <c r="R31" s="16"/>
      <c r="S31" s="16"/>
      <c r="T31" s="16"/>
      <c r="U31" s="16"/>
      <c r="V31" s="16"/>
      <c r="W31" s="16"/>
      <c r="X31" s="16"/>
      <c r="Y31" s="16"/>
      <c r="Z31" s="45"/>
      <c r="AA31" s="63"/>
      <c r="AB31" s="63"/>
    </row>
    <row r="32" spans="1:28" ht="15.75" x14ac:dyDescent="0.25">
      <c r="A32" s="2" t="s">
        <v>186</v>
      </c>
      <c r="B32" s="146"/>
      <c r="C32" s="99"/>
      <c r="D32" s="68"/>
      <c r="E32" s="16" t="s">
        <v>228</v>
      </c>
      <c r="F32" s="44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68"/>
      <c r="R32" s="16"/>
      <c r="S32" s="16"/>
      <c r="T32" s="16"/>
      <c r="U32" s="16"/>
      <c r="V32" s="16"/>
      <c r="W32" s="16"/>
      <c r="X32" s="16"/>
      <c r="Y32" s="16"/>
      <c r="Z32" s="45"/>
      <c r="AA32" s="63"/>
      <c r="AB32" s="63"/>
    </row>
    <row r="33" spans="1:28" ht="15.75" x14ac:dyDescent="0.25">
      <c r="A33" s="46" t="s">
        <v>35</v>
      </c>
      <c r="B33" s="145">
        <f>B34+B37</f>
        <v>0</v>
      </c>
      <c r="C33" s="99"/>
      <c r="D33" s="68"/>
      <c r="E33" s="16" t="s">
        <v>228</v>
      </c>
      <c r="F33" s="44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68"/>
      <c r="R33" s="16"/>
      <c r="S33" s="16"/>
      <c r="T33" s="16"/>
      <c r="U33" s="16"/>
      <c r="V33" s="16"/>
      <c r="W33" s="16"/>
      <c r="X33" s="16"/>
      <c r="Y33" s="16"/>
      <c r="Z33" s="45"/>
      <c r="AA33" s="63"/>
      <c r="AB33" s="63"/>
    </row>
    <row r="34" spans="1:28" ht="15.75" x14ac:dyDescent="0.25">
      <c r="A34" s="2" t="s">
        <v>36</v>
      </c>
      <c r="B34" s="145">
        <f>B35+B36</f>
        <v>0</v>
      </c>
      <c r="C34" s="99"/>
      <c r="D34" s="68"/>
      <c r="E34" s="16" t="s">
        <v>228</v>
      </c>
      <c r="F34" s="44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68"/>
      <c r="R34" s="16"/>
      <c r="S34" s="16"/>
      <c r="T34" s="16"/>
      <c r="U34" s="16"/>
      <c r="V34" s="16"/>
      <c r="W34" s="16"/>
      <c r="X34" s="16"/>
      <c r="Y34" s="16"/>
      <c r="Z34" s="45"/>
      <c r="AA34" s="63"/>
      <c r="AB34" s="63"/>
    </row>
    <row r="35" spans="1:28" ht="15.75" x14ac:dyDescent="0.25">
      <c r="A35" s="2" t="s">
        <v>37</v>
      </c>
      <c r="B35" s="146"/>
      <c r="C35" s="99"/>
      <c r="D35" s="68"/>
      <c r="E35" s="16" t="s">
        <v>228</v>
      </c>
      <c r="F35" s="44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68"/>
      <c r="R35" s="16"/>
      <c r="S35" s="16"/>
      <c r="T35" s="16"/>
      <c r="U35" s="16"/>
      <c r="V35" s="16"/>
      <c r="W35" s="16"/>
      <c r="X35" s="16"/>
      <c r="Y35" s="16"/>
      <c r="Z35" s="45"/>
      <c r="AA35" s="63"/>
      <c r="AB35" s="63"/>
    </row>
    <row r="36" spans="1:28" ht="15.75" x14ac:dyDescent="0.25">
      <c r="A36" s="2" t="s">
        <v>187</v>
      </c>
      <c r="B36" s="146"/>
      <c r="C36" s="99"/>
      <c r="D36" s="68"/>
      <c r="E36" s="16" t="s">
        <v>228</v>
      </c>
      <c r="F36" s="44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68"/>
      <c r="R36" s="16"/>
      <c r="S36" s="16"/>
      <c r="T36" s="16"/>
      <c r="U36" s="16"/>
      <c r="V36" s="16"/>
      <c r="W36" s="16"/>
      <c r="X36" s="16"/>
      <c r="Y36" s="16"/>
      <c r="Z36" s="45"/>
      <c r="AA36" s="63"/>
      <c r="AB36" s="63"/>
    </row>
    <row r="37" spans="1:28" ht="15.75" x14ac:dyDescent="0.25">
      <c r="A37" s="2" t="s">
        <v>38</v>
      </c>
      <c r="B37" s="145">
        <f>B38+B39</f>
        <v>0</v>
      </c>
      <c r="C37" s="99"/>
      <c r="D37" s="67"/>
      <c r="E37" s="70" t="s">
        <v>228</v>
      </c>
      <c r="F37" s="72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67"/>
      <c r="R37" s="16"/>
      <c r="S37" s="16"/>
      <c r="T37" s="16"/>
      <c r="U37" s="16"/>
      <c r="V37" s="16"/>
      <c r="W37" s="16"/>
      <c r="X37" s="16"/>
      <c r="Y37" s="16"/>
      <c r="Z37" s="45"/>
      <c r="AA37" s="63"/>
      <c r="AB37" s="63"/>
    </row>
    <row r="38" spans="1:28" ht="15.75" x14ac:dyDescent="0.25">
      <c r="A38" s="2" t="s">
        <v>39</v>
      </c>
      <c r="B38" s="146"/>
      <c r="C38" s="99"/>
      <c r="D38" s="68"/>
      <c r="E38" s="71" t="s">
        <v>228</v>
      </c>
      <c r="F38" s="44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68"/>
      <c r="R38" s="16"/>
      <c r="S38" s="16"/>
      <c r="T38" s="16"/>
      <c r="U38" s="16"/>
      <c r="V38" s="16"/>
      <c r="W38" s="16"/>
      <c r="X38" s="16"/>
      <c r="Y38" s="16"/>
      <c r="Z38" s="45"/>
      <c r="AA38" s="63"/>
      <c r="AB38" s="63"/>
    </row>
    <row r="39" spans="1:28" ht="15.75" x14ac:dyDescent="0.25">
      <c r="A39" s="2" t="s">
        <v>188</v>
      </c>
      <c r="B39" s="146"/>
      <c r="C39" s="99"/>
      <c r="D39" s="68"/>
      <c r="E39" s="71" t="s">
        <v>228</v>
      </c>
      <c r="F39" s="44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68"/>
      <c r="R39" s="16"/>
      <c r="S39" s="16"/>
      <c r="T39" s="16"/>
      <c r="U39" s="16"/>
      <c r="V39" s="16"/>
      <c r="W39" s="16"/>
      <c r="X39" s="16"/>
      <c r="Y39" s="16"/>
      <c r="Z39" s="45"/>
      <c r="AA39" s="63"/>
      <c r="AB39" s="63"/>
    </row>
    <row r="40" spans="1:28" ht="15.75" x14ac:dyDescent="0.25">
      <c r="A40" s="46" t="s">
        <v>279</v>
      </c>
      <c r="B40" s="145">
        <f>B41+B42</f>
        <v>0</v>
      </c>
      <c r="C40" s="99"/>
      <c r="D40" s="68"/>
      <c r="E40" s="71" t="s">
        <v>228</v>
      </c>
      <c r="F40" s="44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68"/>
      <c r="R40" s="16"/>
      <c r="S40" s="16"/>
      <c r="T40" s="16"/>
      <c r="U40" s="16"/>
      <c r="V40" s="16"/>
      <c r="W40" s="16"/>
      <c r="X40" s="16"/>
      <c r="Y40" s="16"/>
      <c r="Z40" s="45"/>
      <c r="AA40" s="63"/>
      <c r="AB40" s="63"/>
    </row>
    <row r="41" spans="1:28" ht="15.75" x14ac:dyDescent="0.25">
      <c r="A41" s="2" t="s">
        <v>317</v>
      </c>
      <c r="B41" s="146"/>
      <c r="C41" s="99"/>
      <c r="D41" s="68"/>
      <c r="E41" s="16" t="s">
        <v>228</v>
      </c>
      <c r="F41" s="44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68"/>
      <c r="R41" s="16"/>
      <c r="S41" s="16"/>
      <c r="T41" s="16"/>
      <c r="U41" s="16"/>
      <c r="V41" s="16"/>
      <c r="W41" s="16"/>
      <c r="X41" s="16"/>
      <c r="Y41" s="16"/>
      <c r="Z41" s="45"/>
      <c r="AA41" s="63"/>
      <c r="AB41" s="63"/>
    </row>
    <row r="42" spans="1:28" ht="15.75" x14ac:dyDescent="0.25">
      <c r="A42" s="2" t="s">
        <v>318</v>
      </c>
      <c r="B42" s="146"/>
      <c r="C42" s="99"/>
      <c r="D42" s="68"/>
      <c r="E42" s="16" t="s">
        <v>228</v>
      </c>
      <c r="F42" s="44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68"/>
      <c r="R42" s="16"/>
      <c r="S42" s="16"/>
      <c r="T42" s="16"/>
      <c r="U42" s="16"/>
      <c r="V42" s="16"/>
      <c r="W42" s="16"/>
      <c r="X42" s="16"/>
      <c r="Y42" s="16"/>
      <c r="Z42" s="45"/>
      <c r="AA42" s="63"/>
      <c r="AB42" s="63"/>
    </row>
    <row r="43" spans="1:28" ht="15.75" x14ac:dyDescent="0.25">
      <c r="A43" s="46" t="s">
        <v>314</v>
      </c>
      <c r="B43" s="145">
        <f>B44+B45</f>
        <v>0</v>
      </c>
      <c r="C43" s="99"/>
      <c r="D43" s="68"/>
      <c r="E43" s="16" t="s">
        <v>228</v>
      </c>
      <c r="F43" s="44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68"/>
      <c r="R43" s="16"/>
      <c r="S43" s="16"/>
      <c r="T43" s="16"/>
      <c r="U43" s="16"/>
      <c r="V43" s="16"/>
      <c r="W43" s="16"/>
      <c r="X43" s="16"/>
      <c r="Y43" s="16"/>
      <c r="Z43" s="45"/>
      <c r="AA43" s="63"/>
      <c r="AB43" s="63"/>
    </row>
    <row r="44" spans="1:28" ht="15.75" x14ac:dyDescent="0.25">
      <c r="A44" s="2" t="s">
        <v>315</v>
      </c>
      <c r="B44" s="146"/>
      <c r="C44" s="99"/>
      <c r="D44" s="68"/>
      <c r="E44" s="16" t="s">
        <v>228</v>
      </c>
      <c r="F44" s="44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68"/>
      <c r="R44" s="16"/>
      <c r="S44" s="16"/>
      <c r="T44" s="16"/>
      <c r="U44" s="16"/>
      <c r="V44" s="16"/>
      <c r="W44" s="16"/>
      <c r="X44" s="16"/>
      <c r="Y44" s="16"/>
      <c r="Z44" s="45"/>
      <c r="AA44" s="63"/>
      <c r="AB44" s="63"/>
    </row>
    <row r="45" spans="1:28" ht="15.75" x14ac:dyDescent="0.25">
      <c r="A45" s="2" t="s">
        <v>316</v>
      </c>
      <c r="B45" s="146"/>
      <c r="C45" s="99"/>
      <c r="D45" s="68"/>
      <c r="E45" s="16" t="s">
        <v>228</v>
      </c>
      <c r="F45" s="44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68"/>
      <c r="R45" s="16"/>
      <c r="S45" s="16"/>
      <c r="T45" s="16"/>
      <c r="U45" s="16"/>
      <c r="V45" s="16"/>
      <c r="W45" s="16"/>
      <c r="X45" s="16"/>
      <c r="Y45" s="16"/>
      <c r="Z45" s="45"/>
      <c r="AA45" s="63"/>
      <c r="AB45" s="63"/>
    </row>
    <row r="46" spans="1:28" ht="15.75" x14ac:dyDescent="0.25">
      <c r="A46" s="46" t="s">
        <v>280</v>
      </c>
      <c r="B46" s="146"/>
      <c r="C46" s="99"/>
      <c r="D46" s="68"/>
      <c r="E46" s="16" t="s">
        <v>228</v>
      </c>
      <c r="F46" s="44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68"/>
      <c r="R46" s="16"/>
      <c r="S46" s="16"/>
      <c r="T46" s="16"/>
      <c r="U46" s="16"/>
      <c r="V46" s="16"/>
      <c r="W46" s="16"/>
      <c r="X46" s="16"/>
      <c r="Y46" s="16"/>
      <c r="Z46" s="45"/>
      <c r="AA46" s="63"/>
      <c r="AB46" s="63"/>
    </row>
    <row r="47" spans="1:28" ht="15.75" x14ac:dyDescent="0.25">
      <c r="A47" s="47" t="s">
        <v>40</v>
      </c>
      <c r="B47" s="145">
        <f>B48+B55+B58+B61+B68+B71+B74+B77+B80</f>
        <v>304</v>
      </c>
      <c r="C47" s="99"/>
      <c r="D47" s="68"/>
      <c r="E47" s="16" t="s">
        <v>228</v>
      </c>
      <c r="F47" s="44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68"/>
      <c r="R47" s="16"/>
      <c r="S47" s="16"/>
      <c r="T47" s="16"/>
      <c r="U47" s="16"/>
      <c r="V47" s="16"/>
      <c r="W47" s="16"/>
      <c r="X47" s="16"/>
      <c r="Y47" s="16"/>
      <c r="Z47" s="45"/>
      <c r="AA47" s="63"/>
      <c r="AB47" s="63"/>
    </row>
    <row r="48" spans="1:28" ht="15.75" x14ac:dyDescent="0.25">
      <c r="A48" s="46" t="s">
        <v>5</v>
      </c>
      <c r="B48" s="145">
        <f>B49+B52</f>
        <v>304</v>
      </c>
      <c r="C48" s="99"/>
      <c r="D48" s="68"/>
      <c r="E48" s="16" t="s">
        <v>228</v>
      </c>
      <c r="F48" s="44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68"/>
      <c r="R48" s="16"/>
      <c r="S48" s="16"/>
      <c r="T48" s="16"/>
      <c r="U48" s="16"/>
      <c r="V48" s="16"/>
      <c r="W48" s="16"/>
      <c r="X48" s="16"/>
      <c r="Y48" s="16"/>
      <c r="Z48" s="45"/>
      <c r="AA48" s="63"/>
      <c r="AB48" s="63"/>
    </row>
    <row r="49" spans="1:28" ht="15.75" x14ac:dyDescent="0.25">
      <c r="A49" s="2" t="s">
        <v>274</v>
      </c>
      <c r="B49" s="145">
        <f>B50+B51</f>
        <v>304</v>
      </c>
      <c r="C49" s="99"/>
      <c r="D49" s="68"/>
      <c r="E49" s="16" t="s">
        <v>228</v>
      </c>
      <c r="F49" s="44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68"/>
      <c r="R49" s="16"/>
      <c r="S49" s="16"/>
      <c r="T49" s="16"/>
      <c r="U49" s="16"/>
      <c r="V49" s="16"/>
      <c r="W49" s="16"/>
      <c r="X49" s="16"/>
      <c r="Y49" s="16"/>
      <c r="Z49" s="45"/>
      <c r="AA49" s="63"/>
      <c r="AB49" s="63"/>
    </row>
    <row r="50" spans="1:28" ht="15.75" x14ac:dyDescent="0.25">
      <c r="A50" s="2" t="s">
        <v>277</v>
      </c>
      <c r="B50" s="146">
        <v>179</v>
      </c>
      <c r="C50" s="99"/>
      <c r="D50" s="68"/>
      <c r="E50" s="16" t="s">
        <v>228</v>
      </c>
      <c r="F50" s="44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68"/>
      <c r="R50" s="16"/>
      <c r="S50" s="16"/>
      <c r="T50" s="16"/>
      <c r="U50" s="16"/>
      <c r="V50" s="16"/>
      <c r="W50" s="16"/>
      <c r="X50" s="16"/>
      <c r="Y50" s="16"/>
      <c r="Z50" s="45"/>
      <c r="AA50" s="63"/>
      <c r="AB50" s="63"/>
    </row>
    <row r="51" spans="1:28" ht="15.75" x14ac:dyDescent="0.25">
      <c r="A51" s="2" t="s">
        <v>278</v>
      </c>
      <c r="B51" s="146">
        <v>125</v>
      </c>
      <c r="C51" s="99"/>
      <c r="D51" s="68"/>
      <c r="E51" s="16" t="s">
        <v>228</v>
      </c>
      <c r="F51" s="160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68"/>
      <c r="R51" s="16"/>
      <c r="S51" s="16"/>
      <c r="T51" s="16"/>
      <c r="U51" s="16"/>
      <c r="V51" s="16"/>
      <c r="W51" s="16"/>
      <c r="X51" s="16"/>
      <c r="Y51" s="16"/>
      <c r="Z51" s="45"/>
      <c r="AA51" s="63"/>
      <c r="AB51" s="63"/>
    </row>
    <row r="52" spans="1:28" ht="15.75" x14ac:dyDescent="0.25">
      <c r="A52" s="2" t="s">
        <v>6</v>
      </c>
      <c r="B52" s="145">
        <f>B53+B54</f>
        <v>0</v>
      </c>
      <c r="C52" s="99"/>
      <c r="D52" s="68"/>
      <c r="E52" s="16" t="s">
        <v>228</v>
      </c>
      <c r="F52" s="44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68"/>
      <c r="R52" s="16"/>
      <c r="S52" s="16"/>
      <c r="T52" s="16"/>
      <c r="U52" s="16"/>
      <c r="V52" s="16"/>
      <c r="W52" s="16"/>
      <c r="X52" s="16"/>
      <c r="Y52" s="16"/>
      <c r="Z52" s="45"/>
      <c r="AA52" s="63"/>
      <c r="AB52" s="63"/>
    </row>
    <row r="53" spans="1:28" ht="15.75" x14ac:dyDescent="0.25">
      <c r="A53" s="2" t="s">
        <v>275</v>
      </c>
      <c r="B53" s="146"/>
      <c r="C53" s="99"/>
      <c r="D53" s="68"/>
      <c r="E53" s="16" t="s">
        <v>228</v>
      </c>
      <c r="F53" s="44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68"/>
      <c r="R53" s="16"/>
      <c r="S53" s="16"/>
      <c r="T53" s="16"/>
      <c r="U53" s="16"/>
      <c r="V53" s="16"/>
      <c r="W53" s="16"/>
      <c r="X53" s="16"/>
      <c r="Y53" s="16"/>
      <c r="Z53" s="45"/>
      <c r="AA53" s="63"/>
      <c r="AB53" s="63"/>
    </row>
    <row r="54" spans="1:28" ht="15.75" x14ac:dyDescent="0.25">
      <c r="A54" s="2" t="s">
        <v>276</v>
      </c>
      <c r="B54" s="146"/>
      <c r="C54" s="99"/>
      <c r="D54" s="68"/>
      <c r="E54" s="16" t="s">
        <v>228</v>
      </c>
      <c r="F54" s="44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68"/>
      <c r="R54" s="16"/>
      <c r="S54" s="16"/>
      <c r="T54" s="16"/>
      <c r="U54" s="16"/>
      <c r="V54" s="16"/>
      <c r="W54" s="16"/>
      <c r="X54" s="16"/>
      <c r="Y54" s="16"/>
      <c r="Z54" s="45"/>
      <c r="AA54" s="63"/>
      <c r="AB54" s="63"/>
    </row>
    <row r="55" spans="1:28" ht="15.75" x14ac:dyDescent="0.25">
      <c r="A55" s="46" t="s">
        <v>41</v>
      </c>
      <c r="B55" s="145">
        <f>B56+B57</f>
        <v>0</v>
      </c>
      <c r="C55" s="99"/>
      <c r="D55" s="68"/>
      <c r="E55" s="16" t="s">
        <v>228</v>
      </c>
      <c r="F55" s="44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68"/>
      <c r="R55" s="16"/>
      <c r="S55" s="16"/>
      <c r="T55" s="16"/>
      <c r="U55" s="16"/>
      <c r="V55" s="16"/>
      <c r="W55" s="16"/>
      <c r="X55" s="16"/>
      <c r="Y55" s="16"/>
      <c r="Z55" s="45"/>
      <c r="AA55" s="63"/>
      <c r="AB55" s="63"/>
    </row>
    <row r="56" spans="1:28" ht="15.75" x14ac:dyDescent="0.25">
      <c r="A56" s="2" t="s">
        <v>42</v>
      </c>
      <c r="B56" s="146"/>
      <c r="C56" s="99"/>
      <c r="D56" s="67"/>
      <c r="E56" s="70" t="s">
        <v>228</v>
      </c>
      <c r="F56" s="72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67"/>
      <c r="R56" s="16"/>
      <c r="S56" s="16"/>
      <c r="T56" s="16"/>
      <c r="U56" s="16"/>
      <c r="V56" s="16"/>
      <c r="W56" s="16"/>
      <c r="X56" s="16"/>
      <c r="Y56" s="16"/>
      <c r="Z56" s="45"/>
      <c r="AA56" s="63"/>
      <c r="AB56" s="63"/>
    </row>
    <row r="57" spans="1:28" ht="15.75" x14ac:dyDescent="0.25">
      <c r="A57" s="2" t="s">
        <v>189</v>
      </c>
      <c r="B57" s="146"/>
      <c r="C57" s="99"/>
      <c r="D57" s="68"/>
      <c r="E57" s="71" t="s">
        <v>228</v>
      </c>
      <c r="F57" s="44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68"/>
      <c r="R57" s="16"/>
      <c r="S57" s="16"/>
      <c r="T57" s="16"/>
      <c r="U57" s="16"/>
      <c r="V57" s="16"/>
      <c r="W57" s="16"/>
      <c r="X57" s="16"/>
      <c r="Y57" s="16"/>
      <c r="Z57" s="45"/>
      <c r="AA57" s="63"/>
      <c r="AB57" s="63"/>
    </row>
    <row r="58" spans="1:28" ht="15.75" x14ac:dyDescent="0.25">
      <c r="A58" s="46" t="s">
        <v>43</v>
      </c>
      <c r="B58" s="145">
        <f>B59+B60</f>
        <v>0</v>
      </c>
      <c r="C58" s="99"/>
      <c r="D58" s="68"/>
      <c r="E58" s="71" t="s">
        <v>228</v>
      </c>
      <c r="F58" s="44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68"/>
      <c r="R58" s="16"/>
      <c r="S58" s="16"/>
      <c r="T58" s="16"/>
      <c r="U58" s="16"/>
      <c r="V58" s="16"/>
      <c r="W58" s="16"/>
      <c r="X58" s="16"/>
      <c r="Y58" s="16"/>
      <c r="Z58" s="45"/>
      <c r="AA58" s="63"/>
      <c r="AB58" s="63"/>
    </row>
    <row r="59" spans="1:28" ht="15.75" x14ac:dyDescent="0.25">
      <c r="A59" s="2" t="s">
        <v>44</v>
      </c>
      <c r="B59" s="146"/>
      <c r="C59" s="99"/>
      <c r="D59" s="68"/>
      <c r="E59" s="71" t="s">
        <v>228</v>
      </c>
      <c r="F59" s="44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68"/>
      <c r="R59" s="16"/>
      <c r="S59" s="16"/>
      <c r="T59" s="16"/>
      <c r="U59" s="16"/>
      <c r="V59" s="16"/>
      <c r="W59" s="16"/>
      <c r="X59" s="16"/>
      <c r="Y59" s="16"/>
      <c r="Z59" s="45"/>
      <c r="AA59" s="63"/>
      <c r="AB59" s="63"/>
    </row>
    <row r="60" spans="1:28" ht="15.75" x14ac:dyDescent="0.25">
      <c r="A60" s="2" t="s">
        <v>190</v>
      </c>
      <c r="B60" s="146"/>
      <c r="C60" s="99"/>
      <c r="D60" s="68"/>
      <c r="E60" s="16" t="s">
        <v>228</v>
      </c>
      <c r="F60" s="44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68"/>
      <c r="R60" s="16"/>
      <c r="S60" s="16"/>
      <c r="T60" s="16"/>
      <c r="U60" s="16"/>
      <c r="V60" s="16"/>
      <c r="W60" s="16"/>
      <c r="X60" s="16"/>
      <c r="Y60" s="16"/>
      <c r="Z60" s="45"/>
      <c r="AA60" s="63"/>
      <c r="AB60" s="63"/>
    </row>
    <row r="61" spans="1:28" ht="15.75" x14ac:dyDescent="0.25">
      <c r="A61" s="46" t="s">
        <v>7</v>
      </c>
      <c r="B61" s="145">
        <f>B62+B65</f>
        <v>0</v>
      </c>
      <c r="C61" s="99"/>
      <c r="D61" s="68"/>
      <c r="E61" s="16" t="s">
        <v>228</v>
      </c>
      <c r="F61" s="44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68"/>
      <c r="R61" s="16"/>
      <c r="S61" s="16"/>
      <c r="T61" s="16"/>
      <c r="U61" s="16"/>
      <c r="V61" s="16"/>
      <c r="W61" s="16"/>
      <c r="X61" s="16"/>
      <c r="Y61" s="16"/>
      <c r="Z61" s="45"/>
      <c r="AA61" s="63"/>
      <c r="AB61" s="63"/>
    </row>
    <row r="62" spans="1:28" ht="15.75" x14ac:dyDescent="0.25">
      <c r="A62" s="2" t="s">
        <v>45</v>
      </c>
      <c r="B62" s="145">
        <f>B63+B64</f>
        <v>0</v>
      </c>
      <c r="C62" s="99"/>
      <c r="D62" s="68"/>
      <c r="E62" s="16" t="s">
        <v>228</v>
      </c>
      <c r="F62" s="44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68"/>
      <c r="R62" s="16"/>
      <c r="S62" s="16"/>
      <c r="T62" s="16"/>
      <c r="U62" s="16"/>
      <c r="V62" s="16"/>
      <c r="W62" s="16"/>
      <c r="X62" s="16"/>
      <c r="Y62" s="16"/>
      <c r="Z62" s="45"/>
      <c r="AA62" s="63"/>
      <c r="AB62" s="63"/>
    </row>
    <row r="63" spans="1:28" ht="15.75" x14ac:dyDescent="0.25">
      <c r="A63" s="2" t="s">
        <v>46</v>
      </c>
      <c r="B63" s="146"/>
      <c r="C63" s="99"/>
      <c r="D63" s="68"/>
      <c r="E63" s="16" t="s">
        <v>228</v>
      </c>
      <c r="F63" s="44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68"/>
      <c r="R63" s="16"/>
      <c r="S63" s="16"/>
      <c r="T63" s="16"/>
      <c r="U63" s="16"/>
      <c r="V63" s="16"/>
      <c r="W63" s="16"/>
      <c r="X63" s="16"/>
      <c r="Y63" s="16"/>
      <c r="Z63" s="45"/>
      <c r="AA63" s="63"/>
      <c r="AB63" s="63"/>
    </row>
    <row r="64" spans="1:28" ht="15.75" x14ac:dyDescent="0.25">
      <c r="A64" s="2" t="s">
        <v>191</v>
      </c>
      <c r="B64" s="146"/>
      <c r="C64" s="99"/>
      <c r="D64" s="68"/>
      <c r="E64" s="16" t="s">
        <v>228</v>
      </c>
      <c r="F64" s="44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68"/>
      <c r="R64" s="16"/>
      <c r="S64" s="16"/>
      <c r="T64" s="16"/>
      <c r="U64" s="16"/>
      <c r="V64" s="16"/>
      <c r="W64" s="16"/>
      <c r="X64" s="16"/>
      <c r="Y64" s="16"/>
      <c r="Z64" s="45"/>
      <c r="AA64" s="63"/>
      <c r="AB64" s="63"/>
    </row>
    <row r="65" spans="1:28" ht="15.75" x14ac:dyDescent="0.25">
      <c r="A65" s="2" t="s">
        <v>47</v>
      </c>
      <c r="B65" s="145">
        <f>B66+B67</f>
        <v>0</v>
      </c>
      <c r="C65" s="99"/>
      <c r="D65" s="68"/>
      <c r="E65" s="16" t="s">
        <v>228</v>
      </c>
      <c r="F65" s="44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68"/>
      <c r="R65" s="16"/>
      <c r="S65" s="16"/>
      <c r="T65" s="16"/>
      <c r="U65" s="16"/>
      <c r="V65" s="16"/>
      <c r="W65" s="16"/>
      <c r="X65" s="16"/>
      <c r="Y65" s="16"/>
      <c r="Z65" s="45"/>
      <c r="AA65" s="63"/>
      <c r="AB65" s="63"/>
    </row>
    <row r="66" spans="1:28" ht="15.75" x14ac:dyDescent="0.25">
      <c r="A66" s="2" t="s">
        <v>48</v>
      </c>
      <c r="B66" s="146"/>
      <c r="C66" s="99"/>
      <c r="D66" s="68"/>
      <c r="E66" s="16" t="s">
        <v>228</v>
      </c>
      <c r="F66" s="44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68"/>
      <c r="R66" s="16"/>
      <c r="S66" s="16"/>
      <c r="T66" s="16"/>
      <c r="U66" s="16"/>
      <c r="V66" s="16"/>
      <c r="W66" s="16"/>
      <c r="X66" s="16"/>
      <c r="Y66" s="16"/>
      <c r="Z66" s="45"/>
      <c r="AA66" s="63"/>
      <c r="AB66" s="63"/>
    </row>
    <row r="67" spans="1:28" ht="15.75" x14ac:dyDescent="0.25">
      <c r="A67" s="2" t="s">
        <v>192</v>
      </c>
      <c r="B67" s="146"/>
      <c r="C67" s="99"/>
      <c r="D67" s="68"/>
      <c r="E67" s="16" t="s">
        <v>228</v>
      </c>
      <c r="F67" s="44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68"/>
      <c r="R67" s="16"/>
      <c r="S67" s="16"/>
      <c r="T67" s="16"/>
      <c r="U67" s="16"/>
      <c r="V67" s="16"/>
      <c r="W67" s="16"/>
      <c r="X67" s="16"/>
      <c r="Y67" s="16"/>
      <c r="Z67" s="45"/>
      <c r="AA67" s="63"/>
      <c r="AB67" s="63"/>
    </row>
    <row r="68" spans="1:28" ht="15.75" x14ac:dyDescent="0.25">
      <c r="A68" s="46" t="s">
        <v>49</v>
      </c>
      <c r="B68" s="145">
        <f>B69+B70</f>
        <v>0</v>
      </c>
      <c r="C68" s="99"/>
      <c r="D68" s="68"/>
      <c r="E68" s="16" t="s">
        <v>228</v>
      </c>
      <c r="F68" s="44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68"/>
      <c r="R68" s="16"/>
      <c r="S68" s="16"/>
      <c r="T68" s="16"/>
      <c r="U68" s="16"/>
      <c r="V68" s="16"/>
      <c r="W68" s="16"/>
      <c r="X68" s="16"/>
      <c r="Y68" s="16"/>
      <c r="Z68" s="45"/>
      <c r="AA68" s="63"/>
      <c r="AB68" s="63"/>
    </row>
    <row r="69" spans="1:28" ht="15.75" x14ac:dyDescent="0.25">
      <c r="A69" s="2" t="s">
        <v>50</v>
      </c>
      <c r="B69" s="146"/>
      <c r="C69" s="99"/>
      <c r="D69" s="68"/>
      <c r="E69" s="16" t="s">
        <v>228</v>
      </c>
      <c r="F69" s="44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68"/>
      <c r="R69" s="16"/>
      <c r="S69" s="16"/>
      <c r="T69" s="16"/>
      <c r="U69" s="16"/>
      <c r="V69" s="16"/>
      <c r="W69" s="16"/>
      <c r="X69" s="16"/>
      <c r="Y69" s="16"/>
      <c r="Z69" s="45"/>
      <c r="AA69" s="63"/>
      <c r="AB69" s="63"/>
    </row>
    <row r="70" spans="1:28" ht="15.75" x14ac:dyDescent="0.25">
      <c r="A70" s="2" t="s">
        <v>193</v>
      </c>
      <c r="B70" s="146"/>
      <c r="C70" s="99"/>
      <c r="D70" s="68"/>
      <c r="E70" s="16" t="s">
        <v>228</v>
      </c>
      <c r="F70" s="44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68"/>
      <c r="R70" s="16"/>
      <c r="S70" s="16"/>
      <c r="T70" s="16"/>
      <c r="U70" s="16"/>
      <c r="V70" s="16"/>
      <c r="W70" s="16"/>
      <c r="X70" s="16"/>
      <c r="Y70" s="16"/>
      <c r="Z70" s="45"/>
      <c r="AA70" s="63"/>
      <c r="AB70" s="63"/>
    </row>
    <row r="71" spans="1:28" ht="15.75" x14ac:dyDescent="0.25">
      <c r="A71" s="46" t="s">
        <v>51</v>
      </c>
      <c r="B71" s="145">
        <f>B72+B73</f>
        <v>0</v>
      </c>
      <c r="C71" s="99"/>
      <c r="D71" s="68"/>
      <c r="E71" s="16" t="s">
        <v>228</v>
      </c>
      <c r="F71" s="44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68"/>
      <c r="R71" s="16"/>
      <c r="S71" s="16"/>
      <c r="T71" s="16"/>
      <c r="U71" s="16"/>
      <c r="V71" s="16"/>
      <c r="W71" s="16"/>
      <c r="X71" s="16"/>
      <c r="Y71" s="16"/>
      <c r="Z71" s="45"/>
      <c r="AA71" s="63"/>
      <c r="AB71" s="63"/>
    </row>
    <row r="72" spans="1:28" ht="15.75" x14ac:dyDescent="0.25">
      <c r="A72" s="2" t="s">
        <v>52</v>
      </c>
      <c r="B72" s="146"/>
      <c r="C72" s="99"/>
      <c r="D72" s="68"/>
      <c r="E72" s="16" t="s">
        <v>228</v>
      </c>
      <c r="F72" s="44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68"/>
      <c r="R72" s="16"/>
      <c r="S72" s="16"/>
      <c r="T72" s="16"/>
      <c r="U72" s="16"/>
      <c r="V72" s="16"/>
      <c r="W72" s="16"/>
      <c r="X72" s="16"/>
      <c r="Y72" s="16"/>
      <c r="Z72" s="45"/>
      <c r="AA72" s="63"/>
      <c r="AB72" s="63"/>
    </row>
    <row r="73" spans="1:28" ht="15.75" x14ac:dyDescent="0.25">
      <c r="A73" s="2" t="s">
        <v>194</v>
      </c>
      <c r="B73" s="146"/>
      <c r="C73" s="99"/>
      <c r="D73" s="68"/>
      <c r="E73" s="16" t="s">
        <v>228</v>
      </c>
      <c r="F73" s="44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68"/>
      <c r="R73" s="16"/>
      <c r="S73" s="16"/>
      <c r="T73" s="16"/>
      <c r="U73" s="16"/>
      <c r="V73" s="16"/>
      <c r="W73" s="16"/>
      <c r="X73" s="16"/>
      <c r="Y73" s="16"/>
      <c r="Z73" s="45"/>
      <c r="AA73" s="63"/>
      <c r="AB73" s="63"/>
    </row>
    <row r="74" spans="1:28" ht="15.75" x14ac:dyDescent="0.25">
      <c r="A74" s="46" t="s">
        <v>53</v>
      </c>
      <c r="B74" s="145">
        <f>B75+B76</f>
        <v>0</v>
      </c>
      <c r="C74" s="99"/>
      <c r="D74" s="68"/>
      <c r="E74" s="16" t="s">
        <v>228</v>
      </c>
      <c r="F74" s="160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68"/>
      <c r="R74" s="16"/>
      <c r="S74" s="16"/>
      <c r="T74" s="16"/>
      <c r="U74" s="16"/>
      <c r="V74" s="16"/>
      <c r="W74" s="16"/>
      <c r="X74" s="16"/>
      <c r="Y74" s="16"/>
      <c r="Z74" s="45"/>
      <c r="AA74" s="63"/>
      <c r="AB74" s="63"/>
    </row>
    <row r="75" spans="1:28" ht="15.75" x14ac:dyDescent="0.25">
      <c r="A75" s="2" t="s">
        <v>54</v>
      </c>
      <c r="B75" s="146"/>
      <c r="C75" s="99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16"/>
      <c r="S75" s="16"/>
      <c r="T75" s="16"/>
      <c r="U75" s="16"/>
      <c r="V75" s="16"/>
      <c r="W75" s="16"/>
      <c r="X75" s="16"/>
      <c r="Y75" s="16"/>
      <c r="Z75" s="45"/>
      <c r="AA75" s="63"/>
      <c r="AB75" s="63"/>
    </row>
    <row r="76" spans="1:28" ht="15.75" x14ac:dyDescent="0.25">
      <c r="A76" s="2" t="s">
        <v>195</v>
      </c>
      <c r="B76" s="146"/>
      <c r="C76" s="99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45"/>
      <c r="AA76" s="63"/>
      <c r="AB76" s="63"/>
    </row>
    <row r="77" spans="1:28" ht="15.75" x14ac:dyDescent="0.25">
      <c r="A77" s="46" t="s">
        <v>319</v>
      </c>
      <c r="B77" s="145">
        <f>B78+B79</f>
        <v>0</v>
      </c>
      <c r="C77" s="99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45"/>
      <c r="AA77" s="63"/>
      <c r="AB77" s="63"/>
    </row>
    <row r="78" spans="1:28" ht="15.75" x14ac:dyDescent="0.25">
      <c r="A78" s="2" t="s">
        <v>72</v>
      </c>
      <c r="B78" s="146"/>
      <c r="C78" s="99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45"/>
      <c r="AA78" s="63"/>
      <c r="AB78" s="63"/>
    </row>
    <row r="79" spans="1:28" ht="15.75" x14ac:dyDescent="0.25">
      <c r="A79" s="55" t="s">
        <v>196</v>
      </c>
      <c r="B79" s="146"/>
      <c r="C79" s="99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45"/>
      <c r="AA79" s="63"/>
      <c r="AB79" s="63"/>
    </row>
    <row r="80" spans="1:28" ht="15.75" x14ac:dyDescent="0.25">
      <c r="A80" s="46" t="s">
        <v>271</v>
      </c>
      <c r="B80" s="145">
        <f>B81+B82</f>
        <v>0</v>
      </c>
      <c r="C80" s="99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45"/>
      <c r="AA80" s="63"/>
      <c r="AB80" s="63"/>
    </row>
    <row r="81" spans="1:28" ht="15.75" x14ac:dyDescent="0.25">
      <c r="A81" s="2" t="s">
        <v>272</v>
      </c>
      <c r="B81" s="146"/>
      <c r="C81" s="99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45"/>
      <c r="AA81" s="63"/>
      <c r="AB81" s="63"/>
    </row>
    <row r="82" spans="1:28" ht="15.75" x14ac:dyDescent="0.25">
      <c r="A82" s="55" t="s">
        <v>273</v>
      </c>
      <c r="B82" s="146">
        <v>0</v>
      </c>
      <c r="C82" s="99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45"/>
      <c r="AA82" s="63"/>
      <c r="AB82" s="63"/>
    </row>
    <row r="83" spans="1:28" ht="15.75" x14ac:dyDescent="0.25">
      <c r="A83" s="56" t="s">
        <v>55</v>
      </c>
      <c r="B83" s="145">
        <f>B84+B97+B100+B103+B110+B113+B116+B119</f>
        <v>22</v>
      </c>
      <c r="C83" s="99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45"/>
      <c r="AA83" s="63"/>
      <c r="AB83" s="63"/>
    </row>
    <row r="84" spans="1:28" ht="15.75" x14ac:dyDescent="0.25">
      <c r="A84" s="57" t="s">
        <v>56</v>
      </c>
      <c r="B84" s="145">
        <f>B85+B88+B91+B94</f>
        <v>22</v>
      </c>
      <c r="C84" s="99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45"/>
      <c r="AA84" s="63"/>
      <c r="AB84" s="63"/>
    </row>
    <row r="85" spans="1:28" ht="15.75" x14ac:dyDescent="0.25">
      <c r="A85" s="55" t="s">
        <v>57</v>
      </c>
      <c r="B85" s="145">
        <f>B86+B87</f>
        <v>22</v>
      </c>
      <c r="C85" s="99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45"/>
      <c r="AA85" s="63"/>
      <c r="AB85" s="63"/>
    </row>
    <row r="86" spans="1:28" ht="15.75" x14ac:dyDescent="0.25">
      <c r="A86" s="55" t="s">
        <v>58</v>
      </c>
      <c r="B86" s="146">
        <v>14</v>
      </c>
      <c r="C86" s="99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45"/>
      <c r="AA86" s="63"/>
      <c r="AB86" s="63"/>
    </row>
    <row r="87" spans="1:28" ht="15.75" x14ac:dyDescent="0.25">
      <c r="A87" s="55" t="s">
        <v>197</v>
      </c>
      <c r="B87" s="146">
        <v>8</v>
      </c>
      <c r="C87" s="99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45"/>
      <c r="AA87" s="63"/>
      <c r="AB87" s="63"/>
    </row>
    <row r="88" spans="1:28" ht="15.75" x14ac:dyDescent="0.25">
      <c r="A88" s="55" t="s">
        <v>237</v>
      </c>
      <c r="B88" s="145">
        <f>B89+B90</f>
        <v>0</v>
      </c>
      <c r="C88" s="99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45"/>
      <c r="AA88" s="63"/>
      <c r="AB88" s="63"/>
    </row>
    <row r="89" spans="1:28" ht="15.75" x14ac:dyDescent="0.25">
      <c r="A89" s="55" t="s">
        <v>59</v>
      </c>
      <c r="B89" s="146"/>
      <c r="C89" s="99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45"/>
      <c r="AA89" s="63"/>
      <c r="AB89" s="63"/>
    </row>
    <row r="90" spans="1:28" ht="15.75" x14ac:dyDescent="0.25">
      <c r="A90" s="55" t="s">
        <v>198</v>
      </c>
      <c r="B90" s="146"/>
      <c r="C90" s="99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45"/>
      <c r="AA90" s="63"/>
      <c r="AB90" s="63"/>
    </row>
    <row r="91" spans="1:28" ht="15.75" x14ac:dyDescent="0.25">
      <c r="A91" s="55" t="s">
        <v>60</v>
      </c>
      <c r="B91" s="145">
        <f>B92+B93</f>
        <v>0</v>
      </c>
      <c r="C91" s="99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45"/>
      <c r="AA91" s="63"/>
      <c r="AB91" s="63"/>
    </row>
    <row r="92" spans="1:28" ht="15.75" x14ac:dyDescent="0.25">
      <c r="A92" s="55" t="s">
        <v>61</v>
      </c>
      <c r="B92" s="146"/>
      <c r="C92" s="99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45"/>
      <c r="AA92" s="63"/>
      <c r="AB92" s="63"/>
    </row>
    <row r="93" spans="1:28" ht="15.75" x14ac:dyDescent="0.25">
      <c r="A93" s="55" t="s">
        <v>199</v>
      </c>
      <c r="B93" s="146"/>
      <c r="C93" s="99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45"/>
      <c r="AA93" s="63"/>
      <c r="AB93" s="63"/>
    </row>
    <row r="94" spans="1:28" ht="15.75" x14ac:dyDescent="0.25">
      <c r="A94" s="55" t="s">
        <v>62</v>
      </c>
      <c r="B94" s="145">
        <f>B95+B96</f>
        <v>0</v>
      </c>
      <c r="C94" s="99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45"/>
      <c r="AA94" s="63"/>
      <c r="AB94" s="63"/>
    </row>
    <row r="95" spans="1:28" ht="15.75" x14ac:dyDescent="0.25">
      <c r="A95" s="55" t="s">
        <v>63</v>
      </c>
      <c r="B95" s="146"/>
      <c r="C95" s="99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45"/>
      <c r="AA95" s="63"/>
      <c r="AB95" s="63"/>
    </row>
    <row r="96" spans="1:28" ht="15.75" x14ac:dyDescent="0.25">
      <c r="A96" s="55" t="s">
        <v>200</v>
      </c>
      <c r="B96" s="146"/>
      <c r="C96" s="99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45"/>
      <c r="AA96" s="63"/>
      <c r="AB96" s="63"/>
    </row>
    <row r="97" spans="1:28" ht="15.75" x14ac:dyDescent="0.25">
      <c r="A97" s="57" t="s">
        <v>64</v>
      </c>
      <c r="B97" s="145">
        <f>B98+B99</f>
        <v>0</v>
      </c>
      <c r="C97" s="99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45"/>
      <c r="AA97" s="63"/>
      <c r="AB97" s="63"/>
    </row>
    <row r="98" spans="1:28" ht="15.75" x14ac:dyDescent="0.25">
      <c r="A98" s="55" t="s">
        <v>65</v>
      </c>
      <c r="B98" s="146"/>
      <c r="C98" s="99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45"/>
      <c r="AA98" s="63"/>
      <c r="AB98" s="63"/>
    </row>
    <row r="99" spans="1:28" ht="15.75" x14ac:dyDescent="0.25">
      <c r="A99" s="55" t="s">
        <v>201</v>
      </c>
      <c r="B99" s="146"/>
      <c r="C99" s="99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45"/>
      <c r="AA99" s="63"/>
      <c r="AB99" s="63"/>
    </row>
    <row r="100" spans="1:28" ht="15.75" x14ac:dyDescent="0.25">
      <c r="A100" s="57" t="s">
        <v>66</v>
      </c>
      <c r="B100" s="145">
        <f>B101+B102</f>
        <v>0</v>
      </c>
      <c r="C100" s="99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45"/>
      <c r="AA100" s="63"/>
      <c r="AB100" s="63"/>
    </row>
    <row r="101" spans="1:28" ht="15.75" x14ac:dyDescent="0.25">
      <c r="A101" s="55" t="s">
        <v>67</v>
      </c>
      <c r="B101" s="146"/>
      <c r="C101" s="99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45"/>
      <c r="AA101" s="63"/>
      <c r="AB101" s="63"/>
    </row>
    <row r="102" spans="1:28" ht="15.75" x14ac:dyDescent="0.25">
      <c r="A102" s="55" t="s">
        <v>202</v>
      </c>
      <c r="B102" s="146"/>
      <c r="C102" s="99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45"/>
      <c r="AA102" s="63"/>
      <c r="AB102" s="63"/>
    </row>
    <row r="103" spans="1:28" ht="15.75" x14ac:dyDescent="0.25">
      <c r="A103" s="57" t="s">
        <v>68</v>
      </c>
      <c r="B103" s="145">
        <f>B104+B107</f>
        <v>0</v>
      </c>
      <c r="C103" s="99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45"/>
      <c r="AA103" s="63"/>
      <c r="AB103" s="63"/>
    </row>
    <row r="104" spans="1:28" ht="15.75" x14ac:dyDescent="0.25">
      <c r="A104" s="55" t="s">
        <v>238</v>
      </c>
      <c r="B104" s="145">
        <f>B105+B106</f>
        <v>0</v>
      </c>
      <c r="C104" s="99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45"/>
      <c r="AA104" s="63"/>
      <c r="AB104" s="63"/>
    </row>
    <row r="105" spans="1:28" ht="15.75" x14ac:dyDescent="0.25">
      <c r="A105" s="2" t="s">
        <v>239</v>
      </c>
      <c r="B105" s="146"/>
      <c r="C105" s="99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45"/>
      <c r="AA105" s="63"/>
      <c r="AB105" s="63"/>
    </row>
    <row r="106" spans="1:28" ht="15.75" x14ac:dyDescent="0.25">
      <c r="A106" s="2" t="s">
        <v>240</v>
      </c>
      <c r="B106" s="146"/>
      <c r="C106" s="99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45"/>
      <c r="AA106" s="63"/>
      <c r="AB106" s="63"/>
    </row>
    <row r="107" spans="1:28" ht="15.75" x14ac:dyDescent="0.25">
      <c r="A107" s="2" t="s">
        <v>241</v>
      </c>
      <c r="B107" s="145">
        <f>B108+B109</f>
        <v>0</v>
      </c>
      <c r="C107" s="99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45"/>
      <c r="AA107" s="63"/>
      <c r="AB107" s="63"/>
    </row>
    <row r="108" spans="1:28" ht="15.75" x14ac:dyDescent="0.25">
      <c r="A108" s="2" t="s">
        <v>242</v>
      </c>
      <c r="B108" s="146"/>
      <c r="C108" s="99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45"/>
      <c r="AA108" s="63"/>
      <c r="AB108" s="63"/>
    </row>
    <row r="109" spans="1:28" ht="15.75" x14ac:dyDescent="0.25">
      <c r="A109" s="55" t="s">
        <v>243</v>
      </c>
      <c r="B109" s="146"/>
      <c r="C109" s="99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45"/>
      <c r="AA109" s="63"/>
      <c r="AB109" s="63"/>
    </row>
    <row r="110" spans="1:28" ht="15.75" x14ac:dyDescent="0.25">
      <c r="A110" s="57" t="s">
        <v>69</v>
      </c>
      <c r="B110" s="145">
        <f>B111+B112</f>
        <v>0</v>
      </c>
      <c r="C110" s="99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45"/>
      <c r="AA110" s="63"/>
      <c r="AB110" s="63"/>
    </row>
    <row r="111" spans="1:28" ht="15.75" x14ac:dyDescent="0.25">
      <c r="A111" s="55" t="s">
        <v>244</v>
      </c>
      <c r="B111" s="146"/>
      <c r="C111" s="99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45"/>
      <c r="AA111" s="63"/>
      <c r="AB111" s="63"/>
    </row>
    <row r="112" spans="1:28" ht="15.75" x14ac:dyDescent="0.25">
      <c r="A112" s="55" t="s">
        <v>245</v>
      </c>
      <c r="B112" s="146"/>
      <c r="C112" s="99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45"/>
      <c r="AA112" s="63"/>
      <c r="AB112" s="63"/>
    </row>
    <row r="113" spans="1:28" ht="15.75" x14ac:dyDescent="0.25">
      <c r="A113" s="57" t="s">
        <v>70</v>
      </c>
      <c r="B113" s="145">
        <f>B114+B115</f>
        <v>0</v>
      </c>
      <c r="C113" s="99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45"/>
      <c r="AA113" s="63"/>
      <c r="AB113" s="63"/>
    </row>
    <row r="114" spans="1:28" ht="15.75" x14ac:dyDescent="0.25">
      <c r="A114" s="55" t="s">
        <v>246</v>
      </c>
      <c r="B114" s="146"/>
      <c r="C114" s="99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45"/>
      <c r="AA114" s="63"/>
      <c r="AB114" s="63"/>
    </row>
    <row r="115" spans="1:28" ht="15.75" x14ac:dyDescent="0.25">
      <c r="A115" s="55" t="s">
        <v>247</v>
      </c>
      <c r="B115" s="146"/>
      <c r="C115" s="99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45"/>
      <c r="AA115" s="63"/>
      <c r="AB115" s="63"/>
    </row>
    <row r="116" spans="1:28" ht="15.75" x14ac:dyDescent="0.25">
      <c r="A116" s="57" t="s">
        <v>71</v>
      </c>
      <c r="B116" s="145">
        <f>B117+B118</f>
        <v>0</v>
      </c>
      <c r="C116" s="99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45"/>
      <c r="AA116" s="63"/>
      <c r="AB116" s="63"/>
    </row>
    <row r="117" spans="1:28" ht="15.75" x14ac:dyDescent="0.25">
      <c r="A117" s="55" t="s">
        <v>248</v>
      </c>
      <c r="B117" s="146"/>
      <c r="C117" s="99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45"/>
      <c r="AA117" s="63"/>
      <c r="AB117" s="63"/>
    </row>
    <row r="118" spans="1:28" ht="15.75" x14ac:dyDescent="0.25">
      <c r="A118" s="55" t="s">
        <v>249</v>
      </c>
      <c r="B118" s="146"/>
      <c r="C118" s="99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45"/>
      <c r="AA118" s="63"/>
      <c r="AB118" s="63"/>
    </row>
    <row r="119" spans="1:28" ht="15.75" x14ac:dyDescent="0.25">
      <c r="A119" s="57" t="s">
        <v>320</v>
      </c>
      <c r="B119" s="145">
        <f>B120+B121</f>
        <v>0</v>
      </c>
      <c r="C119" s="99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45"/>
      <c r="AA119" s="63"/>
      <c r="AB119" s="63"/>
    </row>
    <row r="120" spans="1:28" ht="15.75" x14ac:dyDescent="0.25">
      <c r="A120" s="55" t="s">
        <v>250</v>
      </c>
      <c r="B120" s="146"/>
      <c r="C120" s="99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45"/>
      <c r="AA120" s="63"/>
      <c r="AB120" s="63"/>
    </row>
    <row r="121" spans="1:28" ht="15.75" x14ac:dyDescent="0.25">
      <c r="A121" s="55" t="s">
        <v>251</v>
      </c>
      <c r="B121" s="146"/>
      <c r="C121" s="99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45"/>
      <c r="AA121" s="63"/>
      <c r="AB121" s="63"/>
    </row>
    <row r="122" spans="1:28" ht="15.75" x14ac:dyDescent="0.25">
      <c r="A122" s="57" t="s">
        <v>270</v>
      </c>
      <c r="B122" s="146">
        <v>0</v>
      </c>
      <c r="C122" s="99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45"/>
      <c r="AA122" s="63"/>
      <c r="AB122" s="63"/>
    </row>
    <row r="123" spans="1:28" ht="15.75" x14ac:dyDescent="0.25">
      <c r="A123" s="56" t="s">
        <v>73</v>
      </c>
      <c r="B123" s="145">
        <f>B124+B146+B153+B156+B160+B163+B166+B169+B172</f>
        <v>22</v>
      </c>
      <c r="C123" s="99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45"/>
      <c r="AA123" s="63"/>
      <c r="AB123" s="63"/>
    </row>
    <row r="124" spans="1:28" ht="15.75" x14ac:dyDescent="0.25">
      <c r="A124" s="57" t="s">
        <v>8</v>
      </c>
      <c r="B124" s="145">
        <f>B125+B132+B135+B139</f>
        <v>22</v>
      </c>
      <c r="C124" s="99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45"/>
      <c r="AA124" s="63"/>
      <c r="AB124" s="63"/>
    </row>
    <row r="125" spans="1:28" ht="15.75" x14ac:dyDescent="0.25">
      <c r="A125" s="55" t="s">
        <v>9</v>
      </c>
      <c r="B125" s="145">
        <f>B126+B129</f>
        <v>22</v>
      </c>
      <c r="C125" s="99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45"/>
      <c r="AA125" s="63"/>
      <c r="AB125" s="63"/>
    </row>
    <row r="126" spans="1:28" ht="15.75" x14ac:dyDescent="0.25">
      <c r="A126" s="55" t="s">
        <v>264</v>
      </c>
      <c r="B126" s="145">
        <f>B127+B128</f>
        <v>22</v>
      </c>
      <c r="C126" s="99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45"/>
      <c r="AA126" s="63"/>
      <c r="AB126" s="63"/>
    </row>
    <row r="127" spans="1:28" ht="15.75" x14ac:dyDescent="0.25">
      <c r="A127" s="55" t="s">
        <v>265</v>
      </c>
      <c r="B127" s="146">
        <v>14</v>
      </c>
      <c r="C127" s="99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45"/>
      <c r="AA127" s="63"/>
      <c r="AB127" s="63"/>
    </row>
    <row r="128" spans="1:28" ht="15.75" x14ac:dyDescent="0.25">
      <c r="A128" s="55" t="s">
        <v>266</v>
      </c>
      <c r="B128" s="146">
        <v>8</v>
      </c>
      <c r="C128" s="99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45"/>
      <c r="AA128" s="63"/>
      <c r="AB128" s="63"/>
    </row>
    <row r="129" spans="1:28" ht="15.75" x14ac:dyDescent="0.25">
      <c r="A129" s="55" t="s">
        <v>267</v>
      </c>
      <c r="B129" s="145">
        <f>B130+B131</f>
        <v>0</v>
      </c>
      <c r="C129" s="99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45"/>
      <c r="AA129" s="63"/>
      <c r="AB129" s="63"/>
    </row>
    <row r="130" spans="1:28" ht="15.75" x14ac:dyDescent="0.25">
      <c r="A130" s="55" t="s">
        <v>268</v>
      </c>
      <c r="B130" s="146"/>
      <c r="C130" s="99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45"/>
      <c r="AA130" s="63"/>
      <c r="AB130" s="63"/>
    </row>
    <row r="131" spans="1:28" ht="15.75" x14ac:dyDescent="0.25">
      <c r="A131" s="55" t="s">
        <v>269</v>
      </c>
      <c r="B131" s="146"/>
      <c r="C131" s="99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45"/>
      <c r="AA131" s="63"/>
      <c r="AB131" s="63"/>
    </row>
    <row r="132" spans="1:28" ht="15.75" x14ac:dyDescent="0.25">
      <c r="A132" s="55" t="s">
        <v>10</v>
      </c>
      <c r="B132" s="145">
        <f>B133+B134</f>
        <v>0</v>
      </c>
      <c r="C132" s="99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45"/>
      <c r="AA132" s="63"/>
      <c r="AB132" s="63"/>
    </row>
    <row r="133" spans="1:28" ht="15.75" x14ac:dyDescent="0.25">
      <c r="A133" s="55" t="s">
        <v>74</v>
      </c>
      <c r="B133" s="146"/>
      <c r="C133" s="99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45"/>
      <c r="AA133" s="63"/>
      <c r="AB133" s="63"/>
    </row>
    <row r="134" spans="1:28" ht="15.75" x14ac:dyDescent="0.25">
      <c r="A134" s="55" t="s">
        <v>203</v>
      </c>
      <c r="B134" s="146"/>
      <c r="C134" s="99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45"/>
      <c r="AA134" s="63"/>
      <c r="AB134" s="63"/>
    </row>
    <row r="135" spans="1:28" ht="15.75" x14ac:dyDescent="0.25">
      <c r="A135" s="55" t="s">
        <v>11</v>
      </c>
      <c r="B135" s="145">
        <f>B136+B137</f>
        <v>0</v>
      </c>
      <c r="C135" s="99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45"/>
      <c r="AA135" s="63"/>
      <c r="AB135" s="63"/>
    </row>
    <row r="136" spans="1:28" ht="15.75" x14ac:dyDescent="0.25">
      <c r="A136" s="55" t="s">
        <v>75</v>
      </c>
      <c r="B136" s="146"/>
      <c r="C136" s="99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45"/>
      <c r="AA136" s="63"/>
      <c r="AB136" s="63"/>
    </row>
    <row r="137" spans="1:28" ht="15.75" x14ac:dyDescent="0.25">
      <c r="A137" s="55" t="s">
        <v>204</v>
      </c>
      <c r="B137" s="146"/>
      <c r="C137" s="99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45"/>
      <c r="AA137" s="63"/>
      <c r="AB137" s="63"/>
    </row>
    <row r="138" spans="1:28" ht="15.75" x14ac:dyDescent="0.25">
      <c r="A138" s="55" t="s">
        <v>321</v>
      </c>
      <c r="B138" s="148"/>
      <c r="C138" s="99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45"/>
      <c r="AA138" s="63"/>
      <c r="AB138" s="63"/>
    </row>
    <row r="139" spans="1:28" ht="15.75" x14ac:dyDescent="0.25">
      <c r="A139" s="55" t="s">
        <v>322</v>
      </c>
      <c r="B139" s="145">
        <f>B140+B143</f>
        <v>0</v>
      </c>
      <c r="C139" s="99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45"/>
      <c r="AA139" s="63"/>
      <c r="AB139" s="63"/>
    </row>
    <row r="140" spans="1:28" ht="15.75" x14ac:dyDescent="0.25">
      <c r="A140" s="55" t="s">
        <v>150</v>
      </c>
      <c r="B140" s="145">
        <f>B141+B142</f>
        <v>0</v>
      </c>
      <c r="C140" s="99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45"/>
      <c r="AA140" s="63"/>
      <c r="AB140" s="63"/>
    </row>
    <row r="141" spans="1:28" ht="15.75" x14ac:dyDescent="0.25">
      <c r="A141" s="55" t="s">
        <v>151</v>
      </c>
      <c r="B141" s="146"/>
      <c r="C141" s="99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45"/>
      <c r="AA141" s="63"/>
      <c r="AB141" s="63"/>
    </row>
    <row r="142" spans="1:28" ht="15.75" x14ac:dyDescent="0.25">
      <c r="A142" s="55" t="s">
        <v>252</v>
      </c>
      <c r="B142" s="146"/>
      <c r="C142" s="99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45"/>
      <c r="AA142" s="63"/>
      <c r="AB142" s="63"/>
    </row>
    <row r="143" spans="1:28" ht="15.75" x14ac:dyDescent="0.25">
      <c r="A143" s="55" t="s">
        <v>152</v>
      </c>
      <c r="B143" s="145">
        <f>B144+B145</f>
        <v>0</v>
      </c>
      <c r="C143" s="99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45"/>
      <c r="AA143" s="63"/>
      <c r="AB143" s="63"/>
    </row>
    <row r="144" spans="1:28" ht="15.75" x14ac:dyDescent="0.25">
      <c r="A144" s="55" t="s">
        <v>153</v>
      </c>
      <c r="B144" s="146"/>
      <c r="C144" s="99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45"/>
      <c r="AA144" s="63"/>
      <c r="AB144" s="63"/>
    </row>
    <row r="145" spans="1:28" ht="15.75" x14ac:dyDescent="0.25">
      <c r="A145" s="55" t="s">
        <v>205</v>
      </c>
      <c r="B145" s="146"/>
      <c r="C145" s="99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45"/>
      <c r="AA145" s="63"/>
      <c r="AB145" s="63"/>
    </row>
    <row r="146" spans="1:28" ht="15.75" x14ac:dyDescent="0.25">
      <c r="A146" s="57" t="s">
        <v>76</v>
      </c>
      <c r="B146" s="145">
        <f>B147+B150</f>
        <v>0</v>
      </c>
      <c r="C146" s="99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45"/>
      <c r="AA146" s="63"/>
      <c r="AB146" s="63"/>
    </row>
    <row r="147" spans="1:28" ht="15.75" x14ac:dyDescent="0.25">
      <c r="A147" s="2" t="s">
        <v>77</v>
      </c>
      <c r="B147" s="145">
        <f>B148+B149</f>
        <v>0</v>
      </c>
      <c r="C147" s="99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45"/>
      <c r="AA147" s="63"/>
      <c r="AB147" s="63"/>
    </row>
    <row r="148" spans="1:28" ht="15.75" x14ac:dyDescent="0.25">
      <c r="A148" s="2" t="s">
        <v>78</v>
      </c>
      <c r="B148" s="146"/>
      <c r="C148" s="99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45"/>
      <c r="AA148" s="63"/>
      <c r="AB148" s="63"/>
    </row>
    <row r="149" spans="1:28" ht="15.75" x14ac:dyDescent="0.25">
      <c r="A149" s="2" t="s">
        <v>206</v>
      </c>
      <c r="B149" s="146"/>
      <c r="C149" s="99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45"/>
      <c r="AA149" s="63"/>
      <c r="AB149" s="63"/>
    </row>
    <row r="150" spans="1:28" ht="15.75" x14ac:dyDescent="0.25">
      <c r="A150" s="2" t="s">
        <v>79</v>
      </c>
      <c r="B150" s="145">
        <f>B151+B152</f>
        <v>0</v>
      </c>
      <c r="C150" s="99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45"/>
      <c r="AA150" s="63"/>
      <c r="AB150" s="63"/>
    </row>
    <row r="151" spans="1:28" ht="15.75" x14ac:dyDescent="0.25">
      <c r="A151" s="2" t="s">
        <v>80</v>
      </c>
      <c r="B151" s="146"/>
      <c r="C151" s="99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45"/>
      <c r="AA151" s="63"/>
      <c r="AB151" s="63"/>
    </row>
    <row r="152" spans="1:28" ht="15.75" x14ac:dyDescent="0.25">
      <c r="A152" s="55" t="s">
        <v>207</v>
      </c>
      <c r="B152" s="146"/>
      <c r="C152" s="99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45"/>
      <c r="AA152" s="63"/>
      <c r="AB152" s="63"/>
    </row>
    <row r="153" spans="1:28" ht="15.75" x14ac:dyDescent="0.25">
      <c r="A153" s="57" t="s">
        <v>81</v>
      </c>
      <c r="B153" s="145">
        <f>B154+B155</f>
        <v>0</v>
      </c>
      <c r="C153" s="99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45"/>
      <c r="AA153" s="63"/>
      <c r="AB153" s="63"/>
    </row>
    <row r="154" spans="1:28" ht="15.75" x14ac:dyDescent="0.25">
      <c r="A154" s="55" t="s">
        <v>82</v>
      </c>
      <c r="B154" s="146"/>
      <c r="C154" s="99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45"/>
      <c r="AA154" s="63"/>
      <c r="AB154" s="63"/>
    </row>
    <row r="155" spans="1:28" ht="15.75" x14ac:dyDescent="0.25">
      <c r="A155" s="55" t="s">
        <v>208</v>
      </c>
      <c r="B155" s="146"/>
      <c r="C155" s="99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45"/>
      <c r="AA155" s="63"/>
      <c r="AB155" s="63"/>
    </row>
    <row r="156" spans="1:28" ht="15.75" x14ac:dyDescent="0.25">
      <c r="A156" s="57" t="s">
        <v>12</v>
      </c>
      <c r="B156" s="145">
        <f>B157</f>
        <v>0</v>
      </c>
      <c r="C156" s="99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45"/>
      <c r="AA156" s="63"/>
      <c r="AB156" s="63"/>
    </row>
    <row r="157" spans="1:28" ht="15.75" x14ac:dyDescent="0.25">
      <c r="A157" s="55" t="s">
        <v>83</v>
      </c>
      <c r="B157" s="145">
        <f>B158+B159</f>
        <v>0</v>
      </c>
      <c r="C157" s="99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45"/>
      <c r="AA157" s="63"/>
      <c r="AB157" s="63"/>
    </row>
    <row r="158" spans="1:28" ht="15.75" x14ac:dyDescent="0.25">
      <c r="A158" s="2" t="s">
        <v>84</v>
      </c>
      <c r="B158" s="146"/>
      <c r="C158" s="99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45"/>
      <c r="AA158" s="63"/>
      <c r="AB158" s="63"/>
    </row>
    <row r="159" spans="1:28" ht="15.75" x14ac:dyDescent="0.25">
      <c r="A159" s="2" t="s">
        <v>209</v>
      </c>
      <c r="B159" s="146"/>
      <c r="C159" s="99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45"/>
      <c r="AA159" s="63"/>
      <c r="AB159" s="63"/>
    </row>
    <row r="160" spans="1:28" ht="15.75" x14ac:dyDescent="0.25">
      <c r="A160" s="57" t="s">
        <v>233</v>
      </c>
      <c r="B160" s="145">
        <f>B161+B162</f>
        <v>0</v>
      </c>
      <c r="C160" s="99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45"/>
      <c r="AA160" s="63"/>
      <c r="AB160" s="63"/>
    </row>
    <row r="161" spans="1:28" ht="15.75" x14ac:dyDescent="0.25">
      <c r="A161" s="55" t="s">
        <v>281</v>
      </c>
      <c r="B161" s="146"/>
      <c r="C161" s="99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45"/>
      <c r="AA161" s="63"/>
      <c r="AB161" s="63"/>
    </row>
    <row r="162" spans="1:28" ht="15.75" x14ac:dyDescent="0.25">
      <c r="A162" s="55" t="s">
        <v>282</v>
      </c>
      <c r="B162" s="146"/>
      <c r="C162" s="99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45"/>
      <c r="AA162" s="63"/>
      <c r="AB162" s="63"/>
    </row>
    <row r="163" spans="1:28" ht="15.75" x14ac:dyDescent="0.25">
      <c r="A163" s="57" t="s">
        <v>13</v>
      </c>
      <c r="B163" s="145">
        <f>B164+B165</f>
        <v>0</v>
      </c>
      <c r="C163" s="99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45"/>
      <c r="AA163" s="63"/>
      <c r="AB163" s="63"/>
    </row>
    <row r="164" spans="1:28" ht="15.75" x14ac:dyDescent="0.25">
      <c r="A164" s="55" t="s">
        <v>85</v>
      </c>
      <c r="B164" s="146"/>
      <c r="C164" s="99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45"/>
      <c r="AA164" s="63"/>
      <c r="AB164" s="63"/>
    </row>
    <row r="165" spans="1:28" ht="15.75" x14ac:dyDescent="0.25">
      <c r="A165" s="55" t="s">
        <v>210</v>
      </c>
      <c r="B165" s="146"/>
      <c r="C165" s="99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45"/>
      <c r="AA165" s="63"/>
      <c r="AB165" s="63"/>
    </row>
    <row r="166" spans="1:28" ht="15.75" x14ac:dyDescent="0.25">
      <c r="A166" s="57" t="s">
        <v>14</v>
      </c>
      <c r="B166" s="145">
        <f>B167+B168</f>
        <v>0</v>
      </c>
      <c r="C166" s="99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45"/>
      <c r="AA166" s="63"/>
      <c r="AB166" s="63"/>
    </row>
    <row r="167" spans="1:28" ht="15.75" x14ac:dyDescent="0.25">
      <c r="A167" s="55" t="s">
        <v>253</v>
      </c>
      <c r="B167" s="146"/>
      <c r="C167" s="99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45"/>
      <c r="AA167" s="63"/>
      <c r="AB167" s="63"/>
    </row>
    <row r="168" spans="1:28" ht="15.75" x14ac:dyDescent="0.25">
      <c r="A168" s="55" t="s">
        <v>254</v>
      </c>
      <c r="B168" s="146"/>
      <c r="C168" s="99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45"/>
      <c r="AA168" s="63"/>
      <c r="AB168" s="63"/>
    </row>
    <row r="169" spans="1:28" ht="15.75" x14ac:dyDescent="0.25">
      <c r="A169" s="57" t="s">
        <v>323</v>
      </c>
      <c r="B169" s="145">
        <f>B170+B171</f>
        <v>0</v>
      </c>
      <c r="C169" s="99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45"/>
      <c r="AA169" s="63"/>
      <c r="AB169" s="63"/>
    </row>
    <row r="170" spans="1:28" ht="15.75" x14ac:dyDescent="0.25">
      <c r="A170" s="55" t="s">
        <v>255</v>
      </c>
      <c r="B170" s="146"/>
      <c r="C170" s="99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45"/>
      <c r="AA170" s="63"/>
      <c r="AB170" s="63"/>
    </row>
    <row r="171" spans="1:28" ht="15.75" x14ac:dyDescent="0.25">
      <c r="A171" s="55" t="s">
        <v>256</v>
      </c>
      <c r="B171" s="146"/>
      <c r="C171" s="99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45"/>
      <c r="AA171" s="63"/>
      <c r="AB171" s="63"/>
    </row>
    <row r="172" spans="1:28" ht="15.75" x14ac:dyDescent="0.25">
      <c r="A172" s="57" t="s">
        <v>234</v>
      </c>
      <c r="B172" s="145">
        <f>B174+B173</f>
        <v>0</v>
      </c>
      <c r="C172" s="99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45"/>
      <c r="AA172" s="63"/>
      <c r="AB172" s="63"/>
    </row>
    <row r="173" spans="1:28" ht="15.75" x14ac:dyDescent="0.25">
      <c r="A173" s="55" t="s">
        <v>235</v>
      </c>
      <c r="B173" s="147"/>
      <c r="C173" s="99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45"/>
      <c r="AA173" s="63"/>
      <c r="AB173" s="63"/>
    </row>
    <row r="174" spans="1:28" ht="15.75" x14ac:dyDescent="0.25">
      <c r="A174" s="55" t="s">
        <v>236</v>
      </c>
      <c r="B174" s="146"/>
      <c r="C174" s="99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45"/>
      <c r="AA174" s="63"/>
      <c r="AB174" s="63"/>
    </row>
    <row r="175" spans="1:28" ht="15.75" x14ac:dyDescent="0.25">
      <c r="A175" s="62" t="s">
        <v>86</v>
      </c>
      <c r="B175" s="148"/>
      <c r="C175" s="99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45"/>
      <c r="AA175" s="63"/>
      <c r="AB175" s="63"/>
    </row>
    <row r="176" spans="1:28" ht="15.75" x14ac:dyDescent="0.25">
      <c r="A176" s="81" t="s">
        <v>87</v>
      </c>
      <c r="B176" s="145">
        <f>B178+B177</f>
        <v>0</v>
      </c>
      <c r="C176" s="99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45"/>
      <c r="AA176" s="63"/>
      <c r="AB176" s="63"/>
    </row>
    <row r="177" spans="1:28" ht="15.75" x14ac:dyDescent="0.25">
      <c r="A177" s="55" t="s">
        <v>257</v>
      </c>
      <c r="B177" s="146"/>
      <c r="C177" s="99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45"/>
      <c r="AA177" s="63"/>
      <c r="AB177" s="63"/>
    </row>
    <row r="178" spans="1:28" ht="15.75" x14ac:dyDescent="0.25">
      <c r="A178" s="55" t="s">
        <v>258</v>
      </c>
      <c r="B178" s="146"/>
      <c r="C178" s="99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45"/>
      <c r="AA178" s="63"/>
      <c r="AB178" s="63"/>
    </row>
    <row r="179" spans="1:28" ht="15.75" x14ac:dyDescent="0.25">
      <c r="A179" s="62" t="s">
        <v>88</v>
      </c>
      <c r="B179" s="146"/>
      <c r="C179" s="99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45"/>
      <c r="AA179" s="63"/>
      <c r="AB179" s="63"/>
    </row>
    <row r="180" spans="1:28" ht="15.75" x14ac:dyDescent="0.25">
      <c r="A180" s="81" t="s">
        <v>15</v>
      </c>
      <c r="B180" s="145">
        <f>B181+B182</f>
        <v>0</v>
      </c>
      <c r="C180" s="99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45"/>
      <c r="AA180" s="63"/>
      <c r="AB180" s="63"/>
    </row>
    <row r="181" spans="1:28" ht="15.75" x14ac:dyDescent="0.25">
      <c r="A181" s="55" t="s">
        <v>16</v>
      </c>
      <c r="B181" s="146"/>
      <c r="C181" s="99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45"/>
      <c r="AA181" s="63"/>
      <c r="AB181" s="63"/>
    </row>
    <row r="182" spans="1:28" ht="15.75" x14ac:dyDescent="0.25">
      <c r="A182" s="55" t="s">
        <v>211</v>
      </c>
      <c r="B182" s="146"/>
      <c r="C182" s="99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45"/>
      <c r="AA182" s="63"/>
      <c r="AB182" s="63"/>
    </row>
    <row r="183" spans="1:28" ht="15.75" x14ac:dyDescent="0.25">
      <c r="A183" s="62" t="s">
        <v>124</v>
      </c>
      <c r="B183" s="146"/>
      <c r="C183" s="99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45"/>
      <c r="AA183" s="63"/>
      <c r="AB183" s="63"/>
    </row>
    <row r="184" spans="1:28" ht="15.75" x14ac:dyDescent="0.25">
      <c r="A184" s="62" t="s">
        <v>89</v>
      </c>
      <c r="B184" s="146"/>
      <c r="C184" s="99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45"/>
      <c r="AA184" s="63"/>
      <c r="AB184" s="63"/>
    </row>
    <row r="185" spans="1:28" ht="15.75" x14ac:dyDescent="0.25">
      <c r="A185" s="62" t="s">
        <v>285</v>
      </c>
      <c r="B185" s="159"/>
      <c r="C185" s="99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45"/>
      <c r="AA185" s="63"/>
      <c r="AB185" s="63"/>
    </row>
    <row r="186" spans="1:28" ht="15.75" x14ac:dyDescent="0.25">
      <c r="A186" s="81" t="s">
        <v>434</v>
      </c>
      <c r="B186" s="145">
        <f>B187</f>
        <v>0</v>
      </c>
      <c r="C186" s="99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45"/>
      <c r="AA186" s="63"/>
      <c r="AB186" s="63"/>
    </row>
    <row r="187" spans="1:28" ht="15.75" x14ac:dyDescent="0.25">
      <c r="A187" s="55" t="s">
        <v>435</v>
      </c>
      <c r="B187" s="146"/>
      <c r="C187" s="99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45"/>
      <c r="AA187" s="63"/>
      <c r="AB187" s="63"/>
    </row>
    <row r="188" spans="1:28" ht="15.75" x14ac:dyDescent="0.25">
      <c r="A188" s="81" t="s">
        <v>436</v>
      </c>
      <c r="B188" s="145">
        <f>SUM(B189:B191)</f>
        <v>0</v>
      </c>
      <c r="C188" s="99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45"/>
      <c r="AA188" s="63"/>
      <c r="AB188" s="63"/>
    </row>
    <row r="189" spans="1:28" ht="15.75" x14ac:dyDescent="0.25">
      <c r="A189" s="55" t="s">
        <v>324</v>
      </c>
      <c r="B189" s="146"/>
      <c r="C189" s="99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45"/>
      <c r="AA189" s="63"/>
      <c r="AB189" s="63"/>
    </row>
    <row r="190" spans="1:28" ht="15.75" x14ac:dyDescent="0.25">
      <c r="A190" s="55" t="s">
        <v>437</v>
      </c>
      <c r="B190" s="146"/>
      <c r="C190" s="99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45"/>
      <c r="AA190" s="63"/>
      <c r="AB190" s="63"/>
    </row>
    <row r="191" spans="1:28" ht="15.75" x14ac:dyDescent="0.25">
      <c r="A191" s="55" t="s">
        <v>438</v>
      </c>
      <c r="B191" s="146"/>
      <c r="C191" s="99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45"/>
      <c r="AA191" s="63"/>
      <c r="AB191" s="63"/>
    </row>
    <row r="192" spans="1:28" ht="15.75" x14ac:dyDescent="0.25">
      <c r="A192" s="81" t="s">
        <v>439</v>
      </c>
      <c r="B192" s="145">
        <f>SUM(B193:B195)</f>
        <v>0</v>
      </c>
      <c r="C192" s="99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45"/>
      <c r="AA192" s="63"/>
      <c r="AB192" s="63"/>
    </row>
    <row r="193" spans="1:28" ht="15.75" x14ac:dyDescent="0.25">
      <c r="A193" s="55" t="s">
        <v>440</v>
      </c>
      <c r="B193" s="146"/>
      <c r="C193" s="99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45"/>
      <c r="AA193" s="63"/>
      <c r="AB193" s="63"/>
    </row>
    <row r="194" spans="1:28" ht="15.75" x14ac:dyDescent="0.25">
      <c r="A194" s="55" t="s">
        <v>441</v>
      </c>
      <c r="B194" s="146"/>
      <c r="C194" s="99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45"/>
      <c r="AA194" s="63"/>
      <c r="AB194" s="63"/>
    </row>
    <row r="195" spans="1:28" ht="15.75" x14ac:dyDescent="0.25">
      <c r="A195" s="55" t="s">
        <v>442</v>
      </c>
      <c r="B195" s="146"/>
      <c r="C195" s="99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45"/>
      <c r="AA195" s="63"/>
      <c r="AB195" s="63"/>
    </row>
    <row r="196" spans="1:28" ht="15.75" x14ac:dyDescent="0.25">
      <c r="A196" s="62" t="s">
        <v>90</v>
      </c>
      <c r="B196" s="145"/>
      <c r="C196" s="99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45"/>
      <c r="AA196" s="63"/>
      <c r="AB196" s="63"/>
    </row>
    <row r="197" spans="1:28" ht="15.75" x14ac:dyDescent="0.25">
      <c r="A197" s="57" t="s">
        <v>91</v>
      </c>
      <c r="B197" s="145">
        <f>B198+B199+B200</f>
        <v>0</v>
      </c>
      <c r="C197" s="99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45"/>
      <c r="AA197" s="63"/>
      <c r="AB197" s="63"/>
    </row>
    <row r="198" spans="1:28" ht="15.75" x14ac:dyDescent="0.25">
      <c r="A198" s="55" t="s">
        <v>92</v>
      </c>
      <c r="B198" s="146"/>
      <c r="C198" s="99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45"/>
      <c r="AA198" s="63"/>
      <c r="AB198" s="63"/>
    </row>
    <row r="199" spans="1:28" ht="15.75" x14ac:dyDescent="0.25">
      <c r="A199" s="55" t="s">
        <v>93</v>
      </c>
      <c r="B199" s="146"/>
      <c r="C199" s="99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45"/>
      <c r="AA199" s="63"/>
      <c r="AB199" s="63"/>
    </row>
    <row r="200" spans="1:28" ht="15.75" x14ac:dyDescent="0.25">
      <c r="A200" s="55" t="s">
        <v>94</v>
      </c>
      <c r="B200" s="146"/>
      <c r="C200" s="99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45"/>
      <c r="AA200" s="63"/>
      <c r="AB200" s="63"/>
    </row>
    <row r="201" spans="1:28" ht="15.75" x14ac:dyDescent="0.25">
      <c r="A201" s="57" t="s">
        <v>95</v>
      </c>
      <c r="B201" s="145">
        <f>B202+B203+B204+B205</f>
        <v>0</v>
      </c>
      <c r="C201" s="99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45"/>
      <c r="AA201" s="63"/>
      <c r="AB201" s="63"/>
    </row>
    <row r="202" spans="1:28" ht="15.75" x14ac:dyDescent="0.25">
      <c r="A202" s="55" t="s">
        <v>96</v>
      </c>
      <c r="B202" s="146"/>
      <c r="C202" s="99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45"/>
      <c r="AA202" s="63"/>
      <c r="AB202" s="63"/>
    </row>
    <row r="203" spans="1:28" ht="15.75" customHeight="1" x14ac:dyDescent="0.25">
      <c r="A203" s="55" t="s">
        <v>98</v>
      </c>
      <c r="B203" s="146"/>
      <c r="C203" s="99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45"/>
      <c r="AA203" s="63"/>
      <c r="AB203" s="63"/>
    </row>
    <row r="204" spans="1:28" ht="12.75" customHeight="1" x14ac:dyDescent="0.25">
      <c r="A204" s="55" t="s">
        <v>97</v>
      </c>
      <c r="B204" s="146"/>
      <c r="C204" s="99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45"/>
      <c r="AA204" s="63"/>
      <c r="AB204" s="63"/>
    </row>
    <row r="205" spans="1:28" ht="26.25" x14ac:dyDescent="0.25">
      <c r="A205" s="55" t="s">
        <v>99</v>
      </c>
      <c r="B205" s="146"/>
      <c r="C205" s="99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45"/>
      <c r="AA205" s="63"/>
      <c r="AB205" s="63"/>
    </row>
    <row r="206" spans="1:28" ht="15.75" x14ac:dyDescent="0.25">
      <c r="A206" s="57" t="s">
        <v>100</v>
      </c>
      <c r="B206" s="145">
        <f>B207+B208+B209+B210</f>
        <v>0</v>
      </c>
      <c r="C206" s="99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45"/>
      <c r="AA206" s="63"/>
      <c r="AB206" s="63"/>
    </row>
    <row r="207" spans="1:28" ht="18.75" customHeight="1" x14ac:dyDescent="0.25">
      <c r="A207" s="55" t="s">
        <v>101</v>
      </c>
      <c r="B207" s="146"/>
      <c r="C207" s="99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45"/>
      <c r="AA207" s="63"/>
      <c r="AB207" s="63"/>
    </row>
    <row r="208" spans="1:28" ht="15.75" x14ac:dyDescent="0.25">
      <c r="A208" s="55" t="s">
        <v>102</v>
      </c>
      <c r="B208" s="146"/>
      <c r="C208" s="99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45"/>
      <c r="AA208" s="63"/>
      <c r="AB208" s="63"/>
    </row>
    <row r="209" spans="1:28" ht="15.75" customHeight="1" x14ac:dyDescent="0.25">
      <c r="A209" s="55" t="s">
        <v>103</v>
      </c>
      <c r="B209" s="146"/>
      <c r="C209" s="99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45"/>
      <c r="AA209" s="63"/>
      <c r="AB209" s="63"/>
    </row>
    <row r="210" spans="1:28" ht="26.25" x14ac:dyDescent="0.25">
      <c r="A210" s="55" t="s">
        <v>104</v>
      </c>
      <c r="B210" s="146"/>
      <c r="C210" s="99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45"/>
      <c r="AA210" s="63"/>
      <c r="AB210" s="63"/>
    </row>
    <row r="211" spans="1:28" ht="15.75" x14ac:dyDescent="0.25">
      <c r="A211" s="57" t="s">
        <v>105</v>
      </c>
      <c r="B211" s="145">
        <f>B212+B215+B218+B221</f>
        <v>0</v>
      </c>
      <c r="C211" s="99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45"/>
      <c r="AA211" s="63"/>
      <c r="AB211" s="63"/>
    </row>
    <row r="212" spans="1:28" ht="15.75" x14ac:dyDescent="0.25">
      <c r="A212" s="55" t="s">
        <v>106</v>
      </c>
      <c r="B212" s="145">
        <f>B213+B214</f>
        <v>0</v>
      </c>
      <c r="C212" s="99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45"/>
      <c r="AA212" s="63"/>
      <c r="AB212" s="63"/>
    </row>
    <row r="213" spans="1:28" ht="15.75" x14ac:dyDescent="0.25">
      <c r="A213" s="55" t="s">
        <v>107</v>
      </c>
      <c r="B213" s="146"/>
      <c r="C213" s="99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45"/>
      <c r="AA213" s="63"/>
      <c r="AB213" s="63"/>
    </row>
    <row r="214" spans="1:28" ht="15.75" x14ac:dyDescent="0.25">
      <c r="A214" s="55" t="s">
        <v>259</v>
      </c>
      <c r="B214" s="146"/>
      <c r="C214" s="99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45"/>
      <c r="AA214" s="63"/>
      <c r="AB214" s="63"/>
    </row>
    <row r="215" spans="1:28" ht="15.75" x14ac:dyDescent="0.25">
      <c r="A215" s="55" t="s">
        <v>108</v>
      </c>
      <c r="B215" s="145">
        <f>B216+B217</f>
        <v>0</v>
      </c>
      <c r="C215" s="99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45"/>
      <c r="AA215" s="63"/>
      <c r="AB215" s="63"/>
    </row>
    <row r="216" spans="1:28" ht="15.75" x14ac:dyDescent="0.25">
      <c r="A216" s="55" t="s">
        <v>111</v>
      </c>
      <c r="B216" s="146"/>
      <c r="C216" s="99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45"/>
      <c r="AA216" s="63"/>
      <c r="AB216" s="63"/>
    </row>
    <row r="217" spans="1:28" ht="15.75" x14ac:dyDescent="0.25">
      <c r="A217" s="55" t="s">
        <v>212</v>
      </c>
      <c r="B217" s="146"/>
      <c r="C217" s="99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45"/>
      <c r="AA217" s="63"/>
      <c r="AB217" s="63"/>
    </row>
    <row r="218" spans="1:28" ht="15.75" customHeight="1" x14ac:dyDescent="0.25">
      <c r="A218" s="55" t="s">
        <v>109</v>
      </c>
      <c r="B218" s="145">
        <f>B219+B220</f>
        <v>0</v>
      </c>
      <c r="C218" s="99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45"/>
      <c r="AA218" s="63"/>
      <c r="AB218" s="63"/>
    </row>
    <row r="219" spans="1:28" ht="15.75" x14ac:dyDescent="0.25">
      <c r="A219" s="55" t="s">
        <v>110</v>
      </c>
      <c r="B219" s="147"/>
      <c r="C219" s="99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45"/>
      <c r="AA219" s="63"/>
      <c r="AB219" s="63"/>
    </row>
    <row r="220" spans="1:28" ht="15.75" customHeight="1" x14ac:dyDescent="0.25">
      <c r="A220" s="55" t="s">
        <v>213</v>
      </c>
      <c r="B220" s="147"/>
      <c r="C220" s="99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45"/>
      <c r="AA220" s="63"/>
      <c r="AB220" s="63"/>
    </row>
    <row r="221" spans="1:28" ht="26.25" x14ac:dyDescent="0.25">
      <c r="A221" s="55" t="s">
        <v>112</v>
      </c>
      <c r="B221" s="145">
        <f>B222+B223</f>
        <v>0</v>
      </c>
      <c r="C221" s="99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45"/>
      <c r="AA221" s="63"/>
      <c r="AB221" s="63"/>
    </row>
    <row r="222" spans="1:28" ht="15.75" x14ac:dyDescent="0.25">
      <c r="A222" s="55" t="s">
        <v>113</v>
      </c>
      <c r="B222" s="146"/>
      <c r="C222" s="99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45"/>
      <c r="AA222" s="63"/>
      <c r="AB222" s="63"/>
    </row>
    <row r="223" spans="1:28" ht="15.75" x14ac:dyDescent="0.25">
      <c r="A223" s="55" t="s">
        <v>214</v>
      </c>
      <c r="B223" s="146"/>
      <c r="C223" s="99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45"/>
      <c r="AA223" s="63"/>
      <c r="AB223" s="63"/>
    </row>
    <row r="224" spans="1:28" ht="15.75" x14ac:dyDescent="0.25">
      <c r="A224" s="57" t="s">
        <v>114</v>
      </c>
      <c r="B224" s="145">
        <f>B225+B228+B231</f>
        <v>0</v>
      </c>
      <c r="C224" s="99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45"/>
      <c r="AA224" s="63"/>
      <c r="AB224" s="63"/>
    </row>
    <row r="225" spans="1:28" ht="15.75" x14ac:dyDescent="0.25">
      <c r="A225" s="55" t="s">
        <v>115</v>
      </c>
      <c r="B225" s="145">
        <f>B226+B227</f>
        <v>0</v>
      </c>
      <c r="C225" s="99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45"/>
      <c r="AA225" s="63"/>
      <c r="AB225" s="63"/>
    </row>
    <row r="226" spans="1:28" ht="15.75" x14ac:dyDescent="0.25">
      <c r="A226" s="55" t="s">
        <v>116</v>
      </c>
      <c r="B226" s="146"/>
      <c r="C226" s="99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45"/>
      <c r="AA226" s="63"/>
      <c r="AB226" s="63"/>
    </row>
    <row r="227" spans="1:28" ht="15.75" x14ac:dyDescent="0.25">
      <c r="A227" s="55" t="s">
        <v>215</v>
      </c>
      <c r="B227" s="146"/>
      <c r="C227" s="99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45"/>
      <c r="AA227" s="63"/>
      <c r="AB227" s="63"/>
    </row>
    <row r="228" spans="1:28" ht="15.75" x14ac:dyDescent="0.25">
      <c r="A228" s="55" t="s">
        <v>117</v>
      </c>
      <c r="B228" s="145">
        <f>B229+B230</f>
        <v>0</v>
      </c>
      <c r="C228" s="99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45"/>
      <c r="AA228" s="63"/>
      <c r="AB228" s="63"/>
    </row>
    <row r="229" spans="1:28" ht="15.75" x14ac:dyDescent="0.25">
      <c r="A229" s="55" t="s">
        <v>118</v>
      </c>
      <c r="B229" s="146"/>
      <c r="C229" s="99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45"/>
      <c r="AA229" s="63"/>
      <c r="AB229" s="63"/>
    </row>
    <row r="230" spans="1:28" ht="15.75" customHeight="1" x14ac:dyDescent="0.25">
      <c r="A230" s="55" t="s">
        <v>216</v>
      </c>
      <c r="B230" s="146"/>
      <c r="C230" s="99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45"/>
      <c r="AA230" s="63"/>
      <c r="AB230" s="63"/>
    </row>
    <row r="231" spans="1:28" ht="26.25" x14ac:dyDescent="0.25">
      <c r="A231" s="55" t="s">
        <v>119</v>
      </c>
      <c r="B231" s="145">
        <f>B232+B233</f>
        <v>0</v>
      </c>
      <c r="C231" s="99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45"/>
      <c r="AA231" s="63"/>
      <c r="AB231" s="63"/>
    </row>
    <row r="232" spans="1:28" ht="15.75" x14ac:dyDescent="0.25">
      <c r="A232" s="55" t="s">
        <v>120</v>
      </c>
      <c r="B232" s="146"/>
      <c r="C232" s="99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45"/>
      <c r="AA232" s="63"/>
      <c r="AB232" s="63"/>
    </row>
    <row r="233" spans="1:28" ht="15.75" x14ac:dyDescent="0.25">
      <c r="A233" s="55" t="s">
        <v>217</v>
      </c>
      <c r="B233" s="146"/>
      <c r="C233" s="99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45"/>
      <c r="AA233" s="63"/>
      <c r="AB233" s="63"/>
    </row>
    <row r="234" spans="1:28" ht="15.75" x14ac:dyDescent="0.25">
      <c r="A234" s="57" t="s">
        <v>121</v>
      </c>
      <c r="B234" s="145">
        <f>B235+B238+B241</f>
        <v>0</v>
      </c>
      <c r="C234" s="99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45"/>
      <c r="AA234" s="63"/>
      <c r="AB234" s="63"/>
    </row>
    <row r="235" spans="1:28" ht="15.75" x14ac:dyDescent="0.25">
      <c r="A235" s="55" t="s">
        <v>122</v>
      </c>
      <c r="B235" s="145">
        <f>B236+B237</f>
        <v>0</v>
      </c>
      <c r="C235" s="99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45"/>
      <c r="AA235" s="63"/>
      <c r="AB235" s="63"/>
    </row>
    <row r="236" spans="1:28" ht="15.75" x14ac:dyDescent="0.25">
      <c r="A236" s="55" t="s">
        <v>123</v>
      </c>
      <c r="B236" s="146"/>
      <c r="C236" s="99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45"/>
      <c r="AA236" s="63"/>
      <c r="AB236" s="63"/>
    </row>
    <row r="237" spans="1:28" ht="15.75" x14ac:dyDescent="0.25">
      <c r="A237" s="55" t="s">
        <v>218</v>
      </c>
      <c r="B237" s="146"/>
      <c r="C237" s="99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45"/>
      <c r="AA237" s="63"/>
      <c r="AB237" s="63"/>
    </row>
    <row r="238" spans="1:28" ht="15.75" x14ac:dyDescent="0.25">
      <c r="A238" s="55" t="s">
        <v>125</v>
      </c>
      <c r="B238" s="145">
        <f>B239+B240</f>
        <v>0</v>
      </c>
      <c r="C238" s="99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45"/>
      <c r="AA238" s="63"/>
      <c r="AB238" s="63"/>
    </row>
    <row r="239" spans="1:28" ht="15.75" x14ac:dyDescent="0.25">
      <c r="A239" s="55" t="s">
        <v>126</v>
      </c>
      <c r="B239" s="146"/>
      <c r="C239" s="99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45"/>
      <c r="AA239" s="63"/>
      <c r="AB239" s="63"/>
    </row>
    <row r="240" spans="1:28" ht="15.75" customHeight="1" x14ac:dyDescent="0.25">
      <c r="A240" s="55" t="s">
        <v>219</v>
      </c>
      <c r="B240" s="146"/>
      <c r="C240" s="99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45"/>
      <c r="AA240" s="63"/>
      <c r="AB240" s="63"/>
    </row>
    <row r="241" spans="1:28" ht="26.25" x14ac:dyDescent="0.25">
      <c r="A241" s="55" t="s">
        <v>127</v>
      </c>
      <c r="B241" s="145">
        <f>B242+B243</f>
        <v>0</v>
      </c>
      <c r="C241" s="99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45"/>
      <c r="AA241" s="63"/>
      <c r="AB241" s="63"/>
    </row>
    <row r="242" spans="1:28" ht="15.75" x14ac:dyDescent="0.25">
      <c r="A242" s="55" t="s">
        <v>128</v>
      </c>
      <c r="B242" s="146"/>
      <c r="C242" s="99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45"/>
      <c r="AA242" s="63"/>
      <c r="AB242" s="63"/>
    </row>
    <row r="243" spans="1:28" ht="15.75" x14ac:dyDescent="0.25">
      <c r="A243" s="55" t="s">
        <v>220</v>
      </c>
      <c r="B243" s="146"/>
      <c r="C243" s="99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45"/>
      <c r="AA243" s="63"/>
      <c r="AB243" s="63"/>
    </row>
    <row r="244" spans="1:28" ht="15.75" x14ac:dyDescent="0.25">
      <c r="A244" s="57" t="s">
        <v>284</v>
      </c>
      <c r="B244" s="146">
        <v>1</v>
      </c>
      <c r="C244" s="99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45"/>
      <c r="AA244" s="63"/>
      <c r="AB244" s="63"/>
    </row>
    <row r="245" spans="1:28" ht="15.75" x14ac:dyDescent="0.25">
      <c r="A245" s="58" t="s">
        <v>129</v>
      </c>
      <c r="B245" s="145">
        <f>B246+B247</f>
        <v>1</v>
      </c>
      <c r="C245" s="99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45"/>
      <c r="AA245" s="63"/>
      <c r="AB245" s="63"/>
    </row>
    <row r="246" spans="1:28" ht="15.75" x14ac:dyDescent="0.25">
      <c r="A246" s="55" t="s">
        <v>260</v>
      </c>
      <c r="B246" s="146">
        <v>1</v>
      </c>
      <c r="C246" s="99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45"/>
      <c r="AA246" s="63"/>
      <c r="AB246" s="63"/>
    </row>
    <row r="247" spans="1:28" ht="15.75" x14ac:dyDescent="0.25">
      <c r="A247" s="55" t="s">
        <v>261</v>
      </c>
      <c r="B247" s="146"/>
      <c r="C247" s="99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45"/>
      <c r="AA247" s="63"/>
      <c r="AB247" s="63"/>
    </row>
    <row r="248" spans="1:28" ht="15.75" x14ac:dyDescent="0.25">
      <c r="A248" s="55" t="s">
        <v>130</v>
      </c>
      <c r="B248" s="145">
        <f>B249+B250</f>
        <v>0</v>
      </c>
      <c r="C248" s="99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45"/>
      <c r="AA248" s="63"/>
      <c r="AB248" s="63"/>
    </row>
    <row r="249" spans="1:28" ht="15.75" x14ac:dyDescent="0.25">
      <c r="A249" s="55" t="s">
        <v>262</v>
      </c>
      <c r="B249" s="146"/>
      <c r="C249" s="99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45"/>
      <c r="AA249" s="63"/>
      <c r="AB249" s="63"/>
    </row>
    <row r="250" spans="1:28" ht="15.75" x14ac:dyDescent="0.25">
      <c r="A250" s="55" t="s">
        <v>263</v>
      </c>
      <c r="B250" s="146"/>
      <c r="C250" s="99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45"/>
      <c r="AA250" s="63"/>
      <c r="AB250" s="63"/>
    </row>
    <row r="251" spans="1:28" ht="15.75" x14ac:dyDescent="0.25">
      <c r="A251" s="62" t="s">
        <v>325</v>
      </c>
      <c r="B251" s="149"/>
      <c r="C251" s="99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45"/>
      <c r="AA251" s="63"/>
      <c r="AB251" s="63"/>
    </row>
    <row r="252" spans="1:28" ht="15.75" x14ac:dyDescent="0.25">
      <c r="A252" s="62" t="s">
        <v>326</v>
      </c>
      <c r="B252" s="149"/>
      <c r="C252" s="99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45"/>
      <c r="AA252" s="63"/>
      <c r="AB252" s="63"/>
    </row>
    <row r="253" spans="1:28" ht="15.75" x14ac:dyDescent="0.25">
      <c r="A253" s="62" t="s">
        <v>327</v>
      </c>
      <c r="B253" s="145">
        <f>B254+B255+B256+B257+B258+B259+B260+B261+B262</f>
        <v>0</v>
      </c>
      <c r="C253" s="99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45"/>
      <c r="AA253" s="63"/>
      <c r="AB253" s="63"/>
    </row>
    <row r="254" spans="1:28" ht="18.75" customHeight="1" x14ac:dyDescent="0.25">
      <c r="A254" s="55" t="s">
        <v>329</v>
      </c>
      <c r="B254" s="146"/>
      <c r="C254" s="99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45"/>
      <c r="AA254" s="63"/>
      <c r="AB254" s="63"/>
    </row>
    <row r="255" spans="1:28" ht="15.75" x14ac:dyDescent="0.25">
      <c r="A255" s="55" t="s">
        <v>328</v>
      </c>
      <c r="B255" s="146"/>
      <c r="C255" s="99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45"/>
      <c r="AA255" s="63"/>
      <c r="AB255" s="63"/>
    </row>
    <row r="256" spans="1:28" ht="15.75" customHeight="1" x14ac:dyDescent="0.25">
      <c r="A256" s="55" t="s">
        <v>330</v>
      </c>
      <c r="B256" s="146"/>
      <c r="C256" s="99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45"/>
      <c r="AA256" s="63"/>
      <c r="AB256" s="63"/>
    </row>
    <row r="257" spans="1:28" ht="15.75" x14ac:dyDescent="0.25">
      <c r="A257" s="55" t="s">
        <v>331</v>
      </c>
      <c r="B257" s="146"/>
      <c r="C257" s="99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45"/>
      <c r="AA257" s="63"/>
      <c r="AB257" s="63"/>
    </row>
    <row r="258" spans="1:28" ht="15.75" x14ac:dyDescent="0.25">
      <c r="A258" s="55" t="s">
        <v>332</v>
      </c>
      <c r="B258" s="146"/>
      <c r="C258" s="99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45"/>
      <c r="AA258" s="63"/>
      <c r="AB258" s="63"/>
    </row>
    <row r="259" spans="1:28" ht="15.75" x14ac:dyDescent="0.25">
      <c r="A259" s="55" t="s">
        <v>333</v>
      </c>
      <c r="B259" s="146"/>
      <c r="C259" s="99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45"/>
      <c r="AA259" s="63"/>
      <c r="AB259" s="63"/>
    </row>
    <row r="260" spans="1:28" ht="15.75" x14ac:dyDescent="0.25">
      <c r="A260" s="55" t="s">
        <v>334</v>
      </c>
      <c r="B260" s="146"/>
      <c r="C260" s="99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45"/>
      <c r="AA260" s="63"/>
      <c r="AB260" s="63"/>
    </row>
    <row r="261" spans="1:28" ht="15.75" x14ac:dyDescent="0.25">
      <c r="A261" s="55" t="s">
        <v>335</v>
      </c>
      <c r="B261" s="146"/>
      <c r="C261" s="99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45"/>
      <c r="AA261" s="63"/>
      <c r="AB261" s="63"/>
    </row>
    <row r="262" spans="1:28" ht="15.75" x14ac:dyDescent="0.25">
      <c r="A262" s="55" t="s">
        <v>336</v>
      </c>
      <c r="B262" s="146"/>
      <c r="C262" s="99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45"/>
      <c r="AA262" s="63"/>
      <c r="AB262" s="63"/>
    </row>
    <row r="263" spans="1:28" ht="15.75" x14ac:dyDescent="0.25">
      <c r="A263" s="76" t="s">
        <v>337</v>
      </c>
      <c r="B263" s="151"/>
      <c r="C263" s="99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45"/>
      <c r="AA263" s="63"/>
      <c r="AB263" s="63"/>
    </row>
    <row r="264" spans="1:28" ht="15.75" x14ac:dyDescent="0.25">
      <c r="A264" s="57" t="s">
        <v>131</v>
      </c>
      <c r="B264" s="150">
        <f>B265+B266+B267+B268</f>
        <v>0</v>
      </c>
      <c r="C264" s="99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45"/>
      <c r="AA264" s="63"/>
      <c r="AB264" s="63"/>
    </row>
    <row r="265" spans="1:28" ht="15.75" x14ac:dyDescent="0.25">
      <c r="A265" s="55" t="s">
        <v>132</v>
      </c>
      <c r="B265" s="146"/>
      <c r="C265" s="99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45"/>
      <c r="AA265" s="63"/>
      <c r="AB265" s="63"/>
    </row>
    <row r="266" spans="1:28" ht="15.75" x14ac:dyDescent="0.25">
      <c r="A266" s="55" t="s">
        <v>133</v>
      </c>
      <c r="B266" s="146"/>
      <c r="C266" s="99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45"/>
      <c r="AA266" s="63"/>
      <c r="AB266" s="63"/>
    </row>
    <row r="267" spans="1:28" ht="15.75" x14ac:dyDescent="0.25">
      <c r="A267" s="55" t="s">
        <v>134</v>
      </c>
      <c r="B267" s="146"/>
      <c r="C267" s="99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45"/>
      <c r="AA267" s="63"/>
      <c r="AB267" s="63"/>
    </row>
    <row r="268" spans="1:28" ht="26.25" x14ac:dyDescent="0.25">
      <c r="A268" s="58" t="s">
        <v>154</v>
      </c>
      <c r="B268" s="146"/>
      <c r="C268" s="99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45"/>
      <c r="AA268" s="63"/>
      <c r="AB268" s="63"/>
    </row>
    <row r="269" spans="1:28" ht="15.75" x14ac:dyDescent="0.25">
      <c r="A269" s="57" t="s">
        <v>338</v>
      </c>
      <c r="B269" s="146"/>
      <c r="C269" s="99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45"/>
      <c r="AA269" s="63"/>
      <c r="AB269" s="63"/>
    </row>
    <row r="270" spans="1:28" ht="15.75" x14ac:dyDescent="0.25">
      <c r="A270" s="76" t="s">
        <v>17</v>
      </c>
      <c r="B270" s="151"/>
      <c r="C270" s="99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45"/>
      <c r="AA270" s="63"/>
      <c r="AB270" s="63"/>
    </row>
    <row r="271" spans="1:28" ht="15.75" x14ac:dyDescent="0.25">
      <c r="A271" s="59" t="s">
        <v>135</v>
      </c>
      <c r="B271" s="152"/>
      <c r="C271" s="99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45"/>
      <c r="AA271" s="63"/>
      <c r="AB271" s="63"/>
    </row>
    <row r="272" spans="1:28" ht="15.75" x14ac:dyDescent="0.25">
      <c r="A272" s="59" t="s">
        <v>225</v>
      </c>
      <c r="B272" s="146"/>
      <c r="C272" s="99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45"/>
      <c r="AA272" s="63"/>
      <c r="AB272" s="63"/>
    </row>
    <row r="273" spans="1:28" ht="15.75" x14ac:dyDescent="0.25">
      <c r="A273" s="59" t="s">
        <v>226</v>
      </c>
      <c r="B273" s="146"/>
      <c r="C273" s="99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45"/>
      <c r="AA273" s="63"/>
      <c r="AB273" s="63"/>
    </row>
    <row r="274" spans="1:28" ht="15.75" x14ac:dyDescent="0.25">
      <c r="A274" s="59" t="s">
        <v>339</v>
      </c>
      <c r="B274" s="149"/>
      <c r="C274" s="99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45"/>
      <c r="AA274" s="63"/>
      <c r="AB274" s="63"/>
    </row>
    <row r="275" spans="1:28" ht="15.75" x14ac:dyDescent="0.25">
      <c r="A275" s="59" t="s">
        <v>340</v>
      </c>
      <c r="B275" s="149"/>
      <c r="C275" s="99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45"/>
      <c r="AA275" s="63"/>
      <c r="AB275" s="63"/>
    </row>
    <row r="276" spans="1:28" ht="15.75" x14ac:dyDescent="0.25">
      <c r="A276" s="76" t="s">
        <v>341</v>
      </c>
      <c r="B276" s="151"/>
      <c r="C276" s="99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45"/>
      <c r="AA276" s="63"/>
      <c r="AB276" s="63"/>
    </row>
    <row r="277" spans="1:28" ht="15.75" x14ac:dyDescent="0.25">
      <c r="A277" s="57" t="s">
        <v>342</v>
      </c>
      <c r="B277" s="145">
        <f>B278+B281</f>
        <v>1</v>
      </c>
      <c r="C277" s="99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45"/>
      <c r="AA277" s="63"/>
      <c r="AB277" s="63"/>
    </row>
    <row r="278" spans="1:28" ht="15.75" x14ac:dyDescent="0.25">
      <c r="A278" s="55" t="s">
        <v>346</v>
      </c>
      <c r="B278" s="145">
        <f>B279+B280</f>
        <v>1</v>
      </c>
      <c r="C278" s="99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45"/>
      <c r="AA278" s="63"/>
      <c r="AB278" s="63"/>
    </row>
    <row r="279" spans="1:28" ht="15.75" x14ac:dyDescent="0.25">
      <c r="A279" s="55" t="s">
        <v>347</v>
      </c>
      <c r="B279" s="146">
        <v>1</v>
      </c>
      <c r="C279" s="99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45"/>
      <c r="AA279" s="63"/>
      <c r="AB279" s="63"/>
    </row>
    <row r="280" spans="1:28" ht="15.75" x14ac:dyDescent="0.25">
      <c r="A280" s="55" t="s">
        <v>350</v>
      </c>
      <c r="B280" s="146"/>
      <c r="C280" s="99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45"/>
      <c r="AA280" s="63"/>
      <c r="AB280" s="63"/>
    </row>
    <row r="281" spans="1:28" ht="15.75" x14ac:dyDescent="0.25">
      <c r="A281" s="55" t="s">
        <v>348</v>
      </c>
      <c r="B281" s="145">
        <f>B282+B283</f>
        <v>0</v>
      </c>
      <c r="C281" s="99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45"/>
      <c r="AA281" s="63"/>
      <c r="AB281" s="63"/>
    </row>
    <row r="282" spans="1:28" ht="15.75" x14ac:dyDescent="0.25">
      <c r="A282" s="55" t="s">
        <v>349</v>
      </c>
      <c r="B282" s="146"/>
      <c r="C282" s="99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45"/>
      <c r="AA282" s="63"/>
      <c r="AB282" s="63"/>
    </row>
    <row r="283" spans="1:28" ht="15.75" x14ac:dyDescent="0.25">
      <c r="A283" s="55" t="s">
        <v>351</v>
      </c>
      <c r="B283" s="146"/>
      <c r="C283" s="99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45"/>
      <c r="AA283" s="63"/>
      <c r="AB283" s="63"/>
    </row>
    <row r="284" spans="1:28" ht="15.75" x14ac:dyDescent="0.25">
      <c r="A284" s="57" t="s">
        <v>345</v>
      </c>
      <c r="B284" s="145">
        <f>B285+B288</f>
        <v>0</v>
      </c>
      <c r="C284" s="99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45"/>
      <c r="AA284" s="63"/>
      <c r="AB284" s="63"/>
    </row>
    <row r="285" spans="1:28" ht="15.75" x14ac:dyDescent="0.25">
      <c r="A285" s="55" t="s">
        <v>352</v>
      </c>
      <c r="B285" s="145">
        <f>B286+B287</f>
        <v>0</v>
      </c>
      <c r="C285" s="99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45"/>
      <c r="AA285" s="63"/>
      <c r="AB285" s="63"/>
    </row>
    <row r="286" spans="1:28" ht="15.75" x14ac:dyDescent="0.25">
      <c r="A286" s="55" t="s">
        <v>343</v>
      </c>
      <c r="B286" s="146"/>
      <c r="C286" s="99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45"/>
      <c r="AA286" s="63"/>
      <c r="AB286" s="63"/>
    </row>
    <row r="287" spans="1:28" ht="15.75" x14ac:dyDescent="0.25">
      <c r="A287" s="55" t="s">
        <v>353</v>
      </c>
      <c r="B287" s="146"/>
      <c r="C287" s="99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45"/>
      <c r="AA287" s="63"/>
      <c r="AB287" s="63"/>
    </row>
    <row r="288" spans="1:28" ht="15.75" x14ac:dyDescent="0.25">
      <c r="A288" s="55" t="s">
        <v>354</v>
      </c>
      <c r="B288" s="145">
        <f>B289+B290</f>
        <v>0</v>
      </c>
      <c r="C288" s="99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45"/>
      <c r="AA288" s="63"/>
      <c r="AB288" s="63"/>
    </row>
    <row r="289" spans="1:28" ht="15.75" x14ac:dyDescent="0.25">
      <c r="A289" s="55" t="s">
        <v>344</v>
      </c>
      <c r="B289" s="146"/>
      <c r="C289" s="99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45"/>
      <c r="AA289" s="63"/>
      <c r="AB289" s="63"/>
    </row>
    <row r="290" spans="1:28" ht="15.75" x14ac:dyDescent="0.25">
      <c r="A290" s="55" t="s">
        <v>355</v>
      </c>
      <c r="B290" s="146"/>
      <c r="C290" s="99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45"/>
      <c r="AA290" s="63"/>
      <c r="AB290" s="63"/>
    </row>
    <row r="291" spans="1:28" ht="15.75" x14ac:dyDescent="0.25">
      <c r="A291" s="78" t="s">
        <v>18</v>
      </c>
      <c r="B291" s="155"/>
      <c r="C291" s="99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45"/>
      <c r="AA291" s="63"/>
      <c r="AB291" s="63"/>
    </row>
    <row r="292" spans="1:28" ht="15.75" x14ac:dyDescent="0.25">
      <c r="A292" s="79" t="s">
        <v>19</v>
      </c>
      <c r="B292" s="156"/>
      <c r="C292" s="99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45"/>
      <c r="AA292" s="63"/>
      <c r="AB292" s="63"/>
    </row>
    <row r="293" spans="1:28" ht="15.75" x14ac:dyDescent="0.25">
      <c r="A293" s="74" t="s">
        <v>20</v>
      </c>
      <c r="B293" s="153"/>
      <c r="C293" s="99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45"/>
      <c r="AA293" s="63"/>
      <c r="AB293" s="63"/>
    </row>
    <row r="294" spans="1:28" ht="15.75" x14ac:dyDescent="0.25">
      <c r="A294" s="80" t="s">
        <v>21</v>
      </c>
      <c r="B294" s="157"/>
      <c r="C294" s="99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45"/>
      <c r="AA294" s="63"/>
      <c r="AB294" s="63"/>
    </row>
    <row r="295" spans="1:28" ht="15.75" x14ac:dyDescent="0.25">
      <c r="A295" s="75" t="s">
        <v>137</v>
      </c>
      <c r="B295" s="154"/>
      <c r="C295" s="99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45"/>
      <c r="AA295" s="63"/>
      <c r="AB295" s="63"/>
    </row>
    <row r="296" spans="1:28" ht="15.75" x14ac:dyDescent="0.25">
      <c r="A296" s="57" t="s">
        <v>138</v>
      </c>
      <c r="B296" s="152"/>
      <c r="C296" s="99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45"/>
      <c r="AA296" s="63"/>
      <c r="AB296" s="63"/>
    </row>
    <row r="297" spans="1:28" ht="15.75" x14ac:dyDescent="0.25">
      <c r="A297" s="57" t="s">
        <v>136</v>
      </c>
      <c r="B297" s="145">
        <f>B298+B301+B304+B307+B310+B312</f>
        <v>0</v>
      </c>
      <c r="C297" s="99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45"/>
      <c r="AA297" s="63"/>
      <c r="AB297" s="63"/>
    </row>
    <row r="298" spans="1:28" ht="15.75" x14ac:dyDescent="0.25">
      <c r="A298" s="60" t="s">
        <v>155</v>
      </c>
      <c r="B298" s="145">
        <f>B299+B300</f>
        <v>0</v>
      </c>
      <c r="C298" s="99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45"/>
      <c r="AA298" s="63"/>
      <c r="AB298" s="63"/>
    </row>
    <row r="299" spans="1:28" ht="15.75" x14ac:dyDescent="0.25">
      <c r="A299" s="55" t="s">
        <v>139</v>
      </c>
      <c r="B299" s="146"/>
      <c r="C299" s="99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45"/>
      <c r="AA299" s="63"/>
      <c r="AB299" s="63"/>
    </row>
    <row r="300" spans="1:28" ht="15.75" x14ac:dyDescent="0.25">
      <c r="A300" s="55" t="s">
        <v>221</v>
      </c>
      <c r="B300" s="146"/>
      <c r="C300" s="99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45"/>
      <c r="AA300" s="63"/>
      <c r="AB300" s="63"/>
    </row>
    <row r="301" spans="1:28" ht="15.75" x14ac:dyDescent="0.25">
      <c r="A301" s="55" t="s">
        <v>140</v>
      </c>
      <c r="B301" s="145">
        <f>B302+B303</f>
        <v>0</v>
      </c>
      <c r="C301" s="99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45"/>
      <c r="AA301" s="63"/>
      <c r="AB301" s="63"/>
    </row>
    <row r="302" spans="1:28" ht="15.75" x14ac:dyDescent="0.25">
      <c r="A302" s="55" t="s">
        <v>141</v>
      </c>
      <c r="B302" s="146"/>
      <c r="C302" s="99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45"/>
      <c r="AA302" s="63"/>
      <c r="AB302" s="63"/>
    </row>
    <row r="303" spans="1:28" ht="15.75" x14ac:dyDescent="0.25">
      <c r="A303" s="55" t="s">
        <v>222</v>
      </c>
      <c r="B303" s="146"/>
      <c r="C303" s="99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45"/>
      <c r="AA303" s="63"/>
      <c r="AB303" s="63"/>
    </row>
    <row r="304" spans="1:28" ht="15.75" x14ac:dyDescent="0.25">
      <c r="A304" s="55" t="s">
        <v>142</v>
      </c>
      <c r="B304" s="145">
        <f>B305+B306</f>
        <v>0</v>
      </c>
      <c r="C304" s="99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45"/>
      <c r="AA304" s="63"/>
      <c r="AB304" s="63"/>
    </row>
    <row r="305" spans="1:28" ht="15.75" x14ac:dyDescent="0.25">
      <c r="A305" s="55" t="s">
        <v>22</v>
      </c>
      <c r="B305" s="146"/>
      <c r="C305" s="99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45"/>
      <c r="AA305" s="63"/>
      <c r="AB305" s="63"/>
    </row>
    <row r="306" spans="1:28" ht="15.75" x14ac:dyDescent="0.25">
      <c r="A306" s="55" t="s">
        <v>223</v>
      </c>
      <c r="B306" s="146"/>
      <c r="C306" s="99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45"/>
      <c r="AA306" s="63"/>
      <c r="AB306" s="63"/>
    </row>
    <row r="307" spans="1:28" ht="15.75" x14ac:dyDescent="0.25">
      <c r="A307" s="55" t="s">
        <v>143</v>
      </c>
      <c r="B307" s="145">
        <f>B308+B309</f>
        <v>0</v>
      </c>
      <c r="C307" s="99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45"/>
      <c r="AA307" s="63"/>
      <c r="AB307" s="63"/>
    </row>
    <row r="308" spans="1:28" ht="15.75" x14ac:dyDescent="0.25">
      <c r="A308" s="55" t="s">
        <v>144</v>
      </c>
      <c r="B308" s="146"/>
      <c r="C308" s="99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45"/>
      <c r="AA308" s="63"/>
      <c r="AB308" s="63"/>
    </row>
    <row r="309" spans="1:28" ht="15.75" x14ac:dyDescent="0.25">
      <c r="A309" s="55" t="s">
        <v>224</v>
      </c>
      <c r="B309" s="146"/>
      <c r="C309" s="99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45"/>
      <c r="AA309" s="63"/>
      <c r="AB309" s="63"/>
    </row>
    <row r="310" spans="1:28" ht="15.75" x14ac:dyDescent="0.25">
      <c r="A310" s="55" t="s">
        <v>145</v>
      </c>
      <c r="B310" s="148"/>
      <c r="C310" s="99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45"/>
      <c r="AA310" s="63"/>
      <c r="AB310" s="63"/>
    </row>
    <row r="311" spans="1:28" ht="15.75" x14ac:dyDescent="0.25">
      <c r="A311" s="60" t="s">
        <v>146</v>
      </c>
      <c r="B311" s="145"/>
      <c r="C311" s="99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45"/>
      <c r="AA311" s="63"/>
      <c r="AB311" s="63"/>
    </row>
    <row r="312" spans="1:28" ht="15.75" x14ac:dyDescent="0.25">
      <c r="A312" s="55" t="s">
        <v>147</v>
      </c>
      <c r="B312" s="146"/>
      <c r="C312" s="99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45"/>
      <c r="AA312" s="63"/>
      <c r="AB312" s="63"/>
    </row>
    <row r="313" spans="1:28" ht="25.5" x14ac:dyDescent="0.25">
      <c r="A313" s="61" t="s">
        <v>230</v>
      </c>
      <c r="B313" s="147"/>
      <c r="C313" s="99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45"/>
      <c r="AA313" s="63"/>
      <c r="AB313" s="63"/>
    </row>
    <row r="314" spans="1:28" ht="15.75" x14ac:dyDescent="0.25">
      <c r="A314" s="57" t="s">
        <v>148</v>
      </c>
      <c r="B314" s="149"/>
      <c r="C314" s="99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45"/>
      <c r="AA314" s="63"/>
      <c r="AB314" s="63"/>
    </row>
    <row r="315" spans="1:28" ht="26.25" x14ac:dyDescent="0.25">
      <c r="A315" s="76" t="s">
        <v>356</v>
      </c>
      <c r="B315" s="151"/>
      <c r="C315" s="99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45"/>
      <c r="AA315" s="63"/>
      <c r="AB315" s="63"/>
    </row>
    <row r="316" spans="1:28" ht="15.75" x14ac:dyDescent="0.25">
      <c r="A316" s="57" t="s">
        <v>149</v>
      </c>
      <c r="B316" s="148">
        <v>5</v>
      </c>
      <c r="C316" s="99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45"/>
      <c r="AA316" s="63"/>
      <c r="AB316" s="63"/>
    </row>
    <row r="317" spans="1:28" ht="15.75" x14ac:dyDescent="0.25">
      <c r="A317" s="55" t="s">
        <v>357</v>
      </c>
      <c r="B317" s="145">
        <f>B318+B319</f>
        <v>177</v>
      </c>
      <c r="C317" s="99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45"/>
      <c r="AA317" s="63"/>
      <c r="AB317" s="63"/>
    </row>
    <row r="318" spans="1:28" ht="15.75" x14ac:dyDescent="0.25">
      <c r="A318" s="55" t="s">
        <v>22</v>
      </c>
      <c r="B318" s="146">
        <v>88</v>
      </c>
      <c r="C318" s="99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45"/>
      <c r="AA318" s="63"/>
      <c r="AB318" s="63"/>
    </row>
    <row r="319" spans="1:28" ht="15.75" x14ac:dyDescent="0.25">
      <c r="A319" s="55" t="s">
        <v>223</v>
      </c>
      <c r="B319" s="146">
        <v>89</v>
      </c>
      <c r="C319" s="99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45"/>
      <c r="AA319" s="63"/>
      <c r="AB319" s="63"/>
    </row>
    <row r="320" spans="1:28" s="267" customFormat="1" ht="18.75" customHeight="1" x14ac:dyDescent="0.2">
      <c r="A320" s="268" t="s">
        <v>444</v>
      </c>
      <c r="B320" s="270"/>
      <c r="C320" s="263"/>
      <c r="D320" s="264"/>
      <c r="E320" s="264"/>
      <c r="F320" s="264"/>
      <c r="G320" s="264"/>
      <c r="H320" s="264"/>
      <c r="I320" s="264"/>
      <c r="J320" s="264"/>
      <c r="K320" s="264"/>
      <c r="L320" s="264"/>
      <c r="M320" s="264"/>
      <c r="N320" s="264"/>
      <c r="O320" s="264"/>
      <c r="P320" s="264"/>
      <c r="Q320" s="264"/>
      <c r="R320" s="264"/>
      <c r="S320" s="264"/>
      <c r="T320" s="264"/>
      <c r="U320" s="264"/>
      <c r="V320" s="264"/>
      <c r="W320" s="264"/>
      <c r="X320" s="264"/>
      <c r="Y320" s="264"/>
      <c r="Z320" s="265"/>
      <c r="AA320" s="266"/>
      <c r="AB320" s="266"/>
    </row>
    <row r="321" spans="1:28" s="267" customFormat="1" ht="18.75" customHeight="1" x14ac:dyDescent="0.2">
      <c r="A321" s="269" t="s">
        <v>446</v>
      </c>
      <c r="B321" s="152"/>
      <c r="C321" s="263"/>
      <c r="D321" s="264"/>
      <c r="E321" s="264"/>
      <c r="F321" s="264"/>
      <c r="G321" s="264"/>
      <c r="H321" s="264"/>
      <c r="I321" s="264"/>
      <c r="J321" s="264"/>
      <c r="K321" s="264"/>
      <c r="L321" s="264"/>
      <c r="M321" s="264"/>
      <c r="N321" s="264"/>
      <c r="O321" s="264"/>
      <c r="P321" s="264"/>
      <c r="Q321" s="264"/>
      <c r="R321" s="264"/>
      <c r="S321" s="264"/>
      <c r="T321" s="264"/>
      <c r="U321" s="264"/>
      <c r="V321" s="264"/>
      <c r="W321" s="264"/>
      <c r="X321" s="264"/>
      <c r="Y321" s="264"/>
      <c r="Z321" s="265"/>
      <c r="AA321" s="266"/>
      <c r="AB321" s="266"/>
    </row>
    <row r="322" spans="1:28" s="267" customFormat="1" ht="18.75" customHeight="1" x14ac:dyDescent="0.2">
      <c r="A322" s="269" t="s">
        <v>447</v>
      </c>
      <c r="B322" s="148"/>
      <c r="C322" s="263"/>
      <c r="D322" s="264"/>
      <c r="E322" s="264"/>
      <c r="F322" s="264"/>
      <c r="G322" s="264"/>
      <c r="H322" s="264"/>
      <c r="I322" s="264"/>
      <c r="J322" s="264"/>
      <c r="K322" s="264"/>
      <c r="L322" s="264"/>
      <c r="M322" s="264"/>
      <c r="N322" s="264"/>
      <c r="O322" s="264"/>
      <c r="P322" s="264"/>
      <c r="Q322" s="264"/>
      <c r="R322" s="264"/>
      <c r="S322" s="264"/>
      <c r="T322" s="264"/>
      <c r="U322" s="264"/>
      <c r="V322" s="264"/>
      <c r="W322" s="264"/>
      <c r="X322" s="264"/>
      <c r="Y322" s="264"/>
      <c r="Z322" s="265"/>
      <c r="AA322" s="266"/>
      <c r="AB322" s="266"/>
    </row>
    <row r="323" spans="1:28" ht="30" customHeight="1" x14ac:dyDescent="0.25">
      <c r="A323" s="268" t="s">
        <v>445</v>
      </c>
      <c r="B323" s="146"/>
      <c r="C323" s="99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45"/>
      <c r="AA323" s="63"/>
      <c r="AB323" s="63"/>
    </row>
    <row r="324" spans="1:28" ht="15.75" x14ac:dyDescent="0.25">
      <c r="A324" s="52"/>
      <c r="B324" s="50"/>
      <c r="C324" s="99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45"/>
      <c r="AA324" s="63"/>
      <c r="AB324" s="63"/>
    </row>
    <row r="325" spans="1:28" ht="15.75" x14ac:dyDescent="0.25">
      <c r="A325" s="53"/>
      <c r="B325" s="50"/>
      <c r="C325" s="99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45"/>
      <c r="AA325" s="63"/>
      <c r="AB325" s="63"/>
    </row>
    <row r="326" spans="1:28" ht="15.75" x14ac:dyDescent="0.25">
      <c r="A326" s="41"/>
      <c r="B326" s="42"/>
      <c r="C326" s="99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45"/>
      <c r="AA326" s="63"/>
      <c r="AB326" s="63"/>
    </row>
  </sheetData>
  <sheetProtection sheet="1" objects="1" scenarios="1" selectLockedCells="1"/>
  <mergeCells count="2">
    <mergeCell ref="F15:P15"/>
    <mergeCell ref="E11:F11"/>
  </mergeCells>
  <dataValidations xWindow="872" yWindow="760" count="8">
    <dataValidation allowBlank="1" showInputMessage="1" showErrorMessage="1" prompt="Limit your input in a maximum of 70 characters per bullet." sqref="F17:F74"/>
    <dataValidation allowBlank="1" showInputMessage="1" showErrorMessage="1" prompt="Limit your input in a maximum of 80 characters per bullet." sqref="F13:F14"/>
    <dataValidation type="whole" allowBlank="1" showInputMessage="1" showErrorMessage="1" sqref="G68:P119 R68:Y119 D75:F119 Q75:Q119 B71:C122">
      <formula1>0</formula1>
      <formula2>10000000000000000000</formula2>
    </dataValidation>
    <dataValidation type="whole" allowBlank="1" showInputMessage="1" showErrorMessage="1" sqref="D217:Y263 D120:Y173 B176 B218:C275 B123:C174 C320:C322">
      <formula1>0</formula1>
      <formula2>1000000000000000000</formula2>
    </dataValidation>
    <dataValidation type="whole" allowBlank="1" showInputMessage="1" showErrorMessage="1" sqref="D38:D55 G16:P67 B15:C70 D19:D36 Q19:Q36 R15:Z67 Q38:Q55 D57:D74 Q57:Q74 Z68:Z326">
      <formula1>0</formula1>
      <formula2>1E+22</formula2>
    </dataValidation>
    <dataValidation type="whole" allowBlank="1" showInputMessage="1" showErrorMessage="1" sqref="D264:Y299 C276:C277 B276 D320:Y322">
      <formula1>0</formula1>
      <formula2>100000000000000000</formula2>
    </dataValidation>
    <dataValidation type="whole" allowBlank="1" showInputMessage="1" showErrorMessage="1" sqref="B277:B319 C278:C317 D300:Y319 D323:Y326 B321:B323">
      <formula1>0</formula1>
      <formula2>1E+24</formula2>
    </dataValidation>
    <dataValidation type="whole" allowBlank="1" showInputMessage="1" showErrorMessage="1" sqref="B175 C318:C319 B177:B217 C175:C217 D174:Y216">
      <formula1>0</formula1>
      <formula2>100000000000000000000</formula2>
    </dataValidation>
  </dataValidations>
  <pageMargins left="0.7" right="0.7" top="0.75" bottom="0.75" header="0.3" footer="0.3"/>
  <pageSetup paperSize="768" orientation="landscape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326"/>
  <sheetViews>
    <sheetView workbookViewId="0">
      <pane ySplit="13" topLeftCell="A26" activePane="bottomLeft" state="frozen"/>
      <selection pane="bottomLeft" activeCell="F35" sqref="F35"/>
    </sheetView>
  </sheetViews>
  <sheetFormatPr defaultRowHeight="12.75" x14ac:dyDescent="0.2"/>
  <cols>
    <col min="1" max="1" width="39.140625" style="1" customWidth="1"/>
    <col min="2" max="2" width="36.42578125" style="31" customWidth="1"/>
    <col min="3" max="3" width="7.28515625" style="100" customWidth="1"/>
    <col min="4" max="4" width="3.28515625" style="65" customWidth="1"/>
    <col min="5" max="5" width="1.85546875" style="65" customWidth="1"/>
    <col min="6" max="6" width="8.42578125" style="65" customWidth="1"/>
    <col min="7" max="16" width="9.140625" style="65"/>
    <col min="17" max="17" width="2.7109375" style="65" customWidth="1"/>
    <col min="18" max="28" width="9.140625" style="65"/>
  </cols>
  <sheetData>
    <row r="1" spans="1:30" x14ac:dyDescent="0.2">
      <c r="A1" s="13"/>
      <c r="B1" s="29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63"/>
      <c r="AB1" s="63"/>
    </row>
    <row r="2" spans="1:30" x14ac:dyDescent="0.2">
      <c r="A2" s="13"/>
      <c r="B2" s="29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63"/>
      <c r="AB2" s="63"/>
    </row>
    <row r="3" spans="1:30" x14ac:dyDescent="0.2">
      <c r="A3" s="13"/>
      <c r="B3" s="29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63"/>
      <c r="AB3" s="63"/>
    </row>
    <row r="4" spans="1:30" x14ac:dyDescent="0.2">
      <c r="A4" s="13"/>
      <c r="B4" s="29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63"/>
      <c r="AB4" s="63"/>
    </row>
    <row r="5" spans="1:30" x14ac:dyDescent="0.2">
      <c r="A5" s="13"/>
      <c r="B5" s="29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63"/>
      <c r="AB5" s="63"/>
    </row>
    <row r="6" spans="1:30" x14ac:dyDescent="0.2">
      <c r="A6" s="13"/>
      <c r="B6" s="2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63"/>
      <c r="AB6" s="63"/>
    </row>
    <row r="7" spans="1:30" x14ac:dyDescent="0.2">
      <c r="A7" s="13"/>
      <c r="B7" s="29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63"/>
      <c r="AB7" s="63"/>
    </row>
    <row r="8" spans="1:30" x14ac:dyDescent="0.2">
      <c r="A8" s="13"/>
      <c r="B8" s="29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63"/>
      <c r="AB8" s="63"/>
    </row>
    <row r="9" spans="1:30" x14ac:dyDescent="0.2">
      <c r="A9" s="14"/>
      <c r="B9" s="29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63"/>
      <c r="AB9" s="63"/>
    </row>
    <row r="10" spans="1:30" x14ac:dyDescent="0.2">
      <c r="A10" s="15"/>
      <c r="B10" s="29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63"/>
      <c r="AB10" s="63"/>
    </row>
    <row r="11" spans="1:30" ht="15.75" x14ac:dyDescent="0.25">
      <c r="A11" s="5" t="s">
        <v>0</v>
      </c>
      <c r="B11" s="12" t="s">
        <v>173</v>
      </c>
      <c r="C11" s="17"/>
      <c r="D11" s="17"/>
      <c r="E11" s="325"/>
      <c r="F11" s="325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63"/>
      <c r="AB11" s="63"/>
      <c r="AC11" s="3"/>
      <c r="AD11" s="3"/>
    </row>
    <row r="12" spans="1:30" x14ac:dyDescent="0.2">
      <c r="A12" s="48" t="s">
        <v>1</v>
      </c>
      <c r="B12" s="11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25"/>
      <c r="AA12" s="63"/>
      <c r="AB12" s="63"/>
    </row>
    <row r="13" spans="1:30" x14ac:dyDescent="0.2">
      <c r="A13" s="73" t="s">
        <v>3</v>
      </c>
      <c r="B13" s="77"/>
      <c r="C13" s="19"/>
      <c r="D13" s="19"/>
      <c r="E13" s="70"/>
      <c r="F13" s="70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63"/>
      <c r="AB13" s="63"/>
    </row>
    <row r="14" spans="1:30" x14ac:dyDescent="0.2">
      <c r="A14" s="51" t="s">
        <v>4</v>
      </c>
      <c r="B14" s="49"/>
      <c r="C14" s="98"/>
      <c r="D14" s="19"/>
      <c r="E14" s="70"/>
      <c r="F14" s="70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63"/>
      <c r="AB14" s="63"/>
    </row>
    <row r="15" spans="1:30" ht="15.75" x14ac:dyDescent="0.25">
      <c r="A15" s="47" t="s">
        <v>23</v>
      </c>
      <c r="B15" s="145">
        <f>B16+B23+B30+B33+B40+B43</f>
        <v>250</v>
      </c>
      <c r="C15" s="99"/>
      <c r="D15" s="69"/>
      <c r="E15" s="69"/>
      <c r="F15" s="326" t="s">
        <v>227</v>
      </c>
      <c r="G15" s="326"/>
      <c r="H15" s="326"/>
      <c r="I15" s="326"/>
      <c r="J15" s="326"/>
      <c r="K15" s="326"/>
      <c r="L15" s="326"/>
      <c r="M15" s="326"/>
      <c r="N15" s="326"/>
      <c r="O15" s="326"/>
      <c r="P15" s="326"/>
      <c r="Q15" s="69"/>
      <c r="R15" s="16"/>
      <c r="S15" s="16"/>
      <c r="T15" s="16"/>
      <c r="U15" s="16"/>
      <c r="V15" s="16"/>
      <c r="W15" s="16"/>
      <c r="X15" s="16"/>
      <c r="Y15" s="16"/>
      <c r="Z15" s="45"/>
      <c r="AA15" s="63"/>
      <c r="AB15" s="63"/>
    </row>
    <row r="16" spans="1:30" ht="15.75" x14ac:dyDescent="0.25">
      <c r="A16" s="46" t="s">
        <v>24</v>
      </c>
      <c r="B16" s="145">
        <f>B17+B20</f>
        <v>250</v>
      </c>
      <c r="C16" s="99"/>
      <c r="D16" s="66"/>
      <c r="E16" s="18"/>
      <c r="F16" s="18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66"/>
      <c r="R16" s="16"/>
      <c r="S16" s="16"/>
      <c r="T16" s="16"/>
      <c r="U16" s="16"/>
      <c r="V16" s="16"/>
      <c r="W16" s="16"/>
      <c r="X16" s="16"/>
      <c r="Y16" s="16"/>
      <c r="Z16" s="45"/>
      <c r="AA16" s="63"/>
      <c r="AB16" s="63"/>
    </row>
    <row r="17" spans="1:28" ht="15.75" x14ac:dyDescent="0.25">
      <c r="A17" s="2" t="s">
        <v>25</v>
      </c>
      <c r="B17" s="145">
        <f>B18+B19</f>
        <v>0</v>
      </c>
      <c r="C17" s="99"/>
      <c r="D17" s="67"/>
      <c r="E17" s="70" t="s">
        <v>228</v>
      </c>
      <c r="F17" s="161" t="s">
        <v>450</v>
      </c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67"/>
      <c r="R17" s="16"/>
      <c r="S17" s="16"/>
      <c r="T17" s="16"/>
      <c r="U17" s="16"/>
      <c r="V17" s="16"/>
      <c r="W17" s="16"/>
      <c r="X17" s="16"/>
      <c r="Y17" s="16"/>
      <c r="Z17" s="45"/>
      <c r="AA17" s="63"/>
      <c r="AB17" s="63"/>
    </row>
    <row r="18" spans="1:28" ht="15.75" x14ac:dyDescent="0.25">
      <c r="A18" s="2" t="s">
        <v>26</v>
      </c>
      <c r="B18" s="146"/>
      <c r="C18" s="99"/>
      <c r="D18" s="67"/>
      <c r="E18" s="70" t="s">
        <v>228</v>
      </c>
      <c r="F18" s="161" t="s">
        <v>461</v>
      </c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67"/>
      <c r="R18" s="16"/>
      <c r="S18" s="16"/>
      <c r="T18" s="16"/>
      <c r="U18" s="16"/>
      <c r="V18" s="16"/>
      <c r="W18" s="16"/>
      <c r="X18" s="16"/>
      <c r="Y18" s="16"/>
      <c r="Z18" s="45"/>
      <c r="AA18" s="63"/>
      <c r="AB18" s="63"/>
    </row>
    <row r="19" spans="1:28" ht="15.75" x14ac:dyDescent="0.25">
      <c r="A19" s="2" t="s">
        <v>182</v>
      </c>
      <c r="B19" s="146"/>
      <c r="C19" s="99"/>
      <c r="D19" s="68"/>
      <c r="E19" s="71" t="s">
        <v>228</v>
      </c>
      <c r="F19" s="44" t="s">
        <v>462</v>
      </c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68"/>
      <c r="R19" s="16"/>
      <c r="S19" s="16"/>
      <c r="T19" s="16"/>
      <c r="U19" s="16"/>
      <c r="V19" s="16"/>
      <c r="W19" s="16"/>
      <c r="X19" s="16"/>
      <c r="Y19" s="16"/>
      <c r="Z19" s="45"/>
      <c r="AA19" s="63"/>
      <c r="AB19" s="63"/>
    </row>
    <row r="20" spans="1:28" ht="15.75" x14ac:dyDescent="0.25">
      <c r="A20" s="2" t="s">
        <v>6</v>
      </c>
      <c r="B20" s="145">
        <f>B21+B22</f>
        <v>250</v>
      </c>
      <c r="C20" s="99"/>
      <c r="D20" s="68"/>
      <c r="E20" s="71" t="s">
        <v>228</v>
      </c>
      <c r="F20" s="44" t="s">
        <v>463</v>
      </c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68"/>
      <c r="R20" s="16"/>
      <c r="S20" s="16"/>
      <c r="T20" s="16"/>
      <c r="U20" s="16"/>
      <c r="V20" s="16"/>
      <c r="W20" s="16"/>
      <c r="X20" s="16"/>
      <c r="Y20" s="16"/>
      <c r="Z20" s="45"/>
      <c r="AA20" s="63"/>
      <c r="AB20" s="63"/>
    </row>
    <row r="21" spans="1:28" ht="15.75" x14ac:dyDescent="0.25">
      <c r="A21" s="2" t="s">
        <v>27</v>
      </c>
      <c r="B21" s="146">
        <v>250</v>
      </c>
      <c r="C21" s="99"/>
      <c r="D21" s="68"/>
      <c r="E21" s="71" t="s">
        <v>228</v>
      </c>
      <c r="F21" s="44" t="s">
        <v>464</v>
      </c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68"/>
      <c r="R21" s="16"/>
      <c r="S21" s="16"/>
      <c r="T21" s="16"/>
      <c r="U21" s="16"/>
      <c r="V21" s="16"/>
      <c r="W21" s="16"/>
      <c r="X21" s="16"/>
      <c r="Y21" s="16"/>
      <c r="Z21" s="45"/>
      <c r="AA21" s="63"/>
      <c r="AB21" s="63"/>
    </row>
    <row r="22" spans="1:28" ht="15.75" x14ac:dyDescent="0.25">
      <c r="A22" s="2" t="s">
        <v>183</v>
      </c>
      <c r="B22" s="146"/>
      <c r="C22" s="99"/>
      <c r="D22" s="68"/>
      <c r="E22" s="16" t="s">
        <v>228</v>
      </c>
      <c r="F22" s="44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68"/>
      <c r="R22" s="16"/>
      <c r="S22" s="16"/>
      <c r="T22" s="16"/>
      <c r="U22" s="16"/>
      <c r="V22" s="16"/>
      <c r="W22" s="16"/>
      <c r="X22" s="16"/>
      <c r="Y22" s="16"/>
      <c r="Z22" s="45"/>
      <c r="AA22" s="63"/>
      <c r="AB22" s="63"/>
    </row>
    <row r="23" spans="1:28" ht="15.75" x14ac:dyDescent="0.25">
      <c r="A23" s="46" t="s">
        <v>28</v>
      </c>
      <c r="B23" s="145">
        <f>B24+B27</f>
        <v>0</v>
      </c>
      <c r="C23" s="99"/>
      <c r="D23" s="68"/>
      <c r="E23" s="16" t="s">
        <v>228</v>
      </c>
      <c r="F23" s="44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68"/>
      <c r="R23" s="16"/>
      <c r="S23" s="16"/>
      <c r="T23" s="16"/>
      <c r="U23" s="16"/>
      <c r="V23" s="16"/>
      <c r="W23" s="16"/>
      <c r="X23" s="16"/>
      <c r="Y23" s="16"/>
      <c r="Z23" s="45"/>
      <c r="AA23" s="63"/>
      <c r="AB23" s="63"/>
    </row>
    <row r="24" spans="1:28" ht="15.75" x14ac:dyDescent="0.25">
      <c r="A24" s="2" t="s">
        <v>29</v>
      </c>
      <c r="B24" s="145">
        <f>B25+B26</f>
        <v>0</v>
      </c>
      <c r="C24" s="99"/>
      <c r="D24" s="68"/>
      <c r="E24" s="16" t="s">
        <v>228</v>
      </c>
      <c r="F24" s="44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68"/>
      <c r="R24" s="16"/>
      <c r="S24" s="16"/>
      <c r="T24" s="16"/>
      <c r="U24" s="16"/>
      <c r="V24" s="16"/>
      <c r="W24" s="16"/>
      <c r="X24" s="16"/>
      <c r="Y24" s="16"/>
      <c r="Z24" s="45"/>
      <c r="AA24" s="63"/>
      <c r="AB24" s="63"/>
    </row>
    <row r="25" spans="1:28" ht="15.75" x14ac:dyDescent="0.25">
      <c r="A25" s="2" t="s">
        <v>30</v>
      </c>
      <c r="B25" s="146"/>
      <c r="C25" s="99"/>
      <c r="D25" s="68"/>
      <c r="E25" s="16" t="s">
        <v>228</v>
      </c>
      <c r="F25" s="44" t="s">
        <v>459</v>
      </c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68"/>
      <c r="R25" s="16"/>
      <c r="S25" s="16"/>
      <c r="T25" s="16"/>
      <c r="U25" s="16"/>
      <c r="V25" s="16"/>
      <c r="W25" s="16"/>
      <c r="X25" s="16"/>
      <c r="Y25" s="16"/>
      <c r="Z25" s="45"/>
      <c r="AA25" s="63"/>
      <c r="AB25" s="63"/>
    </row>
    <row r="26" spans="1:28" ht="15.75" x14ac:dyDescent="0.25">
      <c r="A26" s="2" t="s">
        <v>184</v>
      </c>
      <c r="B26" s="146"/>
      <c r="C26" s="99"/>
      <c r="D26" s="68"/>
      <c r="E26" s="16" t="s">
        <v>228</v>
      </c>
      <c r="F26" s="44" t="s">
        <v>465</v>
      </c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68"/>
      <c r="R26" s="16"/>
      <c r="S26" s="16"/>
      <c r="T26" s="16"/>
      <c r="U26" s="16"/>
      <c r="V26" s="16"/>
      <c r="W26" s="16"/>
      <c r="X26" s="16"/>
      <c r="Y26" s="16"/>
      <c r="Z26" s="45"/>
      <c r="AA26" s="63"/>
      <c r="AB26" s="63"/>
    </row>
    <row r="27" spans="1:28" ht="15.75" x14ac:dyDescent="0.25">
      <c r="A27" s="2" t="s">
        <v>31</v>
      </c>
      <c r="B27" s="145">
        <f>B28+B29</f>
        <v>0</v>
      </c>
      <c r="C27" s="99"/>
      <c r="D27" s="68"/>
      <c r="E27" s="16" t="s">
        <v>228</v>
      </c>
      <c r="F27" s="44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68"/>
      <c r="R27" s="16"/>
      <c r="S27" s="16"/>
      <c r="T27" s="16"/>
      <c r="U27" s="16"/>
      <c r="V27" s="16"/>
      <c r="W27" s="16"/>
      <c r="X27" s="16"/>
      <c r="Y27" s="16"/>
      <c r="Z27" s="45"/>
      <c r="AA27" s="63"/>
      <c r="AB27" s="63"/>
    </row>
    <row r="28" spans="1:28" ht="15.75" x14ac:dyDescent="0.25">
      <c r="A28" s="2" t="s">
        <v>32</v>
      </c>
      <c r="B28" s="146"/>
      <c r="C28" s="99"/>
      <c r="D28" s="68"/>
      <c r="E28" s="16" t="s">
        <v>228</v>
      </c>
      <c r="F28" s="44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68"/>
      <c r="R28" s="16"/>
      <c r="S28" s="16"/>
      <c r="T28" s="16"/>
      <c r="U28" s="16"/>
      <c r="V28" s="16"/>
      <c r="W28" s="16"/>
      <c r="X28" s="16"/>
      <c r="Y28" s="16"/>
      <c r="Z28" s="45"/>
      <c r="AA28" s="63"/>
      <c r="AB28" s="63"/>
    </row>
    <row r="29" spans="1:28" ht="15.75" x14ac:dyDescent="0.25">
      <c r="A29" s="2" t="s">
        <v>185</v>
      </c>
      <c r="B29" s="146"/>
      <c r="C29" s="99"/>
      <c r="D29" s="68"/>
      <c r="E29" s="16" t="s">
        <v>228</v>
      </c>
      <c r="F29" s="44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68"/>
      <c r="R29" s="16"/>
      <c r="S29" s="16"/>
      <c r="T29" s="16"/>
      <c r="U29" s="16"/>
      <c r="V29" s="16"/>
      <c r="W29" s="16"/>
      <c r="X29" s="16"/>
      <c r="Y29" s="16"/>
      <c r="Z29" s="45"/>
      <c r="AA29" s="63"/>
      <c r="AB29" s="63"/>
    </row>
    <row r="30" spans="1:28" ht="15.75" x14ac:dyDescent="0.25">
      <c r="A30" s="46" t="s">
        <v>33</v>
      </c>
      <c r="B30" s="145">
        <f>B31+B32</f>
        <v>0</v>
      </c>
      <c r="C30" s="99"/>
      <c r="D30" s="68"/>
      <c r="E30" s="16" t="s">
        <v>228</v>
      </c>
      <c r="F30" s="44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68"/>
      <c r="R30" s="16"/>
      <c r="S30" s="16"/>
      <c r="T30" s="16"/>
      <c r="U30" s="16"/>
      <c r="V30" s="16"/>
      <c r="W30" s="16"/>
      <c r="X30" s="16"/>
      <c r="Y30" s="16"/>
      <c r="Z30" s="45"/>
      <c r="AA30" s="63"/>
      <c r="AB30" s="63"/>
    </row>
    <row r="31" spans="1:28" ht="15.75" x14ac:dyDescent="0.25">
      <c r="A31" s="2" t="s">
        <v>34</v>
      </c>
      <c r="B31" s="146"/>
      <c r="C31" s="99"/>
      <c r="D31" s="68"/>
      <c r="E31" s="16" t="s">
        <v>228</v>
      </c>
      <c r="F31" s="44" t="s">
        <v>466</v>
      </c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68"/>
      <c r="R31" s="16"/>
      <c r="S31" s="16"/>
      <c r="T31" s="16"/>
      <c r="U31" s="16"/>
      <c r="V31" s="16"/>
      <c r="W31" s="16"/>
      <c r="X31" s="16"/>
      <c r="Y31" s="16"/>
      <c r="Z31" s="45"/>
      <c r="AA31" s="63"/>
      <c r="AB31" s="63"/>
    </row>
    <row r="32" spans="1:28" ht="15.75" x14ac:dyDescent="0.25">
      <c r="A32" s="2" t="s">
        <v>186</v>
      </c>
      <c r="B32" s="146"/>
      <c r="C32" s="99"/>
      <c r="D32" s="68"/>
      <c r="E32" s="16" t="s">
        <v>228</v>
      </c>
      <c r="F32" s="44" t="s">
        <v>467</v>
      </c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68"/>
      <c r="R32" s="16"/>
      <c r="S32" s="16"/>
      <c r="T32" s="16"/>
      <c r="U32" s="16"/>
      <c r="V32" s="16"/>
      <c r="W32" s="16"/>
      <c r="X32" s="16"/>
      <c r="Y32" s="16"/>
      <c r="Z32" s="45"/>
      <c r="AA32" s="63"/>
      <c r="AB32" s="63"/>
    </row>
    <row r="33" spans="1:28" ht="15.75" x14ac:dyDescent="0.25">
      <c r="A33" s="46" t="s">
        <v>35</v>
      </c>
      <c r="B33" s="145">
        <f>B34+B37</f>
        <v>0</v>
      </c>
      <c r="C33" s="99"/>
      <c r="D33" s="68"/>
      <c r="E33" s="16" t="s">
        <v>228</v>
      </c>
      <c r="F33" s="44" t="s">
        <v>468</v>
      </c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68"/>
      <c r="R33" s="16"/>
      <c r="S33" s="16"/>
      <c r="T33" s="16"/>
      <c r="U33" s="16"/>
      <c r="V33" s="16"/>
      <c r="W33" s="16"/>
      <c r="X33" s="16"/>
      <c r="Y33" s="16"/>
      <c r="Z33" s="45"/>
      <c r="AA33" s="63"/>
      <c r="AB33" s="63"/>
    </row>
    <row r="34" spans="1:28" ht="15.75" x14ac:dyDescent="0.25">
      <c r="A34" s="2" t="s">
        <v>36</v>
      </c>
      <c r="B34" s="145">
        <f>B35+B36</f>
        <v>0</v>
      </c>
      <c r="C34" s="99"/>
      <c r="D34" s="68"/>
      <c r="E34" s="16" t="s">
        <v>228</v>
      </c>
      <c r="F34" s="44" t="s">
        <v>469</v>
      </c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68"/>
      <c r="R34" s="16"/>
      <c r="S34" s="16"/>
      <c r="T34" s="16"/>
      <c r="U34" s="16"/>
      <c r="V34" s="16"/>
      <c r="W34" s="16"/>
      <c r="X34" s="16"/>
      <c r="Y34" s="16"/>
      <c r="Z34" s="45"/>
      <c r="AA34" s="63"/>
      <c r="AB34" s="63"/>
    </row>
    <row r="35" spans="1:28" ht="15.75" x14ac:dyDescent="0.25">
      <c r="A35" s="2" t="s">
        <v>37</v>
      </c>
      <c r="B35" s="146"/>
      <c r="C35" s="99"/>
      <c r="D35" s="68"/>
      <c r="E35" s="16" t="s">
        <v>228</v>
      </c>
      <c r="F35" s="44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68"/>
      <c r="R35" s="16"/>
      <c r="S35" s="16"/>
      <c r="T35" s="16"/>
      <c r="U35" s="16"/>
      <c r="V35" s="16"/>
      <c r="W35" s="16"/>
      <c r="X35" s="16"/>
      <c r="Y35" s="16"/>
      <c r="Z35" s="45"/>
      <c r="AA35" s="63"/>
      <c r="AB35" s="63"/>
    </row>
    <row r="36" spans="1:28" ht="15.75" x14ac:dyDescent="0.25">
      <c r="A36" s="2" t="s">
        <v>187</v>
      </c>
      <c r="B36" s="146"/>
      <c r="C36" s="99"/>
      <c r="D36" s="68"/>
      <c r="E36" s="16" t="s">
        <v>228</v>
      </c>
      <c r="F36" s="44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68"/>
      <c r="R36" s="16"/>
      <c r="S36" s="16"/>
      <c r="T36" s="16"/>
      <c r="U36" s="16"/>
      <c r="V36" s="16"/>
      <c r="W36" s="16"/>
      <c r="X36" s="16"/>
      <c r="Y36" s="16"/>
      <c r="Z36" s="45"/>
      <c r="AA36" s="63"/>
      <c r="AB36" s="63"/>
    </row>
    <row r="37" spans="1:28" ht="15.75" x14ac:dyDescent="0.25">
      <c r="A37" s="2" t="s">
        <v>38</v>
      </c>
      <c r="B37" s="145">
        <f>B38+B39</f>
        <v>0</v>
      </c>
      <c r="C37" s="99"/>
      <c r="D37" s="67"/>
      <c r="E37" s="70" t="s">
        <v>228</v>
      </c>
      <c r="F37" s="72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67"/>
      <c r="R37" s="16"/>
      <c r="S37" s="16"/>
      <c r="T37" s="16"/>
      <c r="U37" s="16"/>
      <c r="V37" s="16"/>
      <c r="W37" s="16"/>
      <c r="X37" s="16"/>
      <c r="Y37" s="16"/>
      <c r="Z37" s="45"/>
      <c r="AA37" s="63"/>
      <c r="AB37" s="63"/>
    </row>
    <row r="38" spans="1:28" ht="15.75" x14ac:dyDescent="0.25">
      <c r="A38" s="2" t="s">
        <v>39</v>
      </c>
      <c r="B38" s="146"/>
      <c r="C38" s="99"/>
      <c r="D38" s="68"/>
      <c r="E38" s="71" t="s">
        <v>228</v>
      </c>
      <c r="F38" s="44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68"/>
      <c r="R38" s="16"/>
      <c r="S38" s="16"/>
      <c r="T38" s="16"/>
      <c r="U38" s="16"/>
      <c r="V38" s="16"/>
      <c r="W38" s="16"/>
      <c r="X38" s="16"/>
      <c r="Y38" s="16"/>
      <c r="Z38" s="45"/>
      <c r="AA38" s="63"/>
      <c r="AB38" s="63"/>
    </row>
    <row r="39" spans="1:28" ht="15.75" x14ac:dyDescent="0.25">
      <c r="A39" s="2" t="s">
        <v>188</v>
      </c>
      <c r="B39" s="146"/>
      <c r="C39" s="99"/>
      <c r="D39" s="68"/>
      <c r="E39" s="71" t="s">
        <v>228</v>
      </c>
      <c r="F39" s="44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68"/>
      <c r="R39" s="16"/>
      <c r="S39" s="16"/>
      <c r="T39" s="16"/>
      <c r="U39" s="16"/>
      <c r="V39" s="16"/>
      <c r="W39" s="16"/>
      <c r="X39" s="16"/>
      <c r="Y39" s="16"/>
      <c r="Z39" s="45"/>
      <c r="AA39" s="63"/>
      <c r="AB39" s="63"/>
    </row>
    <row r="40" spans="1:28" ht="15.75" x14ac:dyDescent="0.25">
      <c r="A40" s="46" t="s">
        <v>279</v>
      </c>
      <c r="B40" s="145">
        <f>B41+B42</f>
        <v>0</v>
      </c>
      <c r="C40" s="99"/>
      <c r="D40" s="68"/>
      <c r="E40" s="71" t="s">
        <v>228</v>
      </c>
      <c r="F40" s="44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68"/>
      <c r="R40" s="16"/>
      <c r="S40" s="16"/>
      <c r="T40" s="16"/>
      <c r="U40" s="16"/>
      <c r="V40" s="16"/>
      <c r="W40" s="16"/>
      <c r="X40" s="16"/>
      <c r="Y40" s="16"/>
      <c r="Z40" s="45"/>
      <c r="AA40" s="63"/>
      <c r="AB40" s="63"/>
    </row>
    <row r="41" spans="1:28" ht="15.75" x14ac:dyDescent="0.25">
      <c r="A41" s="2" t="s">
        <v>317</v>
      </c>
      <c r="B41" s="146"/>
      <c r="C41" s="99"/>
      <c r="D41" s="68"/>
      <c r="E41" s="16" t="s">
        <v>228</v>
      </c>
      <c r="F41" s="44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68"/>
      <c r="R41" s="16"/>
      <c r="S41" s="16"/>
      <c r="T41" s="16"/>
      <c r="U41" s="16"/>
      <c r="V41" s="16"/>
      <c r="W41" s="16"/>
      <c r="X41" s="16"/>
      <c r="Y41" s="16"/>
      <c r="Z41" s="45"/>
      <c r="AA41" s="63"/>
      <c r="AB41" s="63"/>
    </row>
    <row r="42" spans="1:28" ht="15.75" x14ac:dyDescent="0.25">
      <c r="A42" s="2" t="s">
        <v>318</v>
      </c>
      <c r="B42" s="146"/>
      <c r="C42" s="99"/>
      <c r="D42" s="68"/>
      <c r="E42" s="16" t="s">
        <v>228</v>
      </c>
      <c r="F42" s="44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68"/>
      <c r="R42" s="16"/>
      <c r="S42" s="16"/>
      <c r="T42" s="16"/>
      <c r="U42" s="16"/>
      <c r="V42" s="16"/>
      <c r="W42" s="16"/>
      <c r="X42" s="16"/>
      <c r="Y42" s="16"/>
      <c r="Z42" s="45"/>
      <c r="AA42" s="63"/>
      <c r="AB42" s="63"/>
    </row>
    <row r="43" spans="1:28" ht="15.75" x14ac:dyDescent="0.25">
      <c r="A43" s="46" t="s">
        <v>314</v>
      </c>
      <c r="B43" s="145">
        <f>B44+B45</f>
        <v>0</v>
      </c>
      <c r="C43" s="99"/>
      <c r="D43" s="68"/>
      <c r="E43" s="16" t="s">
        <v>228</v>
      </c>
      <c r="F43" s="44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68"/>
      <c r="R43" s="16"/>
      <c r="S43" s="16"/>
      <c r="T43" s="16"/>
      <c r="U43" s="16"/>
      <c r="V43" s="16"/>
      <c r="W43" s="16"/>
      <c r="X43" s="16"/>
      <c r="Y43" s="16"/>
      <c r="Z43" s="45"/>
      <c r="AA43" s="63"/>
      <c r="AB43" s="63"/>
    </row>
    <row r="44" spans="1:28" ht="15.75" x14ac:dyDescent="0.25">
      <c r="A44" s="2" t="s">
        <v>315</v>
      </c>
      <c r="B44" s="146"/>
      <c r="C44" s="99"/>
      <c r="D44" s="68"/>
      <c r="E44" s="16" t="s">
        <v>228</v>
      </c>
      <c r="F44" s="44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68"/>
      <c r="R44" s="16"/>
      <c r="S44" s="16"/>
      <c r="T44" s="16"/>
      <c r="U44" s="16"/>
      <c r="V44" s="16"/>
      <c r="W44" s="16"/>
      <c r="X44" s="16"/>
      <c r="Y44" s="16"/>
      <c r="Z44" s="45"/>
      <c r="AA44" s="63"/>
      <c r="AB44" s="63"/>
    </row>
    <row r="45" spans="1:28" ht="15.75" x14ac:dyDescent="0.25">
      <c r="A45" s="2" t="s">
        <v>316</v>
      </c>
      <c r="B45" s="146"/>
      <c r="C45" s="99"/>
      <c r="D45" s="68"/>
      <c r="E45" s="16" t="s">
        <v>228</v>
      </c>
      <c r="F45" s="44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68"/>
      <c r="R45" s="16"/>
      <c r="S45" s="16"/>
      <c r="T45" s="16"/>
      <c r="U45" s="16"/>
      <c r="V45" s="16"/>
      <c r="W45" s="16"/>
      <c r="X45" s="16"/>
      <c r="Y45" s="16"/>
      <c r="Z45" s="45"/>
      <c r="AA45" s="63"/>
      <c r="AB45" s="63"/>
    </row>
    <row r="46" spans="1:28" ht="15.75" x14ac:dyDescent="0.25">
      <c r="A46" s="46" t="s">
        <v>280</v>
      </c>
      <c r="B46" s="146">
        <v>200</v>
      </c>
      <c r="C46" s="99"/>
      <c r="D46" s="68"/>
      <c r="E46" s="16" t="s">
        <v>228</v>
      </c>
      <c r="F46" s="44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68"/>
      <c r="R46" s="16"/>
      <c r="S46" s="16"/>
      <c r="T46" s="16"/>
      <c r="U46" s="16"/>
      <c r="V46" s="16"/>
      <c r="W46" s="16"/>
      <c r="X46" s="16"/>
      <c r="Y46" s="16"/>
      <c r="Z46" s="45"/>
      <c r="AA46" s="63"/>
      <c r="AB46" s="63"/>
    </row>
    <row r="47" spans="1:28" ht="15.75" x14ac:dyDescent="0.25">
      <c r="A47" s="47" t="s">
        <v>40</v>
      </c>
      <c r="B47" s="145">
        <f>B48+B55+B58+B61+B68+B71+B74+B77+B80</f>
        <v>304</v>
      </c>
      <c r="C47" s="99"/>
      <c r="D47" s="68"/>
      <c r="E47" s="16" t="s">
        <v>228</v>
      </c>
      <c r="F47" s="44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68"/>
      <c r="R47" s="16"/>
      <c r="S47" s="16"/>
      <c r="T47" s="16"/>
      <c r="U47" s="16"/>
      <c r="V47" s="16"/>
      <c r="W47" s="16"/>
      <c r="X47" s="16"/>
      <c r="Y47" s="16"/>
      <c r="Z47" s="45"/>
      <c r="AA47" s="63"/>
      <c r="AB47" s="63"/>
    </row>
    <row r="48" spans="1:28" ht="15.75" x14ac:dyDescent="0.25">
      <c r="A48" s="46" t="s">
        <v>5</v>
      </c>
      <c r="B48" s="145">
        <f>B49+B52</f>
        <v>304</v>
      </c>
      <c r="C48" s="99"/>
      <c r="D48" s="68"/>
      <c r="E48" s="16" t="s">
        <v>228</v>
      </c>
      <c r="F48" s="44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68"/>
      <c r="R48" s="16"/>
      <c r="S48" s="16"/>
      <c r="T48" s="16"/>
      <c r="U48" s="16"/>
      <c r="V48" s="16"/>
      <c r="W48" s="16"/>
      <c r="X48" s="16"/>
      <c r="Y48" s="16"/>
      <c r="Z48" s="45"/>
      <c r="AA48" s="63"/>
      <c r="AB48" s="63"/>
    </row>
    <row r="49" spans="1:28" ht="15.75" x14ac:dyDescent="0.25">
      <c r="A49" s="2" t="s">
        <v>274</v>
      </c>
      <c r="B49" s="145">
        <f>B50+B51</f>
        <v>304</v>
      </c>
      <c r="C49" s="99"/>
      <c r="D49" s="68"/>
      <c r="E49" s="16" t="s">
        <v>228</v>
      </c>
      <c r="F49" s="44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68"/>
      <c r="R49" s="16"/>
      <c r="S49" s="16"/>
      <c r="T49" s="16"/>
      <c r="U49" s="16"/>
      <c r="V49" s="16"/>
      <c r="W49" s="16"/>
      <c r="X49" s="16"/>
      <c r="Y49" s="16"/>
      <c r="Z49" s="45"/>
      <c r="AA49" s="63"/>
      <c r="AB49" s="63"/>
    </row>
    <row r="50" spans="1:28" ht="15.75" x14ac:dyDescent="0.25">
      <c r="A50" s="2" t="s">
        <v>277</v>
      </c>
      <c r="B50" s="146">
        <v>179</v>
      </c>
      <c r="C50" s="99"/>
      <c r="D50" s="68"/>
      <c r="E50" s="16" t="s">
        <v>228</v>
      </c>
      <c r="F50" s="44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68"/>
      <c r="R50" s="16"/>
      <c r="S50" s="16"/>
      <c r="T50" s="16"/>
      <c r="U50" s="16"/>
      <c r="V50" s="16"/>
      <c r="W50" s="16"/>
      <c r="X50" s="16"/>
      <c r="Y50" s="16"/>
      <c r="Z50" s="45"/>
      <c r="AA50" s="63"/>
      <c r="AB50" s="63"/>
    </row>
    <row r="51" spans="1:28" ht="15.75" x14ac:dyDescent="0.25">
      <c r="A51" s="2" t="s">
        <v>278</v>
      </c>
      <c r="B51" s="146">
        <v>125</v>
      </c>
      <c r="C51" s="99"/>
      <c r="D51" s="68"/>
      <c r="E51" s="16" t="s">
        <v>228</v>
      </c>
      <c r="F51" s="160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68"/>
      <c r="R51" s="16"/>
      <c r="S51" s="16"/>
      <c r="T51" s="16"/>
      <c r="U51" s="16"/>
      <c r="V51" s="16"/>
      <c r="W51" s="16"/>
      <c r="X51" s="16"/>
      <c r="Y51" s="16"/>
      <c r="Z51" s="45"/>
      <c r="AA51" s="63"/>
      <c r="AB51" s="63"/>
    </row>
    <row r="52" spans="1:28" ht="15.75" x14ac:dyDescent="0.25">
      <c r="A52" s="2" t="s">
        <v>6</v>
      </c>
      <c r="B52" s="145">
        <f>B53+B54</f>
        <v>0</v>
      </c>
      <c r="C52" s="99"/>
      <c r="D52" s="68"/>
      <c r="E52" s="16" t="s">
        <v>228</v>
      </c>
      <c r="F52" s="44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68"/>
      <c r="R52" s="16"/>
      <c r="S52" s="16"/>
      <c r="T52" s="16"/>
      <c r="U52" s="16"/>
      <c r="V52" s="16"/>
      <c r="W52" s="16"/>
      <c r="X52" s="16"/>
      <c r="Y52" s="16"/>
      <c r="Z52" s="45"/>
      <c r="AA52" s="63"/>
      <c r="AB52" s="63"/>
    </row>
    <row r="53" spans="1:28" ht="15.75" x14ac:dyDescent="0.25">
      <c r="A53" s="2" t="s">
        <v>275</v>
      </c>
      <c r="B53" s="146"/>
      <c r="C53" s="99"/>
      <c r="D53" s="68"/>
      <c r="E53" s="16" t="s">
        <v>228</v>
      </c>
      <c r="F53" s="44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68"/>
      <c r="R53" s="16"/>
      <c r="S53" s="16"/>
      <c r="T53" s="16"/>
      <c r="U53" s="16"/>
      <c r="V53" s="16"/>
      <c r="W53" s="16"/>
      <c r="X53" s="16"/>
      <c r="Y53" s="16"/>
      <c r="Z53" s="45"/>
      <c r="AA53" s="63"/>
      <c r="AB53" s="63"/>
    </row>
    <row r="54" spans="1:28" ht="15.75" x14ac:dyDescent="0.25">
      <c r="A54" s="2" t="s">
        <v>276</v>
      </c>
      <c r="B54" s="146"/>
      <c r="C54" s="99"/>
      <c r="D54" s="68"/>
      <c r="E54" s="16" t="s">
        <v>228</v>
      </c>
      <c r="F54" s="44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68"/>
      <c r="R54" s="16"/>
      <c r="S54" s="16"/>
      <c r="T54" s="16"/>
      <c r="U54" s="16"/>
      <c r="V54" s="16"/>
      <c r="W54" s="16"/>
      <c r="X54" s="16"/>
      <c r="Y54" s="16"/>
      <c r="Z54" s="45"/>
      <c r="AA54" s="63"/>
      <c r="AB54" s="63"/>
    </row>
    <row r="55" spans="1:28" ht="15.75" x14ac:dyDescent="0.25">
      <c r="A55" s="46" t="s">
        <v>41</v>
      </c>
      <c r="B55" s="145">
        <f>B56+B57</f>
        <v>0</v>
      </c>
      <c r="C55" s="99"/>
      <c r="D55" s="68"/>
      <c r="E55" s="16" t="s">
        <v>228</v>
      </c>
      <c r="F55" s="44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68"/>
      <c r="R55" s="16"/>
      <c r="S55" s="16"/>
      <c r="T55" s="16"/>
      <c r="U55" s="16"/>
      <c r="V55" s="16"/>
      <c r="W55" s="16"/>
      <c r="X55" s="16"/>
      <c r="Y55" s="16"/>
      <c r="Z55" s="45"/>
      <c r="AA55" s="63"/>
      <c r="AB55" s="63"/>
    </row>
    <row r="56" spans="1:28" ht="15.75" x14ac:dyDescent="0.25">
      <c r="A56" s="2" t="s">
        <v>42</v>
      </c>
      <c r="B56" s="146"/>
      <c r="C56" s="99"/>
      <c r="D56" s="67"/>
      <c r="E56" s="70" t="s">
        <v>228</v>
      </c>
      <c r="F56" s="72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67"/>
      <c r="R56" s="16"/>
      <c r="S56" s="16"/>
      <c r="T56" s="16"/>
      <c r="U56" s="16"/>
      <c r="V56" s="16"/>
      <c r="W56" s="16"/>
      <c r="X56" s="16"/>
      <c r="Y56" s="16"/>
      <c r="Z56" s="45"/>
      <c r="AA56" s="63"/>
      <c r="AB56" s="63"/>
    </row>
    <row r="57" spans="1:28" ht="15.75" x14ac:dyDescent="0.25">
      <c r="A57" s="2" t="s">
        <v>189</v>
      </c>
      <c r="B57" s="146"/>
      <c r="C57" s="99"/>
      <c r="D57" s="68"/>
      <c r="E57" s="71" t="s">
        <v>228</v>
      </c>
      <c r="F57" s="44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68"/>
      <c r="R57" s="16"/>
      <c r="S57" s="16"/>
      <c r="T57" s="16"/>
      <c r="U57" s="16"/>
      <c r="V57" s="16"/>
      <c r="W57" s="16"/>
      <c r="X57" s="16"/>
      <c r="Y57" s="16"/>
      <c r="Z57" s="45"/>
      <c r="AA57" s="63"/>
      <c r="AB57" s="63"/>
    </row>
    <row r="58" spans="1:28" ht="15.75" x14ac:dyDescent="0.25">
      <c r="A58" s="46" t="s">
        <v>43</v>
      </c>
      <c r="B58" s="145">
        <f>B59+B60</f>
        <v>0</v>
      </c>
      <c r="C58" s="99"/>
      <c r="D58" s="68"/>
      <c r="E58" s="71" t="s">
        <v>228</v>
      </c>
      <c r="F58" s="44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68"/>
      <c r="R58" s="16"/>
      <c r="S58" s="16"/>
      <c r="T58" s="16"/>
      <c r="U58" s="16"/>
      <c r="V58" s="16"/>
      <c r="W58" s="16"/>
      <c r="X58" s="16"/>
      <c r="Y58" s="16"/>
      <c r="Z58" s="45"/>
      <c r="AA58" s="63"/>
      <c r="AB58" s="63"/>
    </row>
    <row r="59" spans="1:28" ht="15.75" x14ac:dyDescent="0.25">
      <c r="A59" s="2" t="s">
        <v>44</v>
      </c>
      <c r="B59" s="146"/>
      <c r="C59" s="99"/>
      <c r="D59" s="68"/>
      <c r="E59" s="71" t="s">
        <v>228</v>
      </c>
      <c r="F59" s="44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68"/>
      <c r="R59" s="16"/>
      <c r="S59" s="16"/>
      <c r="T59" s="16"/>
      <c r="U59" s="16"/>
      <c r="V59" s="16"/>
      <c r="W59" s="16"/>
      <c r="X59" s="16"/>
      <c r="Y59" s="16"/>
      <c r="Z59" s="45"/>
      <c r="AA59" s="63"/>
      <c r="AB59" s="63"/>
    </row>
    <row r="60" spans="1:28" ht="15.75" x14ac:dyDescent="0.25">
      <c r="A60" s="2" t="s">
        <v>190</v>
      </c>
      <c r="B60" s="146"/>
      <c r="C60" s="99"/>
      <c r="D60" s="68"/>
      <c r="E60" s="16" t="s">
        <v>228</v>
      </c>
      <c r="F60" s="44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68"/>
      <c r="R60" s="16"/>
      <c r="S60" s="16"/>
      <c r="T60" s="16"/>
      <c r="U60" s="16"/>
      <c r="V60" s="16"/>
      <c r="W60" s="16"/>
      <c r="X60" s="16"/>
      <c r="Y60" s="16"/>
      <c r="Z60" s="45"/>
      <c r="AA60" s="63"/>
      <c r="AB60" s="63"/>
    </row>
    <row r="61" spans="1:28" ht="15.75" x14ac:dyDescent="0.25">
      <c r="A61" s="46" t="s">
        <v>7</v>
      </c>
      <c r="B61" s="145">
        <f>B62+B65</f>
        <v>0</v>
      </c>
      <c r="C61" s="99"/>
      <c r="D61" s="68"/>
      <c r="E61" s="16" t="s">
        <v>228</v>
      </c>
      <c r="F61" s="44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68"/>
      <c r="R61" s="16"/>
      <c r="S61" s="16"/>
      <c r="T61" s="16"/>
      <c r="U61" s="16"/>
      <c r="V61" s="16"/>
      <c r="W61" s="16"/>
      <c r="X61" s="16"/>
      <c r="Y61" s="16"/>
      <c r="Z61" s="45"/>
      <c r="AA61" s="63"/>
      <c r="AB61" s="63"/>
    </row>
    <row r="62" spans="1:28" ht="15.75" x14ac:dyDescent="0.25">
      <c r="A62" s="2" t="s">
        <v>45</v>
      </c>
      <c r="B62" s="145">
        <f>B63+B64</f>
        <v>0</v>
      </c>
      <c r="C62" s="99"/>
      <c r="D62" s="68"/>
      <c r="E62" s="16" t="s">
        <v>228</v>
      </c>
      <c r="F62" s="44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68"/>
      <c r="R62" s="16"/>
      <c r="S62" s="16"/>
      <c r="T62" s="16"/>
      <c r="U62" s="16"/>
      <c r="V62" s="16"/>
      <c r="W62" s="16"/>
      <c r="X62" s="16"/>
      <c r="Y62" s="16"/>
      <c r="Z62" s="45"/>
      <c r="AA62" s="63"/>
      <c r="AB62" s="63"/>
    </row>
    <row r="63" spans="1:28" ht="15.75" x14ac:dyDescent="0.25">
      <c r="A63" s="2" t="s">
        <v>46</v>
      </c>
      <c r="B63" s="146"/>
      <c r="C63" s="99"/>
      <c r="D63" s="68"/>
      <c r="E63" s="16" t="s">
        <v>228</v>
      </c>
      <c r="F63" s="44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68"/>
      <c r="R63" s="16"/>
      <c r="S63" s="16"/>
      <c r="T63" s="16"/>
      <c r="U63" s="16"/>
      <c r="V63" s="16"/>
      <c r="W63" s="16"/>
      <c r="X63" s="16"/>
      <c r="Y63" s="16"/>
      <c r="Z63" s="45"/>
      <c r="AA63" s="63"/>
      <c r="AB63" s="63"/>
    </row>
    <row r="64" spans="1:28" ht="15.75" x14ac:dyDescent="0.25">
      <c r="A64" s="2" t="s">
        <v>191</v>
      </c>
      <c r="B64" s="146"/>
      <c r="C64" s="99"/>
      <c r="D64" s="68"/>
      <c r="E64" s="16" t="s">
        <v>228</v>
      </c>
      <c r="F64" s="44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68"/>
      <c r="R64" s="16"/>
      <c r="S64" s="16"/>
      <c r="T64" s="16"/>
      <c r="U64" s="16"/>
      <c r="V64" s="16"/>
      <c r="W64" s="16"/>
      <c r="X64" s="16"/>
      <c r="Y64" s="16"/>
      <c r="Z64" s="45"/>
      <c r="AA64" s="63"/>
      <c r="AB64" s="63"/>
    </row>
    <row r="65" spans="1:28" ht="15.75" x14ac:dyDescent="0.25">
      <c r="A65" s="2" t="s">
        <v>47</v>
      </c>
      <c r="B65" s="145">
        <f>B66+B67</f>
        <v>0</v>
      </c>
      <c r="C65" s="99"/>
      <c r="D65" s="68"/>
      <c r="E65" s="16" t="s">
        <v>228</v>
      </c>
      <c r="F65" s="44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68"/>
      <c r="R65" s="16"/>
      <c r="S65" s="16"/>
      <c r="T65" s="16"/>
      <c r="U65" s="16"/>
      <c r="V65" s="16"/>
      <c r="W65" s="16"/>
      <c r="X65" s="16"/>
      <c r="Y65" s="16"/>
      <c r="Z65" s="45"/>
      <c r="AA65" s="63"/>
      <c r="AB65" s="63"/>
    </row>
    <row r="66" spans="1:28" ht="15.75" x14ac:dyDescent="0.25">
      <c r="A66" s="2" t="s">
        <v>48</v>
      </c>
      <c r="B66" s="146"/>
      <c r="C66" s="99"/>
      <c r="D66" s="68"/>
      <c r="E66" s="16" t="s">
        <v>228</v>
      </c>
      <c r="F66" s="44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68"/>
      <c r="R66" s="16"/>
      <c r="S66" s="16"/>
      <c r="T66" s="16"/>
      <c r="U66" s="16"/>
      <c r="V66" s="16"/>
      <c r="W66" s="16"/>
      <c r="X66" s="16"/>
      <c r="Y66" s="16"/>
      <c r="Z66" s="45"/>
      <c r="AA66" s="63"/>
      <c r="AB66" s="63"/>
    </row>
    <row r="67" spans="1:28" ht="15.75" x14ac:dyDescent="0.25">
      <c r="A67" s="2" t="s">
        <v>192</v>
      </c>
      <c r="B67" s="146"/>
      <c r="C67" s="99"/>
      <c r="D67" s="68"/>
      <c r="E67" s="16" t="s">
        <v>228</v>
      </c>
      <c r="F67" s="44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68"/>
      <c r="R67" s="16"/>
      <c r="S67" s="16"/>
      <c r="T67" s="16"/>
      <c r="U67" s="16"/>
      <c r="V67" s="16"/>
      <c r="W67" s="16"/>
      <c r="X67" s="16"/>
      <c r="Y67" s="16"/>
      <c r="Z67" s="45"/>
      <c r="AA67" s="63"/>
      <c r="AB67" s="63"/>
    </row>
    <row r="68" spans="1:28" ht="15.75" x14ac:dyDescent="0.25">
      <c r="A68" s="46" t="s">
        <v>49</v>
      </c>
      <c r="B68" s="145">
        <f>B69+B70</f>
        <v>0</v>
      </c>
      <c r="C68" s="99"/>
      <c r="D68" s="68"/>
      <c r="E68" s="16" t="s">
        <v>228</v>
      </c>
      <c r="F68" s="44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68"/>
      <c r="R68" s="16"/>
      <c r="S68" s="16"/>
      <c r="T68" s="16"/>
      <c r="U68" s="16"/>
      <c r="V68" s="16"/>
      <c r="W68" s="16"/>
      <c r="X68" s="16"/>
      <c r="Y68" s="16"/>
      <c r="Z68" s="45"/>
      <c r="AA68" s="63"/>
      <c r="AB68" s="63"/>
    </row>
    <row r="69" spans="1:28" ht="15.75" x14ac:dyDescent="0.25">
      <c r="A69" s="2" t="s">
        <v>50</v>
      </c>
      <c r="B69" s="146"/>
      <c r="C69" s="99"/>
      <c r="D69" s="68"/>
      <c r="E69" s="16" t="s">
        <v>228</v>
      </c>
      <c r="F69" s="44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68"/>
      <c r="R69" s="16"/>
      <c r="S69" s="16"/>
      <c r="T69" s="16"/>
      <c r="U69" s="16"/>
      <c r="V69" s="16"/>
      <c r="W69" s="16"/>
      <c r="X69" s="16"/>
      <c r="Y69" s="16"/>
      <c r="Z69" s="45"/>
      <c r="AA69" s="63"/>
      <c r="AB69" s="63"/>
    </row>
    <row r="70" spans="1:28" ht="15.75" x14ac:dyDescent="0.25">
      <c r="A70" s="2" t="s">
        <v>193</v>
      </c>
      <c r="B70" s="146"/>
      <c r="C70" s="99"/>
      <c r="D70" s="68"/>
      <c r="E70" s="16" t="s">
        <v>228</v>
      </c>
      <c r="F70" s="44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68"/>
      <c r="R70" s="16"/>
      <c r="S70" s="16"/>
      <c r="T70" s="16"/>
      <c r="U70" s="16"/>
      <c r="V70" s="16"/>
      <c r="W70" s="16"/>
      <c r="X70" s="16"/>
      <c r="Y70" s="16"/>
      <c r="Z70" s="45"/>
      <c r="AA70" s="63"/>
      <c r="AB70" s="63"/>
    </row>
    <row r="71" spans="1:28" ht="15.75" x14ac:dyDescent="0.25">
      <c r="A71" s="46" t="s">
        <v>51</v>
      </c>
      <c r="B71" s="145">
        <f>B72+B73</f>
        <v>0</v>
      </c>
      <c r="C71" s="99"/>
      <c r="D71" s="68"/>
      <c r="E71" s="16" t="s">
        <v>228</v>
      </c>
      <c r="F71" s="44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68"/>
      <c r="R71" s="16"/>
      <c r="S71" s="16"/>
      <c r="T71" s="16"/>
      <c r="U71" s="16"/>
      <c r="V71" s="16"/>
      <c r="W71" s="16"/>
      <c r="X71" s="16"/>
      <c r="Y71" s="16"/>
      <c r="Z71" s="45"/>
      <c r="AA71" s="63"/>
      <c r="AB71" s="63"/>
    </row>
    <row r="72" spans="1:28" ht="15.75" x14ac:dyDescent="0.25">
      <c r="A72" s="2" t="s">
        <v>52</v>
      </c>
      <c r="B72" s="146"/>
      <c r="C72" s="99"/>
      <c r="D72" s="68"/>
      <c r="E72" s="16" t="s">
        <v>228</v>
      </c>
      <c r="F72" s="44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68"/>
      <c r="R72" s="16"/>
      <c r="S72" s="16"/>
      <c r="T72" s="16"/>
      <c r="U72" s="16"/>
      <c r="V72" s="16"/>
      <c r="W72" s="16"/>
      <c r="X72" s="16"/>
      <c r="Y72" s="16"/>
      <c r="Z72" s="45"/>
      <c r="AA72" s="63"/>
      <c r="AB72" s="63"/>
    </row>
    <row r="73" spans="1:28" ht="15.75" x14ac:dyDescent="0.25">
      <c r="A73" s="2" t="s">
        <v>194</v>
      </c>
      <c r="B73" s="146"/>
      <c r="C73" s="99"/>
      <c r="D73" s="68"/>
      <c r="E73" s="16" t="s">
        <v>228</v>
      </c>
      <c r="F73" s="44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68"/>
      <c r="R73" s="16"/>
      <c r="S73" s="16"/>
      <c r="T73" s="16"/>
      <c r="U73" s="16"/>
      <c r="V73" s="16"/>
      <c r="W73" s="16"/>
      <c r="X73" s="16"/>
      <c r="Y73" s="16"/>
      <c r="Z73" s="45"/>
      <c r="AA73" s="63"/>
      <c r="AB73" s="63"/>
    </row>
    <row r="74" spans="1:28" ht="15.75" x14ac:dyDescent="0.25">
      <c r="A74" s="46" t="s">
        <v>53</v>
      </c>
      <c r="B74" s="145">
        <f>B75+B76</f>
        <v>0</v>
      </c>
      <c r="C74" s="99"/>
      <c r="D74" s="68"/>
      <c r="E74" s="16" t="s">
        <v>228</v>
      </c>
      <c r="F74" s="160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68"/>
      <c r="R74" s="16"/>
      <c r="S74" s="16"/>
      <c r="T74" s="16"/>
      <c r="U74" s="16"/>
      <c r="V74" s="16"/>
      <c r="W74" s="16"/>
      <c r="X74" s="16"/>
      <c r="Y74" s="16"/>
      <c r="Z74" s="45"/>
      <c r="AA74" s="63"/>
      <c r="AB74" s="63"/>
    </row>
    <row r="75" spans="1:28" ht="15.75" x14ac:dyDescent="0.25">
      <c r="A75" s="2" t="s">
        <v>54</v>
      </c>
      <c r="B75" s="146"/>
      <c r="C75" s="99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16"/>
      <c r="S75" s="16"/>
      <c r="T75" s="16"/>
      <c r="U75" s="16"/>
      <c r="V75" s="16"/>
      <c r="W75" s="16"/>
      <c r="X75" s="16"/>
      <c r="Y75" s="16"/>
      <c r="Z75" s="45"/>
      <c r="AA75" s="63"/>
      <c r="AB75" s="63"/>
    </row>
    <row r="76" spans="1:28" ht="15.75" x14ac:dyDescent="0.25">
      <c r="A76" s="2" t="s">
        <v>195</v>
      </c>
      <c r="B76" s="146"/>
      <c r="C76" s="99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45"/>
      <c r="AA76" s="63"/>
      <c r="AB76" s="63"/>
    </row>
    <row r="77" spans="1:28" ht="15.75" x14ac:dyDescent="0.25">
      <c r="A77" s="46" t="s">
        <v>319</v>
      </c>
      <c r="B77" s="145">
        <f>B78+B79</f>
        <v>0</v>
      </c>
      <c r="C77" s="99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45"/>
      <c r="AA77" s="63"/>
      <c r="AB77" s="63"/>
    </row>
    <row r="78" spans="1:28" ht="15.75" x14ac:dyDescent="0.25">
      <c r="A78" s="2" t="s">
        <v>72</v>
      </c>
      <c r="B78" s="146"/>
      <c r="C78" s="99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45"/>
      <c r="AA78" s="63"/>
      <c r="AB78" s="63"/>
    </row>
    <row r="79" spans="1:28" ht="15.75" x14ac:dyDescent="0.25">
      <c r="A79" s="55" t="s">
        <v>196</v>
      </c>
      <c r="B79" s="146"/>
      <c r="C79" s="99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45"/>
      <c r="AA79" s="63"/>
      <c r="AB79" s="63"/>
    </row>
    <row r="80" spans="1:28" ht="15.75" x14ac:dyDescent="0.25">
      <c r="A80" s="46" t="s">
        <v>271</v>
      </c>
      <c r="B80" s="145">
        <f>B81+B82</f>
        <v>0</v>
      </c>
      <c r="C80" s="99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45"/>
      <c r="AA80" s="63"/>
      <c r="AB80" s="63"/>
    </row>
    <row r="81" spans="1:28" ht="15.75" x14ac:dyDescent="0.25">
      <c r="A81" s="2" t="s">
        <v>272</v>
      </c>
      <c r="B81" s="146"/>
      <c r="C81" s="99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45"/>
      <c r="AA81" s="63"/>
      <c r="AB81" s="63"/>
    </row>
    <row r="82" spans="1:28" ht="15.75" x14ac:dyDescent="0.25">
      <c r="A82" s="55" t="s">
        <v>273</v>
      </c>
      <c r="B82" s="146">
        <v>0</v>
      </c>
      <c r="C82" s="99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45"/>
      <c r="AA82" s="63"/>
      <c r="AB82" s="63"/>
    </row>
    <row r="83" spans="1:28" ht="15.75" x14ac:dyDescent="0.25">
      <c r="A83" s="56" t="s">
        <v>55</v>
      </c>
      <c r="B83" s="145">
        <f>B84+B97+B100+B103+B110+B113+B116+B119</f>
        <v>26</v>
      </c>
      <c r="C83" s="99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45"/>
      <c r="AA83" s="63"/>
      <c r="AB83" s="63"/>
    </row>
    <row r="84" spans="1:28" ht="15.75" x14ac:dyDescent="0.25">
      <c r="A84" s="57" t="s">
        <v>56</v>
      </c>
      <c r="B84" s="145">
        <f>B85+B88+B91+B94</f>
        <v>26</v>
      </c>
      <c r="C84" s="99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45"/>
      <c r="AA84" s="63"/>
      <c r="AB84" s="63"/>
    </row>
    <row r="85" spans="1:28" ht="15.75" x14ac:dyDescent="0.25">
      <c r="A85" s="55" t="s">
        <v>57</v>
      </c>
      <c r="B85" s="145">
        <f>B86+B87</f>
        <v>26</v>
      </c>
      <c r="C85" s="99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45"/>
      <c r="AA85" s="63"/>
      <c r="AB85" s="63"/>
    </row>
    <row r="86" spans="1:28" ht="15.75" x14ac:dyDescent="0.25">
      <c r="A86" s="55" t="s">
        <v>58</v>
      </c>
      <c r="B86" s="146">
        <v>26</v>
      </c>
      <c r="C86" s="99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45"/>
      <c r="AA86" s="63"/>
      <c r="AB86" s="63"/>
    </row>
    <row r="87" spans="1:28" ht="15.75" x14ac:dyDescent="0.25">
      <c r="A87" s="55" t="s">
        <v>197</v>
      </c>
      <c r="B87" s="146"/>
      <c r="C87" s="99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45"/>
      <c r="AA87" s="63"/>
      <c r="AB87" s="63"/>
    </row>
    <row r="88" spans="1:28" ht="15.75" x14ac:dyDescent="0.25">
      <c r="A88" s="55" t="s">
        <v>237</v>
      </c>
      <c r="B88" s="145">
        <f>B89+B90</f>
        <v>0</v>
      </c>
      <c r="C88" s="99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45"/>
      <c r="AA88" s="63"/>
      <c r="AB88" s="63"/>
    </row>
    <row r="89" spans="1:28" ht="15.75" x14ac:dyDescent="0.25">
      <c r="A89" s="55" t="s">
        <v>59</v>
      </c>
      <c r="B89" s="146"/>
      <c r="C89" s="99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45"/>
      <c r="AA89" s="63"/>
      <c r="AB89" s="63"/>
    </row>
    <row r="90" spans="1:28" ht="15.75" x14ac:dyDescent="0.25">
      <c r="A90" s="55" t="s">
        <v>198</v>
      </c>
      <c r="B90" s="146"/>
      <c r="C90" s="99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45"/>
      <c r="AA90" s="63"/>
      <c r="AB90" s="63"/>
    </row>
    <row r="91" spans="1:28" ht="15.75" x14ac:dyDescent="0.25">
      <c r="A91" s="55" t="s">
        <v>60</v>
      </c>
      <c r="B91" s="145">
        <f>B92+B93</f>
        <v>0</v>
      </c>
      <c r="C91" s="99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45"/>
      <c r="AA91" s="63"/>
      <c r="AB91" s="63"/>
    </row>
    <row r="92" spans="1:28" ht="15.75" x14ac:dyDescent="0.25">
      <c r="A92" s="55" t="s">
        <v>61</v>
      </c>
      <c r="B92" s="146"/>
      <c r="C92" s="99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45"/>
      <c r="AA92" s="63"/>
      <c r="AB92" s="63"/>
    </row>
    <row r="93" spans="1:28" ht="15.75" x14ac:dyDescent="0.25">
      <c r="A93" s="55" t="s">
        <v>199</v>
      </c>
      <c r="B93" s="146"/>
      <c r="C93" s="99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45"/>
      <c r="AA93" s="63"/>
      <c r="AB93" s="63"/>
    </row>
    <row r="94" spans="1:28" ht="15.75" x14ac:dyDescent="0.25">
      <c r="A94" s="55" t="s">
        <v>62</v>
      </c>
      <c r="B94" s="145">
        <f>B95+B96</f>
        <v>0</v>
      </c>
      <c r="C94" s="99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45"/>
      <c r="AA94" s="63"/>
      <c r="AB94" s="63"/>
    </row>
    <row r="95" spans="1:28" ht="15.75" x14ac:dyDescent="0.25">
      <c r="A95" s="55" t="s">
        <v>63</v>
      </c>
      <c r="B95" s="146"/>
      <c r="C95" s="99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45"/>
      <c r="AA95" s="63"/>
      <c r="AB95" s="63"/>
    </row>
    <row r="96" spans="1:28" ht="15.75" x14ac:dyDescent="0.25">
      <c r="A96" s="55" t="s">
        <v>200</v>
      </c>
      <c r="B96" s="146"/>
      <c r="C96" s="99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45"/>
      <c r="AA96" s="63"/>
      <c r="AB96" s="63"/>
    </row>
    <row r="97" spans="1:28" ht="15.75" x14ac:dyDescent="0.25">
      <c r="A97" s="57" t="s">
        <v>64</v>
      </c>
      <c r="B97" s="145">
        <f>B98+B99</f>
        <v>0</v>
      </c>
      <c r="C97" s="99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45"/>
      <c r="AA97" s="63"/>
      <c r="AB97" s="63"/>
    </row>
    <row r="98" spans="1:28" ht="15.75" x14ac:dyDescent="0.25">
      <c r="A98" s="55" t="s">
        <v>65</v>
      </c>
      <c r="B98" s="146"/>
      <c r="C98" s="99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45"/>
      <c r="AA98" s="63"/>
      <c r="AB98" s="63"/>
    </row>
    <row r="99" spans="1:28" ht="15.75" x14ac:dyDescent="0.25">
      <c r="A99" s="55" t="s">
        <v>201</v>
      </c>
      <c r="B99" s="146"/>
      <c r="C99" s="99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45"/>
      <c r="AA99" s="63"/>
      <c r="AB99" s="63"/>
    </row>
    <row r="100" spans="1:28" ht="15.75" x14ac:dyDescent="0.25">
      <c r="A100" s="57" t="s">
        <v>66</v>
      </c>
      <c r="B100" s="145">
        <f>B101+B102</f>
        <v>0</v>
      </c>
      <c r="C100" s="99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45"/>
      <c r="AA100" s="63"/>
      <c r="AB100" s="63"/>
    </row>
    <row r="101" spans="1:28" ht="15.75" x14ac:dyDescent="0.25">
      <c r="A101" s="55" t="s">
        <v>67</v>
      </c>
      <c r="B101" s="146"/>
      <c r="C101" s="99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45"/>
      <c r="AA101" s="63"/>
      <c r="AB101" s="63"/>
    </row>
    <row r="102" spans="1:28" ht="15.75" x14ac:dyDescent="0.25">
      <c r="A102" s="55" t="s">
        <v>202</v>
      </c>
      <c r="B102" s="146"/>
      <c r="C102" s="99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45"/>
      <c r="AA102" s="63"/>
      <c r="AB102" s="63"/>
    </row>
    <row r="103" spans="1:28" ht="15.75" x14ac:dyDescent="0.25">
      <c r="A103" s="57" t="s">
        <v>68</v>
      </c>
      <c r="B103" s="145">
        <f>B104+B107</f>
        <v>0</v>
      </c>
      <c r="C103" s="99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45"/>
      <c r="AA103" s="63"/>
      <c r="AB103" s="63"/>
    </row>
    <row r="104" spans="1:28" ht="15.75" x14ac:dyDescent="0.25">
      <c r="A104" s="55" t="s">
        <v>238</v>
      </c>
      <c r="B104" s="145">
        <f>B105+B106</f>
        <v>0</v>
      </c>
      <c r="C104" s="99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45"/>
      <c r="AA104" s="63"/>
      <c r="AB104" s="63"/>
    </row>
    <row r="105" spans="1:28" ht="15.75" x14ac:dyDescent="0.25">
      <c r="A105" s="2" t="s">
        <v>239</v>
      </c>
      <c r="B105" s="146"/>
      <c r="C105" s="99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45"/>
      <c r="AA105" s="63"/>
      <c r="AB105" s="63"/>
    </row>
    <row r="106" spans="1:28" ht="15.75" x14ac:dyDescent="0.25">
      <c r="A106" s="2" t="s">
        <v>240</v>
      </c>
      <c r="B106" s="146"/>
      <c r="C106" s="99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45"/>
      <c r="AA106" s="63"/>
      <c r="AB106" s="63"/>
    </row>
    <row r="107" spans="1:28" ht="15.75" x14ac:dyDescent="0.25">
      <c r="A107" s="2" t="s">
        <v>241</v>
      </c>
      <c r="B107" s="145">
        <f>B108+B109</f>
        <v>0</v>
      </c>
      <c r="C107" s="99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45"/>
      <c r="AA107" s="63"/>
      <c r="AB107" s="63"/>
    </row>
    <row r="108" spans="1:28" ht="15.75" x14ac:dyDescent="0.25">
      <c r="A108" s="2" t="s">
        <v>242</v>
      </c>
      <c r="B108" s="146"/>
      <c r="C108" s="99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45"/>
      <c r="AA108" s="63"/>
      <c r="AB108" s="63"/>
    </row>
    <row r="109" spans="1:28" ht="15.75" x14ac:dyDescent="0.25">
      <c r="A109" s="55" t="s">
        <v>243</v>
      </c>
      <c r="B109" s="146"/>
      <c r="C109" s="99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45"/>
      <c r="AA109" s="63"/>
      <c r="AB109" s="63"/>
    </row>
    <row r="110" spans="1:28" ht="15.75" x14ac:dyDescent="0.25">
      <c r="A110" s="57" t="s">
        <v>69</v>
      </c>
      <c r="B110" s="145">
        <f>B111+B112</f>
        <v>0</v>
      </c>
      <c r="C110" s="99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45"/>
      <c r="AA110" s="63"/>
      <c r="AB110" s="63"/>
    </row>
    <row r="111" spans="1:28" ht="15.75" x14ac:dyDescent="0.25">
      <c r="A111" s="55" t="s">
        <v>244</v>
      </c>
      <c r="B111" s="146"/>
      <c r="C111" s="99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45"/>
      <c r="AA111" s="63"/>
      <c r="AB111" s="63"/>
    </row>
    <row r="112" spans="1:28" ht="15.75" x14ac:dyDescent="0.25">
      <c r="A112" s="55" t="s">
        <v>245</v>
      </c>
      <c r="B112" s="146"/>
      <c r="C112" s="99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45"/>
      <c r="AA112" s="63"/>
      <c r="AB112" s="63"/>
    </row>
    <row r="113" spans="1:28" ht="15.75" x14ac:dyDescent="0.25">
      <c r="A113" s="57" t="s">
        <v>70</v>
      </c>
      <c r="B113" s="145">
        <f>B114+B115</f>
        <v>0</v>
      </c>
      <c r="C113" s="99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45"/>
      <c r="AA113" s="63"/>
      <c r="AB113" s="63"/>
    </row>
    <row r="114" spans="1:28" ht="15.75" x14ac:dyDescent="0.25">
      <c r="A114" s="55" t="s">
        <v>246</v>
      </c>
      <c r="B114" s="146"/>
      <c r="C114" s="99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45"/>
      <c r="AA114" s="63"/>
      <c r="AB114" s="63"/>
    </row>
    <row r="115" spans="1:28" ht="15.75" x14ac:dyDescent="0.25">
      <c r="A115" s="55" t="s">
        <v>247</v>
      </c>
      <c r="B115" s="146"/>
      <c r="C115" s="99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45"/>
      <c r="AA115" s="63"/>
      <c r="AB115" s="63"/>
    </row>
    <row r="116" spans="1:28" ht="15.75" x14ac:dyDescent="0.25">
      <c r="A116" s="57" t="s">
        <v>71</v>
      </c>
      <c r="B116" s="145">
        <f>B117+B118</f>
        <v>0</v>
      </c>
      <c r="C116" s="99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45"/>
      <c r="AA116" s="63"/>
      <c r="AB116" s="63"/>
    </row>
    <row r="117" spans="1:28" ht="15.75" x14ac:dyDescent="0.25">
      <c r="A117" s="55" t="s">
        <v>248</v>
      </c>
      <c r="B117" s="146"/>
      <c r="C117" s="99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45"/>
      <c r="AA117" s="63"/>
      <c r="AB117" s="63"/>
    </row>
    <row r="118" spans="1:28" ht="15.75" x14ac:dyDescent="0.25">
      <c r="A118" s="55" t="s">
        <v>249</v>
      </c>
      <c r="B118" s="146"/>
      <c r="C118" s="99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45"/>
      <c r="AA118" s="63"/>
      <c r="AB118" s="63"/>
    </row>
    <row r="119" spans="1:28" ht="15.75" x14ac:dyDescent="0.25">
      <c r="A119" s="57" t="s">
        <v>320</v>
      </c>
      <c r="B119" s="145">
        <f>B120+B121</f>
        <v>0</v>
      </c>
      <c r="C119" s="99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45"/>
      <c r="AA119" s="63"/>
      <c r="AB119" s="63"/>
    </row>
    <row r="120" spans="1:28" ht="15.75" x14ac:dyDescent="0.25">
      <c r="A120" s="55" t="s">
        <v>250</v>
      </c>
      <c r="B120" s="146"/>
      <c r="C120" s="99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45"/>
      <c r="AA120" s="63"/>
      <c r="AB120" s="63"/>
    </row>
    <row r="121" spans="1:28" ht="15.75" x14ac:dyDescent="0.25">
      <c r="A121" s="55" t="s">
        <v>251</v>
      </c>
      <c r="B121" s="146"/>
      <c r="C121" s="99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45"/>
      <c r="AA121" s="63"/>
      <c r="AB121" s="63"/>
    </row>
    <row r="122" spans="1:28" ht="15.75" x14ac:dyDescent="0.25">
      <c r="A122" s="57" t="s">
        <v>270</v>
      </c>
      <c r="B122" s="146">
        <v>0</v>
      </c>
      <c r="C122" s="99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45"/>
      <c r="AA122" s="63"/>
      <c r="AB122" s="63"/>
    </row>
    <row r="123" spans="1:28" ht="15.75" x14ac:dyDescent="0.25">
      <c r="A123" s="56" t="s">
        <v>73</v>
      </c>
      <c r="B123" s="145">
        <f>B124+B146+B153+B156+B160+B163+B166+B169+B172</f>
        <v>26</v>
      </c>
      <c r="C123" s="99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45"/>
      <c r="AA123" s="63"/>
      <c r="AB123" s="63"/>
    </row>
    <row r="124" spans="1:28" ht="15.75" x14ac:dyDescent="0.25">
      <c r="A124" s="57" t="s">
        <v>8</v>
      </c>
      <c r="B124" s="145">
        <f>B125+B132+B135+B139</f>
        <v>26</v>
      </c>
      <c r="C124" s="99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45"/>
      <c r="AA124" s="63"/>
      <c r="AB124" s="63"/>
    </row>
    <row r="125" spans="1:28" ht="15.75" x14ac:dyDescent="0.25">
      <c r="A125" s="55" t="s">
        <v>9</v>
      </c>
      <c r="B125" s="145">
        <f>B126+B129</f>
        <v>26</v>
      </c>
      <c r="C125" s="99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45"/>
      <c r="AA125" s="63"/>
      <c r="AB125" s="63"/>
    </row>
    <row r="126" spans="1:28" ht="15.75" x14ac:dyDescent="0.25">
      <c r="A126" s="55" t="s">
        <v>264</v>
      </c>
      <c r="B126" s="145">
        <f>B127+B128</f>
        <v>0</v>
      </c>
      <c r="C126" s="99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45"/>
      <c r="AA126" s="63"/>
      <c r="AB126" s="63"/>
    </row>
    <row r="127" spans="1:28" ht="15.75" x14ac:dyDescent="0.25">
      <c r="A127" s="55" t="s">
        <v>265</v>
      </c>
      <c r="B127" s="146"/>
      <c r="C127" s="99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45"/>
      <c r="AA127" s="63"/>
      <c r="AB127" s="63"/>
    </row>
    <row r="128" spans="1:28" ht="15.75" x14ac:dyDescent="0.25">
      <c r="A128" s="55" t="s">
        <v>266</v>
      </c>
      <c r="B128" s="146"/>
      <c r="C128" s="99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45"/>
      <c r="AA128" s="63"/>
      <c r="AB128" s="63"/>
    </row>
    <row r="129" spans="1:28" ht="15.75" x14ac:dyDescent="0.25">
      <c r="A129" s="55" t="s">
        <v>267</v>
      </c>
      <c r="B129" s="145">
        <f>B130+B131</f>
        <v>26</v>
      </c>
      <c r="C129" s="99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45"/>
      <c r="AA129" s="63"/>
      <c r="AB129" s="63"/>
    </row>
    <row r="130" spans="1:28" ht="15.75" x14ac:dyDescent="0.25">
      <c r="A130" s="55" t="s">
        <v>268</v>
      </c>
      <c r="B130" s="146">
        <v>26</v>
      </c>
      <c r="C130" s="99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45"/>
      <c r="AA130" s="63"/>
      <c r="AB130" s="63"/>
    </row>
    <row r="131" spans="1:28" ht="15.75" x14ac:dyDescent="0.25">
      <c r="A131" s="55" t="s">
        <v>269</v>
      </c>
      <c r="B131" s="146"/>
      <c r="C131" s="99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45"/>
      <c r="AA131" s="63"/>
      <c r="AB131" s="63"/>
    </row>
    <row r="132" spans="1:28" ht="15.75" x14ac:dyDescent="0.25">
      <c r="A132" s="55" t="s">
        <v>10</v>
      </c>
      <c r="B132" s="145">
        <f>B133+B134</f>
        <v>0</v>
      </c>
      <c r="C132" s="99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45"/>
      <c r="AA132" s="63"/>
      <c r="AB132" s="63"/>
    </row>
    <row r="133" spans="1:28" ht="15.75" x14ac:dyDescent="0.25">
      <c r="A133" s="55" t="s">
        <v>74</v>
      </c>
      <c r="B133" s="146"/>
      <c r="C133" s="99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45"/>
      <c r="AA133" s="63"/>
      <c r="AB133" s="63"/>
    </row>
    <row r="134" spans="1:28" ht="15.75" x14ac:dyDescent="0.25">
      <c r="A134" s="55" t="s">
        <v>203</v>
      </c>
      <c r="B134" s="146"/>
      <c r="C134" s="99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45"/>
      <c r="AA134" s="63"/>
      <c r="AB134" s="63"/>
    </row>
    <row r="135" spans="1:28" ht="15.75" x14ac:dyDescent="0.25">
      <c r="A135" s="55" t="s">
        <v>11</v>
      </c>
      <c r="B135" s="145">
        <f>B136+B137</f>
        <v>0</v>
      </c>
      <c r="C135" s="99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45"/>
      <c r="AA135" s="63"/>
      <c r="AB135" s="63"/>
    </row>
    <row r="136" spans="1:28" ht="15.75" x14ac:dyDescent="0.25">
      <c r="A136" s="55" t="s">
        <v>75</v>
      </c>
      <c r="B136" s="146"/>
      <c r="C136" s="99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45"/>
      <c r="AA136" s="63"/>
      <c r="AB136" s="63"/>
    </row>
    <row r="137" spans="1:28" ht="15.75" x14ac:dyDescent="0.25">
      <c r="A137" s="55" t="s">
        <v>204</v>
      </c>
      <c r="B137" s="146"/>
      <c r="C137" s="99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45"/>
      <c r="AA137" s="63"/>
      <c r="AB137" s="63"/>
    </row>
    <row r="138" spans="1:28" ht="15.75" x14ac:dyDescent="0.25">
      <c r="A138" s="55" t="s">
        <v>321</v>
      </c>
      <c r="B138" s="148"/>
      <c r="C138" s="99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45"/>
      <c r="AA138" s="63"/>
      <c r="AB138" s="63"/>
    </row>
    <row r="139" spans="1:28" ht="15.75" x14ac:dyDescent="0.25">
      <c r="A139" s="55" t="s">
        <v>322</v>
      </c>
      <c r="B139" s="145">
        <f>B140+B143</f>
        <v>0</v>
      </c>
      <c r="C139" s="99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45"/>
      <c r="AA139" s="63"/>
      <c r="AB139" s="63"/>
    </row>
    <row r="140" spans="1:28" ht="15.75" x14ac:dyDescent="0.25">
      <c r="A140" s="55" t="s">
        <v>150</v>
      </c>
      <c r="B140" s="145">
        <f>B141+B142</f>
        <v>0</v>
      </c>
      <c r="C140" s="99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45"/>
      <c r="AA140" s="63"/>
      <c r="AB140" s="63"/>
    </row>
    <row r="141" spans="1:28" ht="15.75" x14ac:dyDescent="0.25">
      <c r="A141" s="55" t="s">
        <v>151</v>
      </c>
      <c r="B141" s="146"/>
      <c r="C141" s="99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45"/>
      <c r="AA141" s="63"/>
      <c r="AB141" s="63"/>
    </row>
    <row r="142" spans="1:28" ht="15.75" x14ac:dyDescent="0.25">
      <c r="A142" s="55" t="s">
        <v>252</v>
      </c>
      <c r="B142" s="146"/>
      <c r="C142" s="99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45"/>
      <c r="AA142" s="63"/>
      <c r="AB142" s="63"/>
    </row>
    <row r="143" spans="1:28" ht="15.75" x14ac:dyDescent="0.25">
      <c r="A143" s="55" t="s">
        <v>152</v>
      </c>
      <c r="B143" s="145">
        <f>B144+B145</f>
        <v>0</v>
      </c>
      <c r="C143" s="99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45"/>
      <c r="AA143" s="63"/>
      <c r="AB143" s="63"/>
    </row>
    <row r="144" spans="1:28" ht="15.75" x14ac:dyDescent="0.25">
      <c r="A144" s="55" t="s">
        <v>153</v>
      </c>
      <c r="B144" s="146"/>
      <c r="C144" s="99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45"/>
      <c r="AA144" s="63"/>
      <c r="AB144" s="63"/>
    </row>
    <row r="145" spans="1:28" ht="15.75" x14ac:dyDescent="0.25">
      <c r="A145" s="55" t="s">
        <v>205</v>
      </c>
      <c r="B145" s="146"/>
      <c r="C145" s="99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45"/>
      <c r="AA145" s="63"/>
      <c r="AB145" s="63"/>
    </row>
    <row r="146" spans="1:28" ht="15.75" x14ac:dyDescent="0.25">
      <c r="A146" s="57" t="s">
        <v>76</v>
      </c>
      <c r="B146" s="145">
        <f>B147+B150</f>
        <v>0</v>
      </c>
      <c r="C146" s="99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45"/>
      <c r="AA146" s="63"/>
      <c r="AB146" s="63"/>
    </row>
    <row r="147" spans="1:28" ht="15.75" x14ac:dyDescent="0.25">
      <c r="A147" s="2" t="s">
        <v>77</v>
      </c>
      <c r="B147" s="145">
        <f>B148+B149</f>
        <v>0</v>
      </c>
      <c r="C147" s="99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45"/>
      <c r="AA147" s="63"/>
      <c r="AB147" s="63"/>
    </row>
    <row r="148" spans="1:28" ht="15.75" x14ac:dyDescent="0.25">
      <c r="A148" s="2" t="s">
        <v>78</v>
      </c>
      <c r="B148" s="146"/>
      <c r="C148" s="99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45"/>
      <c r="AA148" s="63"/>
      <c r="AB148" s="63"/>
    </row>
    <row r="149" spans="1:28" ht="15.75" x14ac:dyDescent="0.25">
      <c r="A149" s="2" t="s">
        <v>206</v>
      </c>
      <c r="B149" s="146"/>
      <c r="C149" s="99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45"/>
      <c r="AA149" s="63"/>
      <c r="AB149" s="63"/>
    </row>
    <row r="150" spans="1:28" ht="15.75" x14ac:dyDescent="0.25">
      <c r="A150" s="2" t="s">
        <v>79</v>
      </c>
      <c r="B150" s="145">
        <f>B151+B152</f>
        <v>0</v>
      </c>
      <c r="C150" s="99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45"/>
      <c r="AA150" s="63"/>
      <c r="AB150" s="63"/>
    </row>
    <row r="151" spans="1:28" ht="15.75" x14ac:dyDescent="0.25">
      <c r="A151" s="2" t="s">
        <v>80</v>
      </c>
      <c r="B151" s="146"/>
      <c r="C151" s="99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45"/>
      <c r="AA151" s="63"/>
      <c r="AB151" s="63"/>
    </row>
    <row r="152" spans="1:28" ht="15.75" x14ac:dyDescent="0.25">
      <c r="A152" s="55" t="s">
        <v>207</v>
      </c>
      <c r="B152" s="146"/>
      <c r="C152" s="99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45"/>
      <c r="AA152" s="63"/>
      <c r="AB152" s="63"/>
    </row>
    <row r="153" spans="1:28" ht="15.75" x14ac:dyDescent="0.25">
      <c r="A153" s="57" t="s">
        <v>81</v>
      </c>
      <c r="B153" s="145">
        <f>B154+B155</f>
        <v>0</v>
      </c>
      <c r="C153" s="99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45"/>
      <c r="AA153" s="63"/>
      <c r="AB153" s="63"/>
    </row>
    <row r="154" spans="1:28" ht="15.75" x14ac:dyDescent="0.25">
      <c r="A154" s="55" t="s">
        <v>82</v>
      </c>
      <c r="B154" s="146"/>
      <c r="C154" s="99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45"/>
      <c r="AA154" s="63"/>
      <c r="AB154" s="63"/>
    </row>
    <row r="155" spans="1:28" ht="15.75" x14ac:dyDescent="0.25">
      <c r="A155" s="55" t="s">
        <v>208</v>
      </c>
      <c r="B155" s="146"/>
      <c r="C155" s="99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45"/>
      <c r="AA155" s="63"/>
      <c r="AB155" s="63"/>
    </row>
    <row r="156" spans="1:28" ht="15.75" x14ac:dyDescent="0.25">
      <c r="A156" s="57" t="s">
        <v>12</v>
      </c>
      <c r="B156" s="145">
        <f>B157</f>
        <v>0</v>
      </c>
      <c r="C156" s="99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45"/>
      <c r="AA156" s="63"/>
      <c r="AB156" s="63"/>
    </row>
    <row r="157" spans="1:28" ht="15.75" x14ac:dyDescent="0.25">
      <c r="A157" s="55" t="s">
        <v>83</v>
      </c>
      <c r="B157" s="145">
        <f>B158+B159</f>
        <v>0</v>
      </c>
      <c r="C157" s="99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45"/>
      <c r="AA157" s="63"/>
      <c r="AB157" s="63"/>
    </row>
    <row r="158" spans="1:28" ht="15.75" x14ac:dyDescent="0.25">
      <c r="A158" s="2" t="s">
        <v>84</v>
      </c>
      <c r="B158" s="146"/>
      <c r="C158" s="99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45"/>
      <c r="AA158" s="63"/>
      <c r="AB158" s="63"/>
    </row>
    <row r="159" spans="1:28" ht="15.75" x14ac:dyDescent="0.25">
      <c r="A159" s="2" t="s">
        <v>209</v>
      </c>
      <c r="B159" s="146"/>
      <c r="C159" s="99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45"/>
      <c r="AA159" s="63"/>
      <c r="AB159" s="63"/>
    </row>
    <row r="160" spans="1:28" ht="15.75" x14ac:dyDescent="0.25">
      <c r="A160" s="57" t="s">
        <v>233</v>
      </c>
      <c r="B160" s="145">
        <f>B161+B162</f>
        <v>0</v>
      </c>
      <c r="C160" s="99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45"/>
      <c r="AA160" s="63"/>
      <c r="AB160" s="63"/>
    </row>
    <row r="161" spans="1:28" ht="15.75" x14ac:dyDescent="0.25">
      <c r="A161" s="55" t="s">
        <v>281</v>
      </c>
      <c r="B161" s="146"/>
      <c r="C161" s="99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45"/>
      <c r="AA161" s="63"/>
      <c r="AB161" s="63"/>
    </row>
    <row r="162" spans="1:28" ht="15.75" x14ac:dyDescent="0.25">
      <c r="A162" s="55" t="s">
        <v>282</v>
      </c>
      <c r="B162" s="146"/>
      <c r="C162" s="99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45"/>
      <c r="AA162" s="63"/>
      <c r="AB162" s="63"/>
    </row>
    <row r="163" spans="1:28" ht="15.75" x14ac:dyDescent="0.25">
      <c r="A163" s="57" t="s">
        <v>13</v>
      </c>
      <c r="B163" s="145">
        <f>B164+B165</f>
        <v>0</v>
      </c>
      <c r="C163" s="99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45"/>
      <c r="AA163" s="63"/>
      <c r="AB163" s="63"/>
    </row>
    <row r="164" spans="1:28" ht="15.75" x14ac:dyDescent="0.25">
      <c r="A164" s="55" t="s">
        <v>85</v>
      </c>
      <c r="B164" s="146"/>
      <c r="C164" s="99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45"/>
      <c r="AA164" s="63"/>
      <c r="AB164" s="63"/>
    </row>
    <row r="165" spans="1:28" ht="15.75" x14ac:dyDescent="0.25">
      <c r="A165" s="55" t="s">
        <v>210</v>
      </c>
      <c r="B165" s="146"/>
      <c r="C165" s="99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45"/>
      <c r="AA165" s="63"/>
      <c r="AB165" s="63"/>
    </row>
    <row r="166" spans="1:28" ht="15.75" x14ac:dyDescent="0.25">
      <c r="A166" s="57" t="s">
        <v>14</v>
      </c>
      <c r="B166" s="145">
        <f>B167+B168</f>
        <v>0</v>
      </c>
      <c r="C166" s="99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45"/>
      <c r="AA166" s="63"/>
      <c r="AB166" s="63"/>
    </row>
    <row r="167" spans="1:28" ht="15.75" x14ac:dyDescent="0.25">
      <c r="A167" s="55" t="s">
        <v>253</v>
      </c>
      <c r="B167" s="146"/>
      <c r="C167" s="99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45"/>
      <c r="AA167" s="63"/>
      <c r="AB167" s="63"/>
    </row>
    <row r="168" spans="1:28" ht="15.75" x14ac:dyDescent="0.25">
      <c r="A168" s="55" t="s">
        <v>254</v>
      </c>
      <c r="B168" s="146"/>
      <c r="C168" s="99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45"/>
      <c r="AA168" s="63"/>
      <c r="AB168" s="63"/>
    </row>
    <row r="169" spans="1:28" ht="15.75" x14ac:dyDescent="0.25">
      <c r="A169" s="57" t="s">
        <v>323</v>
      </c>
      <c r="B169" s="145">
        <f>B170+B171</f>
        <v>0</v>
      </c>
      <c r="C169" s="99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45"/>
      <c r="AA169" s="63"/>
      <c r="AB169" s="63"/>
    </row>
    <row r="170" spans="1:28" ht="15.75" x14ac:dyDescent="0.25">
      <c r="A170" s="55" t="s">
        <v>255</v>
      </c>
      <c r="B170" s="146"/>
      <c r="C170" s="99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45"/>
      <c r="AA170" s="63"/>
      <c r="AB170" s="63"/>
    </row>
    <row r="171" spans="1:28" ht="15.75" x14ac:dyDescent="0.25">
      <c r="A171" s="55" t="s">
        <v>256</v>
      </c>
      <c r="B171" s="146"/>
      <c r="C171" s="99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45"/>
      <c r="AA171" s="63"/>
      <c r="AB171" s="63"/>
    </row>
    <row r="172" spans="1:28" ht="15.75" x14ac:dyDescent="0.25">
      <c r="A172" s="57" t="s">
        <v>234</v>
      </c>
      <c r="B172" s="145">
        <f>B174+B173</f>
        <v>0</v>
      </c>
      <c r="C172" s="99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45"/>
      <c r="AA172" s="63"/>
      <c r="AB172" s="63"/>
    </row>
    <row r="173" spans="1:28" ht="15.75" x14ac:dyDescent="0.25">
      <c r="A173" s="55" t="s">
        <v>235</v>
      </c>
      <c r="B173" s="147"/>
      <c r="C173" s="99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45"/>
      <c r="AA173" s="63"/>
      <c r="AB173" s="63"/>
    </row>
    <row r="174" spans="1:28" ht="15.75" x14ac:dyDescent="0.25">
      <c r="A174" s="55" t="s">
        <v>236</v>
      </c>
      <c r="B174" s="146"/>
      <c r="C174" s="99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45"/>
      <c r="AA174" s="63"/>
      <c r="AB174" s="63"/>
    </row>
    <row r="175" spans="1:28" ht="15.75" x14ac:dyDescent="0.25">
      <c r="A175" s="62" t="s">
        <v>86</v>
      </c>
      <c r="B175" s="148"/>
      <c r="C175" s="99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45"/>
      <c r="AA175" s="63"/>
      <c r="AB175" s="63"/>
    </row>
    <row r="176" spans="1:28" ht="15.75" x14ac:dyDescent="0.25">
      <c r="A176" s="81" t="s">
        <v>87</v>
      </c>
      <c r="B176" s="145">
        <f>B178+B177</f>
        <v>0</v>
      </c>
      <c r="C176" s="99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45"/>
      <c r="AA176" s="63"/>
      <c r="AB176" s="63"/>
    </row>
    <row r="177" spans="1:28" ht="15.75" x14ac:dyDescent="0.25">
      <c r="A177" s="55" t="s">
        <v>257</v>
      </c>
      <c r="B177" s="146"/>
      <c r="C177" s="99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45"/>
      <c r="AA177" s="63"/>
      <c r="AB177" s="63"/>
    </row>
    <row r="178" spans="1:28" ht="15.75" x14ac:dyDescent="0.25">
      <c r="A178" s="55" t="s">
        <v>258</v>
      </c>
      <c r="B178" s="146"/>
      <c r="C178" s="99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45"/>
      <c r="AA178" s="63"/>
      <c r="AB178" s="63"/>
    </row>
    <row r="179" spans="1:28" ht="15.75" x14ac:dyDescent="0.25">
      <c r="A179" s="62" t="s">
        <v>88</v>
      </c>
      <c r="B179" s="146"/>
      <c r="C179" s="99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45"/>
      <c r="AA179" s="63"/>
      <c r="AB179" s="63"/>
    </row>
    <row r="180" spans="1:28" ht="15.75" x14ac:dyDescent="0.25">
      <c r="A180" s="81" t="s">
        <v>15</v>
      </c>
      <c r="B180" s="145">
        <f>B181+B182</f>
        <v>0</v>
      </c>
      <c r="C180" s="99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45"/>
      <c r="AA180" s="63"/>
      <c r="AB180" s="63"/>
    </row>
    <row r="181" spans="1:28" ht="15.75" x14ac:dyDescent="0.25">
      <c r="A181" s="55" t="s">
        <v>16</v>
      </c>
      <c r="B181" s="146"/>
      <c r="C181" s="99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45"/>
      <c r="AA181" s="63"/>
      <c r="AB181" s="63"/>
    </row>
    <row r="182" spans="1:28" ht="15.75" x14ac:dyDescent="0.25">
      <c r="A182" s="55" t="s">
        <v>211</v>
      </c>
      <c r="B182" s="146"/>
      <c r="C182" s="99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45"/>
      <c r="AA182" s="63"/>
      <c r="AB182" s="63"/>
    </row>
    <row r="183" spans="1:28" ht="15.75" x14ac:dyDescent="0.25">
      <c r="A183" s="62" t="s">
        <v>124</v>
      </c>
      <c r="B183" s="146"/>
      <c r="C183" s="99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45"/>
      <c r="AA183" s="63"/>
      <c r="AB183" s="63"/>
    </row>
    <row r="184" spans="1:28" ht="15.75" x14ac:dyDescent="0.25">
      <c r="A184" s="62" t="s">
        <v>89</v>
      </c>
      <c r="B184" s="146"/>
      <c r="C184" s="99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45"/>
      <c r="AA184" s="63"/>
      <c r="AB184" s="63"/>
    </row>
    <row r="185" spans="1:28" ht="15.75" x14ac:dyDescent="0.25">
      <c r="A185" s="62" t="s">
        <v>285</v>
      </c>
      <c r="B185" s="159"/>
      <c r="C185" s="99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45"/>
      <c r="AA185" s="63"/>
      <c r="AB185" s="63"/>
    </row>
    <row r="186" spans="1:28" ht="15.75" x14ac:dyDescent="0.25">
      <c r="A186" s="81" t="s">
        <v>434</v>
      </c>
      <c r="B186" s="145">
        <f>B187</f>
        <v>0</v>
      </c>
      <c r="C186" s="99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45"/>
      <c r="AA186" s="63"/>
      <c r="AB186" s="63"/>
    </row>
    <row r="187" spans="1:28" ht="15.75" x14ac:dyDescent="0.25">
      <c r="A187" s="55" t="s">
        <v>435</v>
      </c>
      <c r="B187" s="159"/>
      <c r="C187" s="99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45"/>
      <c r="AA187" s="63"/>
      <c r="AB187" s="63"/>
    </row>
    <row r="188" spans="1:28" ht="15.75" x14ac:dyDescent="0.25">
      <c r="A188" s="81" t="s">
        <v>436</v>
      </c>
      <c r="B188" s="145">
        <f>SUM(B189:B191)</f>
        <v>0</v>
      </c>
      <c r="C188" s="99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45"/>
      <c r="AA188" s="63"/>
      <c r="AB188" s="63"/>
    </row>
    <row r="189" spans="1:28" ht="15.75" x14ac:dyDescent="0.25">
      <c r="A189" s="55" t="s">
        <v>324</v>
      </c>
      <c r="B189" s="146"/>
      <c r="C189" s="99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45"/>
      <c r="AA189" s="63"/>
      <c r="AB189" s="63"/>
    </row>
    <row r="190" spans="1:28" ht="15.75" x14ac:dyDescent="0.25">
      <c r="A190" s="55" t="s">
        <v>437</v>
      </c>
      <c r="B190" s="146"/>
      <c r="C190" s="99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45"/>
      <c r="AA190" s="63"/>
      <c r="AB190" s="63"/>
    </row>
    <row r="191" spans="1:28" ht="15.75" x14ac:dyDescent="0.25">
      <c r="A191" s="55" t="s">
        <v>438</v>
      </c>
      <c r="B191" s="146"/>
      <c r="C191" s="99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45"/>
      <c r="AA191" s="63"/>
      <c r="AB191" s="63"/>
    </row>
    <row r="192" spans="1:28" ht="15.75" x14ac:dyDescent="0.25">
      <c r="A192" s="81" t="s">
        <v>439</v>
      </c>
      <c r="B192" s="145">
        <f>SUM(B193:B195)</f>
        <v>0</v>
      </c>
      <c r="C192" s="99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45"/>
      <c r="AA192" s="63"/>
      <c r="AB192" s="63"/>
    </row>
    <row r="193" spans="1:28" ht="15.75" x14ac:dyDescent="0.25">
      <c r="A193" s="55" t="s">
        <v>440</v>
      </c>
      <c r="B193" s="146"/>
      <c r="C193" s="99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45"/>
      <c r="AA193" s="63"/>
      <c r="AB193" s="63"/>
    </row>
    <row r="194" spans="1:28" ht="15.75" x14ac:dyDescent="0.25">
      <c r="A194" s="55" t="s">
        <v>441</v>
      </c>
      <c r="B194" s="146"/>
      <c r="C194" s="99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45"/>
      <c r="AA194" s="63"/>
      <c r="AB194" s="63"/>
    </row>
    <row r="195" spans="1:28" ht="15.75" x14ac:dyDescent="0.25">
      <c r="A195" s="55" t="s">
        <v>442</v>
      </c>
      <c r="B195" s="146"/>
      <c r="C195" s="99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45"/>
      <c r="AA195" s="63"/>
      <c r="AB195" s="63"/>
    </row>
    <row r="196" spans="1:28" ht="15.75" x14ac:dyDescent="0.25">
      <c r="A196" s="62" t="s">
        <v>90</v>
      </c>
      <c r="B196" s="145"/>
      <c r="C196" s="99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45"/>
      <c r="AA196" s="63"/>
      <c r="AB196" s="63"/>
    </row>
    <row r="197" spans="1:28" ht="15.75" x14ac:dyDescent="0.25">
      <c r="A197" s="57" t="s">
        <v>91</v>
      </c>
      <c r="B197" s="145">
        <f>B198+B199+B200</f>
        <v>0</v>
      </c>
      <c r="C197" s="99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45"/>
      <c r="AA197" s="63"/>
      <c r="AB197" s="63"/>
    </row>
    <row r="198" spans="1:28" ht="15.75" x14ac:dyDescent="0.25">
      <c r="A198" s="55" t="s">
        <v>92</v>
      </c>
      <c r="B198" s="146"/>
      <c r="C198" s="99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45"/>
      <c r="AA198" s="63"/>
      <c r="AB198" s="63"/>
    </row>
    <row r="199" spans="1:28" ht="15.75" x14ac:dyDescent="0.25">
      <c r="A199" s="55" t="s">
        <v>93</v>
      </c>
      <c r="B199" s="146"/>
      <c r="C199" s="99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45"/>
      <c r="AA199" s="63"/>
      <c r="AB199" s="63"/>
    </row>
    <row r="200" spans="1:28" ht="15.75" x14ac:dyDescent="0.25">
      <c r="A200" s="55" t="s">
        <v>94</v>
      </c>
      <c r="B200" s="146"/>
      <c r="C200" s="99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45"/>
      <c r="AA200" s="63"/>
      <c r="AB200" s="63"/>
    </row>
    <row r="201" spans="1:28" ht="15.75" x14ac:dyDescent="0.25">
      <c r="A201" s="57" t="s">
        <v>95</v>
      </c>
      <c r="B201" s="145">
        <f>B202+B203+B204+B205</f>
        <v>0</v>
      </c>
      <c r="C201" s="99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45"/>
      <c r="AA201" s="63"/>
      <c r="AB201" s="63"/>
    </row>
    <row r="202" spans="1:28" ht="15.75" x14ac:dyDescent="0.25">
      <c r="A202" s="55" t="s">
        <v>96</v>
      </c>
      <c r="B202" s="146"/>
      <c r="C202" s="99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45"/>
      <c r="AA202" s="63"/>
      <c r="AB202" s="63"/>
    </row>
    <row r="203" spans="1:28" ht="15.75" customHeight="1" x14ac:dyDescent="0.25">
      <c r="A203" s="55" t="s">
        <v>98</v>
      </c>
      <c r="B203" s="146"/>
      <c r="C203" s="99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45"/>
      <c r="AA203" s="63"/>
      <c r="AB203" s="63"/>
    </row>
    <row r="204" spans="1:28" ht="12.75" customHeight="1" x14ac:dyDescent="0.25">
      <c r="A204" s="55" t="s">
        <v>97</v>
      </c>
      <c r="B204" s="146"/>
      <c r="C204" s="99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45"/>
      <c r="AA204" s="63"/>
      <c r="AB204" s="63"/>
    </row>
    <row r="205" spans="1:28" ht="26.25" x14ac:dyDescent="0.25">
      <c r="A205" s="55" t="s">
        <v>99</v>
      </c>
      <c r="B205" s="146"/>
      <c r="C205" s="99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45"/>
      <c r="AA205" s="63"/>
      <c r="AB205" s="63"/>
    </row>
    <row r="206" spans="1:28" ht="15.75" x14ac:dyDescent="0.25">
      <c r="A206" s="57" t="s">
        <v>100</v>
      </c>
      <c r="B206" s="145">
        <f>B207+B208+B209+B210</f>
        <v>0</v>
      </c>
      <c r="C206" s="99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45"/>
      <c r="AA206" s="63"/>
      <c r="AB206" s="63"/>
    </row>
    <row r="207" spans="1:28" ht="18.75" customHeight="1" x14ac:dyDescent="0.25">
      <c r="A207" s="55" t="s">
        <v>101</v>
      </c>
      <c r="B207" s="146"/>
      <c r="C207" s="99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45"/>
      <c r="AA207" s="63"/>
      <c r="AB207" s="63"/>
    </row>
    <row r="208" spans="1:28" ht="15.75" x14ac:dyDescent="0.25">
      <c r="A208" s="55" t="s">
        <v>102</v>
      </c>
      <c r="B208" s="146"/>
      <c r="C208" s="99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45"/>
      <c r="AA208" s="63"/>
      <c r="AB208" s="63"/>
    </row>
    <row r="209" spans="1:28" ht="15.75" customHeight="1" x14ac:dyDescent="0.25">
      <c r="A209" s="55" t="s">
        <v>103</v>
      </c>
      <c r="B209" s="146"/>
      <c r="C209" s="99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45"/>
      <c r="AA209" s="63"/>
      <c r="AB209" s="63"/>
    </row>
    <row r="210" spans="1:28" ht="26.25" x14ac:dyDescent="0.25">
      <c r="A210" s="55" t="s">
        <v>104</v>
      </c>
      <c r="B210" s="146"/>
      <c r="C210" s="99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45"/>
      <c r="AA210" s="63"/>
      <c r="AB210" s="63"/>
    </row>
    <row r="211" spans="1:28" ht="15.75" x14ac:dyDescent="0.25">
      <c r="A211" s="57" t="s">
        <v>105</v>
      </c>
      <c r="B211" s="145">
        <f>B212+B215+B218+B221</f>
        <v>0</v>
      </c>
      <c r="C211" s="99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45"/>
      <c r="AA211" s="63"/>
      <c r="AB211" s="63"/>
    </row>
    <row r="212" spans="1:28" ht="15.75" x14ac:dyDescent="0.25">
      <c r="A212" s="55" t="s">
        <v>106</v>
      </c>
      <c r="B212" s="145">
        <f>B213+B214</f>
        <v>0</v>
      </c>
      <c r="C212" s="99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45"/>
      <c r="AA212" s="63"/>
      <c r="AB212" s="63"/>
    </row>
    <row r="213" spans="1:28" ht="15.75" x14ac:dyDescent="0.25">
      <c r="A213" s="55" t="s">
        <v>107</v>
      </c>
      <c r="B213" s="146"/>
      <c r="C213" s="99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45"/>
      <c r="AA213" s="63"/>
      <c r="AB213" s="63"/>
    </row>
    <row r="214" spans="1:28" ht="15.75" x14ac:dyDescent="0.25">
      <c r="A214" s="55" t="s">
        <v>259</v>
      </c>
      <c r="B214" s="146"/>
      <c r="C214" s="99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45"/>
      <c r="AA214" s="63"/>
      <c r="AB214" s="63"/>
    </row>
    <row r="215" spans="1:28" ht="15.75" x14ac:dyDescent="0.25">
      <c r="A215" s="55" t="s">
        <v>108</v>
      </c>
      <c r="B215" s="145">
        <f>B216+B217</f>
        <v>0</v>
      </c>
      <c r="C215" s="99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45"/>
      <c r="AA215" s="63"/>
      <c r="AB215" s="63"/>
    </row>
    <row r="216" spans="1:28" ht="15.75" x14ac:dyDescent="0.25">
      <c r="A216" s="55" t="s">
        <v>111</v>
      </c>
      <c r="B216" s="146"/>
      <c r="C216" s="99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45"/>
      <c r="AA216" s="63"/>
      <c r="AB216" s="63"/>
    </row>
    <row r="217" spans="1:28" ht="15.75" x14ac:dyDescent="0.25">
      <c r="A217" s="55" t="s">
        <v>212</v>
      </c>
      <c r="B217" s="146"/>
      <c r="C217" s="99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45"/>
      <c r="AA217" s="63"/>
      <c r="AB217" s="63"/>
    </row>
    <row r="218" spans="1:28" ht="15.75" customHeight="1" x14ac:dyDescent="0.25">
      <c r="A218" s="55" t="s">
        <v>109</v>
      </c>
      <c r="B218" s="145">
        <f>B219+B220</f>
        <v>0</v>
      </c>
      <c r="C218" s="99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45"/>
      <c r="AA218" s="63"/>
      <c r="AB218" s="63"/>
    </row>
    <row r="219" spans="1:28" ht="15.75" x14ac:dyDescent="0.25">
      <c r="A219" s="55" t="s">
        <v>110</v>
      </c>
      <c r="B219" s="147"/>
      <c r="C219" s="99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45"/>
      <c r="AA219" s="63"/>
      <c r="AB219" s="63"/>
    </row>
    <row r="220" spans="1:28" ht="15.75" customHeight="1" x14ac:dyDescent="0.25">
      <c r="A220" s="55" t="s">
        <v>213</v>
      </c>
      <c r="B220" s="147"/>
      <c r="C220" s="99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45"/>
      <c r="AA220" s="63"/>
      <c r="AB220" s="63"/>
    </row>
    <row r="221" spans="1:28" ht="26.25" x14ac:dyDescent="0.25">
      <c r="A221" s="55" t="s">
        <v>112</v>
      </c>
      <c r="B221" s="145">
        <f>B222+B223</f>
        <v>0</v>
      </c>
      <c r="C221" s="99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45"/>
      <c r="AA221" s="63"/>
      <c r="AB221" s="63"/>
    </row>
    <row r="222" spans="1:28" ht="15.75" x14ac:dyDescent="0.25">
      <c r="A222" s="55" t="s">
        <v>113</v>
      </c>
      <c r="B222" s="146"/>
      <c r="C222" s="99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45"/>
      <c r="AA222" s="63"/>
      <c r="AB222" s="63"/>
    </row>
    <row r="223" spans="1:28" ht="15.75" x14ac:dyDescent="0.25">
      <c r="A223" s="55" t="s">
        <v>214</v>
      </c>
      <c r="B223" s="146"/>
      <c r="C223" s="99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45"/>
      <c r="AA223" s="63"/>
      <c r="AB223" s="63"/>
    </row>
    <row r="224" spans="1:28" ht="15.75" x14ac:dyDescent="0.25">
      <c r="A224" s="57" t="s">
        <v>114</v>
      </c>
      <c r="B224" s="145">
        <f>B225+B228+B231</f>
        <v>0</v>
      </c>
      <c r="C224" s="99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45"/>
      <c r="AA224" s="63"/>
      <c r="AB224" s="63"/>
    </row>
    <row r="225" spans="1:28" ht="15.75" x14ac:dyDescent="0.25">
      <c r="A225" s="55" t="s">
        <v>115</v>
      </c>
      <c r="B225" s="145">
        <f>B226+B227</f>
        <v>0</v>
      </c>
      <c r="C225" s="99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45"/>
      <c r="AA225" s="63"/>
      <c r="AB225" s="63"/>
    </row>
    <row r="226" spans="1:28" ht="15.75" x14ac:dyDescent="0.25">
      <c r="A226" s="55" t="s">
        <v>116</v>
      </c>
      <c r="B226" s="146"/>
      <c r="C226" s="99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45"/>
      <c r="AA226" s="63"/>
      <c r="AB226" s="63"/>
    </row>
    <row r="227" spans="1:28" ht="15.75" x14ac:dyDescent="0.25">
      <c r="A227" s="55" t="s">
        <v>215</v>
      </c>
      <c r="B227" s="146"/>
      <c r="C227" s="99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45"/>
      <c r="AA227" s="63"/>
      <c r="AB227" s="63"/>
    </row>
    <row r="228" spans="1:28" ht="15.75" x14ac:dyDescent="0.25">
      <c r="A228" s="55" t="s">
        <v>117</v>
      </c>
      <c r="B228" s="145">
        <f>B229+B230</f>
        <v>0</v>
      </c>
      <c r="C228" s="99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45"/>
      <c r="AA228" s="63"/>
      <c r="AB228" s="63"/>
    </row>
    <row r="229" spans="1:28" ht="15.75" x14ac:dyDescent="0.25">
      <c r="A229" s="55" t="s">
        <v>118</v>
      </c>
      <c r="B229" s="146"/>
      <c r="C229" s="99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45"/>
      <c r="AA229" s="63"/>
      <c r="AB229" s="63"/>
    </row>
    <row r="230" spans="1:28" ht="15.75" customHeight="1" x14ac:dyDescent="0.25">
      <c r="A230" s="55" t="s">
        <v>216</v>
      </c>
      <c r="B230" s="146"/>
      <c r="C230" s="99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45"/>
      <c r="AA230" s="63"/>
      <c r="AB230" s="63"/>
    </row>
    <row r="231" spans="1:28" ht="26.25" x14ac:dyDescent="0.25">
      <c r="A231" s="55" t="s">
        <v>119</v>
      </c>
      <c r="B231" s="145">
        <f>B232+B233</f>
        <v>0</v>
      </c>
      <c r="C231" s="99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45"/>
      <c r="AA231" s="63"/>
      <c r="AB231" s="63"/>
    </row>
    <row r="232" spans="1:28" ht="15.75" x14ac:dyDescent="0.25">
      <c r="A232" s="55" t="s">
        <v>120</v>
      </c>
      <c r="B232" s="146"/>
      <c r="C232" s="99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45"/>
      <c r="AA232" s="63"/>
      <c r="AB232" s="63"/>
    </row>
    <row r="233" spans="1:28" ht="15.75" x14ac:dyDescent="0.25">
      <c r="A233" s="55" t="s">
        <v>217</v>
      </c>
      <c r="B233" s="146"/>
      <c r="C233" s="99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45"/>
      <c r="AA233" s="63"/>
      <c r="AB233" s="63"/>
    </row>
    <row r="234" spans="1:28" ht="15.75" x14ac:dyDescent="0.25">
      <c r="A234" s="57" t="s">
        <v>121</v>
      </c>
      <c r="B234" s="145">
        <f>B235+B238+B241</f>
        <v>0</v>
      </c>
      <c r="C234" s="99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45"/>
      <c r="AA234" s="63"/>
      <c r="AB234" s="63"/>
    </row>
    <row r="235" spans="1:28" ht="15.75" x14ac:dyDescent="0.25">
      <c r="A235" s="55" t="s">
        <v>122</v>
      </c>
      <c r="B235" s="145">
        <f>B236+B237</f>
        <v>0</v>
      </c>
      <c r="C235" s="99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45"/>
      <c r="AA235" s="63"/>
      <c r="AB235" s="63"/>
    </row>
    <row r="236" spans="1:28" ht="15.75" x14ac:dyDescent="0.25">
      <c r="A236" s="55" t="s">
        <v>123</v>
      </c>
      <c r="B236" s="146"/>
      <c r="C236" s="99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45"/>
      <c r="AA236" s="63"/>
      <c r="AB236" s="63"/>
    </row>
    <row r="237" spans="1:28" ht="15.75" x14ac:dyDescent="0.25">
      <c r="A237" s="55" t="s">
        <v>218</v>
      </c>
      <c r="B237" s="146"/>
      <c r="C237" s="99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45"/>
      <c r="AA237" s="63"/>
      <c r="AB237" s="63"/>
    </row>
    <row r="238" spans="1:28" ht="15.75" x14ac:dyDescent="0.25">
      <c r="A238" s="55" t="s">
        <v>125</v>
      </c>
      <c r="B238" s="145">
        <f>B239+B240</f>
        <v>0</v>
      </c>
      <c r="C238" s="99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45"/>
      <c r="AA238" s="63"/>
      <c r="AB238" s="63"/>
    </row>
    <row r="239" spans="1:28" ht="15.75" x14ac:dyDescent="0.25">
      <c r="A239" s="55" t="s">
        <v>126</v>
      </c>
      <c r="B239" s="146"/>
      <c r="C239" s="99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45"/>
      <c r="AA239" s="63"/>
      <c r="AB239" s="63"/>
    </row>
    <row r="240" spans="1:28" ht="15.75" customHeight="1" x14ac:dyDescent="0.25">
      <c r="A240" s="55" t="s">
        <v>219</v>
      </c>
      <c r="B240" s="146"/>
      <c r="C240" s="99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45"/>
      <c r="AA240" s="63"/>
      <c r="AB240" s="63"/>
    </row>
    <row r="241" spans="1:28" ht="26.25" x14ac:dyDescent="0.25">
      <c r="A241" s="55" t="s">
        <v>127</v>
      </c>
      <c r="B241" s="145">
        <f>B242+B243</f>
        <v>0</v>
      </c>
      <c r="C241" s="99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45"/>
      <c r="AA241" s="63"/>
      <c r="AB241" s="63"/>
    </row>
    <row r="242" spans="1:28" ht="15.75" x14ac:dyDescent="0.25">
      <c r="A242" s="55" t="s">
        <v>128</v>
      </c>
      <c r="B242" s="146"/>
      <c r="C242" s="99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45"/>
      <c r="AA242" s="63"/>
      <c r="AB242" s="63"/>
    </row>
    <row r="243" spans="1:28" ht="15.75" x14ac:dyDescent="0.25">
      <c r="A243" s="55" t="s">
        <v>220</v>
      </c>
      <c r="B243" s="146"/>
      <c r="C243" s="99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45"/>
      <c r="AA243" s="63"/>
      <c r="AB243" s="63"/>
    </row>
    <row r="244" spans="1:28" ht="15.75" x14ac:dyDescent="0.25">
      <c r="A244" s="57" t="s">
        <v>284</v>
      </c>
      <c r="B244" s="146">
        <v>2</v>
      </c>
      <c r="C244" s="99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45"/>
      <c r="AA244" s="63"/>
      <c r="AB244" s="63"/>
    </row>
    <row r="245" spans="1:28" ht="15.75" x14ac:dyDescent="0.25">
      <c r="A245" s="58" t="s">
        <v>129</v>
      </c>
      <c r="B245" s="145">
        <f>B246+B247</f>
        <v>26</v>
      </c>
      <c r="C245" s="99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45"/>
      <c r="AA245" s="63"/>
      <c r="AB245" s="63"/>
    </row>
    <row r="246" spans="1:28" ht="15.75" x14ac:dyDescent="0.25">
      <c r="A246" s="55" t="s">
        <v>260</v>
      </c>
      <c r="B246" s="146">
        <v>26</v>
      </c>
      <c r="C246" s="99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45"/>
      <c r="AA246" s="63"/>
      <c r="AB246" s="63"/>
    </row>
    <row r="247" spans="1:28" ht="15.75" x14ac:dyDescent="0.25">
      <c r="A247" s="55" t="s">
        <v>261</v>
      </c>
      <c r="B247" s="146"/>
      <c r="C247" s="99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45"/>
      <c r="AA247" s="63"/>
      <c r="AB247" s="63"/>
    </row>
    <row r="248" spans="1:28" ht="15.75" x14ac:dyDescent="0.25">
      <c r="A248" s="55" t="s">
        <v>130</v>
      </c>
      <c r="B248" s="145">
        <f>B249+B250</f>
        <v>2</v>
      </c>
      <c r="C248" s="99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45"/>
      <c r="AA248" s="63"/>
      <c r="AB248" s="63"/>
    </row>
    <row r="249" spans="1:28" ht="15.75" x14ac:dyDescent="0.25">
      <c r="A249" s="55" t="s">
        <v>262</v>
      </c>
      <c r="B249" s="146">
        <v>2</v>
      </c>
      <c r="C249" s="99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45"/>
      <c r="AA249" s="63"/>
      <c r="AB249" s="63"/>
    </row>
    <row r="250" spans="1:28" ht="15.75" x14ac:dyDescent="0.25">
      <c r="A250" s="55" t="s">
        <v>263</v>
      </c>
      <c r="B250" s="146"/>
      <c r="C250" s="99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45"/>
      <c r="AA250" s="63"/>
      <c r="AB250" s="63"/>
    </row>
    <row r="251" spans="1:28" ht="15.75" x14ac:dyDescent="0.25">
      <c r="A251" s="62" t="s">
        <v>325</v>
      </c>
      <c r="B251" s="149"/>
      <c r="C251" s="99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45"/>
      <c r="AA251" s="63"/>
      <c r="AB251" s="63"/>
    </row>
    <row r="252" spans="1:28" ht="15.75" x14ac:dyDescent="0.25">
      <c r="A252" s="62" t="s">
        <v>326</v>
      </c>
      <c r="B252" s="149"/>
      <c r="C252" s="99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45"/>
      <c r="AA252" s="63"/>
      <c r="AB252" s="63"/>
    </row>
    <row r="253" spans="1:28" ht="15.75" x14ac:dyDescent="0.25">
      <c r="A253" s="62" t="s">
        <v>327</v>
      </c>
      <c r="B253" s="145">
        <f>B254+B255+B256+B257+B258+B259+B260+B261+B262</f>
        <v>0</v>
      </c>
      <c r="C253" s="99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45"/>
      <c r="AA253" s="63"/>
      <c r="AB253" s="63"/>
    </row>
    <row r="254" spans="1:28" ht="18.75" customHeight="1" x14ac:dyDescent="0.25">
      <c r="A254" s="55" t="s">
        <v>329</v>
      </c>
      <c r="B254" s="146"/>
      <c r="C254" s="99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45"/>
      <c r="AA254" s="63"/>
      <c r="AB254" s="63"/>
    </row>
    <row r="255" spans="1:28" ht="15.75" x14ac:dyDescent="0.25">
      <c r="A255" s="55" t="s">
        <v>328</v>
      </c>
      <c r="B255" s="146"/>
      <c r="C255" s="99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45"/>
      <c r="AA255" s="63"/>
      <c r="AB255" s="63"/>
    </row>
    <row r="256" spans="1:28" ht="15.75" customHeight="1" x14ac:dyDescent="0.25">
      <c r="A256" s="55" t="s">
        <v>330</v>
      </c>
      <c r="B256" s="146"/>
      <c r="C256" s="99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45"/>
      <c r="AA256" s="63"/>
      <c r="AB256" s="63"/>
    </row>
    <row r="257" spans="1:28" ht="15.75" x14ac:dyDescent="0.25">
      <c r="A257" s="55" t="s">
        <v>331</v>
      </c>
      <c r="B257" s="146"/>
      <c r="C257" s="99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45"/>
      <c r="AA257" s="63"/>
      <c r="AB257" s="63"/>
    </row>
    <row r="258" spans="1:28" ht="15.75" x14ac:dyDescent="0.25">
      <c r="A258" s="55" t="s">
        <v>332</v>
      </c>
      <c r="B258" s="146"/>
      <c r="C258" s="99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45"/>
      <c r="AA258" s="63"/>
      <c r="AB258" s="63"/>
    </row>
    <row r="259" spans="1:28" ht="15.75" x14ac:dyDescent="0.25">
      <c r="A259" s="55" t="s">
        <v>333</v>
      </c>
      <c r="B259" s="146"/>
      <c r="C259" s="99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45"/>
      <c r="AA259" s="63"/>
      <c r="AB259" s="63"/>
    </row>
    <row r="260" spans="1:28" ht="15.75" x14ac:dyDescent="0.25">
      <c r="A260" s="55" t="s">
        <v>334</v>
      </c>
      <c r="B260" s="146"/>
      <c r="C260" s="99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45"/>
      <c r="AA260" s="63"/>
      <c r="AB260" s="63"/>
    </row>
    <row r="261" spans="1:28" ht="15.75" x14ac:dyDescent="0.25">
      <c r="A261" s="55" t="s">
        <v>335</v>
      </c>
      <c r="B261" s="146"/>
      <c r="C261" s="99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45"/>
      <c r="AA261" s="63"/>
      <c r="AB261" s="63"/>
    </row>
    <row r="262" spans="1:28" ht="15.75" x14ac:dyDescent="0.25">
      <c r="A262" s="55" t="s">
        <v>336</v>
      </c>
      <c r="B262" s="146"/>
      <c r="C262" s="99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45"/>
      <c r="AA262" s="63"/>
      <c r="AB262" s="63"/>
    </row>
    <row r="263" spans="1:28" ht="15.75" x14ac:dyDescent="0.25">
      <c r="A263" s="76" t="s">
        <v>337</v>
      </c>
      <c r="B263" s="151"/>
      <c r="C263" s="99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45"/>
      <c r="AA263" s="63"/>
      <c r="AB263" s="63"/>
    </row>
    <row r="264" spans="1:28" ht="15.75" x14ac:dyDescent="0.25">
      <c r="A264" s="57" t="s">
        <v>131</v>
      </c>
      <c r="B264" s="150">
        <f>B265+B266+B267+B268</f>
        <v>0</v>
      </c>
      <c r="C264" s="99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45"/>
      <c r="AA264" s="63"/>
      <c r="AB264" s="63"/>
    </row>
    <row r="265" spans="1:28" ht="15.75" x14ac:dyDescent="0.25">
      <c r="A265" s="55" t="s">
        <v>132</v>
      </c>
      <c r="B265" s="146"/>
      <c r="C265" s="99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45"/>
      <c r="AA265" s="63"/>
      <c r="AB265" s="63"/>
    </row>
    <row r="266" spans="1:28" ht="15.75" x14ac:dyDescent="0.25">
      <c r="A266" s="55" t="s">
        <v>133</v>
      </c>
      <c r="B266" s="146"/>
      <c r="C266" s="99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45"/>
      <c r="AA266" s="63"/>
      <c r="AB266" s="63"/>
    </row>
    <row r="267" spans="1:28" ht="15.75" x14ac:dyDescent="0.25">
      <c r="A267" s="55" t="s">
        <v>134</v>
      </c>
      <c r="B267" s="146"/>
      <c r="C267" s="99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45"/>
      <c r="AA267" s="63"/>
      <c r="AB267" s="63"/>
    </row>
    <row r="268" spans="1:28" ht="26.25" x14ac:dyDescent="0.25">
      <c r="A268" s="58" t="s">
        <v>154</v>
      </c>
      <c r="B268" s="146"/>
      <c r="C268" s="99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45"/>
      <c r="AA268" s="63"/>
      <c r="AB268" s="63"/>
    </row>
    <row r="269" spans="1:28" ht="15.75" x14ac:dyDescent="0.25">
      <c r="A269" s="57" t="s">
        <v>338</v>
      </c>
      <c r="B269" s="146"/>
      <c r="C269" s="99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45"/>
      <c r="AA269" s="63"/>
      <c r="AB269" s="63"/>
    </row>
    <row r="270" spans="1:28" ht="15.75" x14ac:dyDescent="0.25">
      <c r="A270" s="76" t="s">
        <v>17</v>
      </c>
      <c r="B270" s="151"/>
      <c r="C270" s="99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45"/>
      <c r="AA270" s="63"/>
      <c r="AB270" s="63"/>
    </row>
    <row r="271" spans="1:28" ht="15.75" x14ac:dyDescent="0.25">
      <c r="A271" s="59" t="s">
        <v>135</v>
      </c>
      <c r="B271" s="152"/>
      <c r="C271" s="99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45"/>
      <c r="AA271" s="63"/>
      <c r="AB271" s="63"/>
    </row>
    <row r="272" spans="1:28" ht="15.75" x14ac:dyDescent="0.25">
      <c r="A272" s="59" t="s">
        <v>225</v>
      </c>
      <c r="B272" s="146"/>
      <c r="C272" s="99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45"/>
      <c r="AA272" s="63"/>
      <c r="AB272" s="63"/>
    </row>
    <row r="273" spans="1:28" ht="15.75" x14ac:dyDescent="0.25">
      <c r="A273" s="59" t="s">
        <v>226</v>
      </c>
      <c r="B273" s="146"/>
      <c r="C273" s="99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45"/>
      <c r="AA273" s="63"/>
      <c r="AB273" s="63"/>
    </row>
    <row r="274" spans="1:28" ht="15.75" x14ac:dyDescent="0.25">
      <c r="A274" s="59" t="s">
        <v>339</v>
      </c>
      <c r="B274" s="149">
        <v>250</v>
      </c>
      <c r="C274" s="99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45"/>
      <c r="AA274" s="63"/>
      <c r="AB274" s="63"/>
    </row>
    <row r="275" spans="1:28" ht="15.75" x14ac:dyDescent="0.25">
      <c r="A275" s="59" t="s">
        <v>340</v>
      </c>
      <c r="B275" s="149">
        <v>138</v>
      </c>
      <c r="C275" s="99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45"/>
      <c r="AA275" s="63"/>
      <c r="AB275" s="63"/>
    </row>
    <row r="276" spans="1:28" ht="15.75" x14ac:dyDescent="0.25">
      <c r="A276" s="76" t="s">
        <v>341</v>
      </c>
      <c r="B276" s="151"/>
      <c r="C276" s="99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45"/>
      <c r="AA276" s="63"/>
      <c r="AB276" s="63"/>
    </row>
    <row r="277" spans="1:28" ht="15.75" x14ac:dyDescent="0.25">
      <c r="A277" s="57" t="s">
        <v>342</v>
      </c>
      <c r="B277" s="145">
        <f>B278+B281</f>
        <v>0</v>
      </c>
      <c r="C277" s="99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45"/>
      <c r="AA277" s="63"/>
      <c r="AB277" s="63"/>
    </row>
    <row r="278" spans="1:28" ht="15.75" x14ac:dyDescent="0.25">
      <c r="A278" s="55" t="s">
        <v>346</v>
      </c>
      <c r="B278" s="145">
        <f>B279+B280</f>
        <v>0</v>
      </c>
      <c r="C278" s="99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45"/>
      <c r="AA278" s="63"/>
      <c r="AB278" s="63"/>
    </row>
    <row r="279" spans="1:28" ht="15.75" x14ac:dyDescent="0.25">
      <c r="A279" s="55" t="s">
        <v>347</v>
      </c>
      <c r="B279" s="146"/>
      <c r="C279" s="99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45"/>
      <c r="AA279" s="63"/>
      <c r="AB279" s="63"/>
    </row>
    <row r="280" spans="1:28" ht="15.75" x14ac:dyDescent="0.25">
      <c r="A280" s="55" t="s">
        <v>350</v>
      </c>
      <c r="B280" s="146"/>
      <c r="C280" s="99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45"/>
      <c r="AA280" s="63"/>
      <c r="AB280" s="63"/>
    </row>
    <row r="281" spans="1:28" ht="15.75" x14ac:dyDescent="0.25">
      <c r="A281" s="55" t="s">
        <v>348</v>
      </c>
      <c r="B281" s="145">
        <f>B282+B283</f>
        <v>0</v>
      </c>
      <c r="C281" s="99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45"/>
      <c r="AA281" s="63"/>
      <c r="AB281" s="63"/>
    </row>
    <row r="282" spans="1:28" ht="15.75" x14ac:dyDescent="0.25">
      <c r="A282" s="55" t="s">
        <v>349</v>
      </c>
      <c r="B282" s="146"/>
      <c r="C282" s="99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45"/>
      <c r="AA282" s="63"/>
      <c r="AB282" s="63"/>
    </row>
    <row r="283" spans="1:28" ht="15.75" x14ac:dyDescent="0.25">
      <c r="A283" s="55" t="s">
        <v>351</v>
      </c>
      <c r="B283" s="146"/>
      <c r="C283" s="99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45"/>
      <c r="AA283" s="63"/>
      <c r="AB283" s="63"/>
    </row>
    <row r="284" spans="1:28" ht="15.75" x14ac:dyDescent="0.25">
      <c r="A284" s="57" t="s">
        <v>345</v>
      </c>
      <c r="B284" s="145">
        <f>B285+B288</f>
        <v>0</v>
      </c>
      <c r="C284" s="99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45"/>
      <c r="AA284" s="63"/>
      <c r="AB284" s="63"/>
    </row>
    <row r="285" spans="1:28" ht="15.75" x14ac:dyDescent="0.25">
      <c r="A285" s="55" t="s">
        <v>352</v>
      </c>
      <c r="B285" s="145">
        <f>B286+B287</f>
        <v>0</v>
      </c>
      <c r="C285" s="99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45"/>
      <c r="AA285" s="63"/>
      <c r="AB285" s="63"/>
    </row>
    <row r="286" spans="1:28" ht="15.75" x14ac:dyDescent="0.25">
      <c r="A286" s="55" t="s">
        <v>343</v>
      </c>
      <c r="B286" s="146"/>
      <c r="C286" s="99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45"/>
      <c r="AA286" s="63"/>
      <c r="AB286" s="63"/>
    </row>
    <row r="287" spans="1:28" ht="15.75" x14ac:dyDescent="0.25">
      <c r="A287" s="55" t="s">
        <v>353</v>
      </c>
      <c r="B287" s="146"/>
      <c r="C287" s="99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45"/>
      <c r="AA287" s="63"/>
      <c r="AB287" s="63"/>
    </row>
    <row r="288" spans="1:28" ht="15.75" x14ac:dyDescent="0.25">
      <c r="A288" s="55" t="s">
        <v>354</v>
      </c>
      <c r="B288" s="145">
        <f>B289+B290</f>
        <v>0</v>
      </c>
      <c r="C288" s="99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45"/>
      <c r="AA288" s="63"/>
      <c r="AB288" s="63"/>
    </row>
    <row r="289" spans="1:28" ht="15.75" x14ac:dyDescent="0.25">
      <c r="A289" s="55" t="s">
        <v>344</v>
      </c>
      <c r="B289" s="146"/>
      <c r="C289" s="99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45"/>
      <c r="AA289" s="63"/>
      <c r="AB289" s="63"/>
    </row>
    <row r="290" spans="1:28" ht="15.75" x14ac:dyDescent="0.25">
      <c r="A290" s="55" t="s">
        <v>355</v>
      </c>
      <c r="B290" s="146"/>
      <c r="C290" s="99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45"/>
      <c r="AA290" s="63"/>
      <c r="AB290" s="63"/>
    </row>
    <row r="291" spans="1:28" ht="15.75" x14ac:dyDescent="0.25">
      <c r="A291" s="78" t="s">
        <v>18</v>
      </c>
      <c r="B291" s="155"/>
      <c r="C291" s="99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45"/>
      <c r="AA291" s="63"/>
      <c r="AB291" s="63"/>
    </row>
    <row r="292" spans="1:28" ht="15.75" x14ac:dyDescent="0.25">
      <c r="A292" s="79" t="s">
        <v>19</v>
      </c>
      <c r="B292" s="156"/>
      <c r="C292" s="99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45"/>
      <c r="AA292" s="63"/>
      <c r="AB292" s="63"/>
    </row>
    <row r="293" spans="1:28" ht="15.75" x14ac:dyDescent="0.25">
      <c r="A293" s="74" t="s">
        <v>20</v>
      </c>
      <c r="B293" s="153"/>
      <c r="C293" s="99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45"/>
      <c r="AA293" s="63"/>
      <c r="AB293" s="63"/>
    </row>
    <row r="294" spans="1:28" ht="15.75" x14ac:dyDescent="0.25">
      <c r="A294" s="80" t="s">
        <v>21</v>
      </c>
      <c r="B294" s="157"/>
      <c r="C294" s="99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45"/>
      <c r="AA294" s="63"/>
      <c r="AB294" s="63"/>
    </row>
    <row r="295" spans="1:28" ht="15.75" x14ac:dyDescent="0.25">
      <c r="A295" s="75" t="s">
        <v>137</v>
      </c>
      <c r="B295" s="154"/>
      <c r="C295" s="99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45"/>
      <c r="AA295" s="63"/>
      <c r="AB295" s="63"/>
    </row>
    <row r="296" spans="1:28" ht="15.75" x14ac:dyDescent="0.25">
      <c r="A296" s="57" t="s">
        <v>138</v>
      </c>
      <c r="B296" s="152"/>
      <c r="C296" s="99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45"/>
      <c r="AA296" s="63"/>
      <c r="AB296" s="63"/>
    </row>
    <row r="297" spans="1:28" ht="15.75" x14ac:dyDescent="0.25">
      <c r="A297" s="57" t="s">
        <v>136</v>
      </c>
      <c r="B297" s="145">
        <f>B298+B301+B304+B307+B310+B312</f>
        <v>0</v>
      </c>
      <c r="C297" s="99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45"/>
      <c r="AA297" s="63"/>
      <c r="AB297" s="63"/>
    </row>
    <row r="298" spans="1:28" ht="15.75" x14ac:dyDescent="0.25">
      <c r="A298" s="60" t="s">
        <v>155</v>
      </c>
      <c r="B298" s="145">
        <f>B299+B300</f>
        <v>0</v>
      </c>
      <c r="C298" s="99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45"/>
      <c r="AA298" s="63"/>
      <c r="AB298" s="63"/>
    </row>
    <row r="299" spans="1:28" ht="15.75" x14ac:dyDescent="0.25">
      <c r="A299" s="55" t="s">
        <v>139</v>
      </c>
      <c r="B299" s="146"/>
      <c r="C299" s="99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45"/>
      <c r="AA299" s="63"/>
      <c r="AB299" s="63"/>
    </row>
    <row r="300" spans="1:28" ht="15.75" x14ac:dyDescent="0.25">
      <c r="A300" s="55" t="s">
        <v>221</v>
      </c>
      <c r="B300" s="146"/>
      <c r="C300" s="99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45"/>
      <c r="AA300" s="63"/>
      <c r="AB300" s="63"/>
    </row>
    <row r="301" spans="1:28" ht="15.75" x14ac:dyDescent="0.25">
      <c r="A301" s="55" t="s">
        <v>140</v>
      </c>
      <c r="B301" s="145">
        <f>B302+B303</f>
        <v>0</v>
      </c>
      <c r="C301" s="99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45"/>
      <c r="AA301" s="63"/>
      <c r="AB301" s="63"/>
    </row>
    <row r="302" spans="1:28" ht="15.75" x14ac:dyDescent="0.25">
      <c r="A302" s="55" t="s">
        <v>141</v>
      </c>
      <c r="B302" s="146"/>
      <c r="C302" s="99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45"/>
      <c r="AA302" s="63"/>
      <c r="AB302" s="63"/>
    </row>
    <row r="303" spans="1:28" ht="15.75" x14ac:dyDescent="0.25">
      <c r="A303" s="55" t="s">
        <v>222</v>
      </c>
      <c r="B303" s="146"/>
      <c r="C303" s="99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45"/>
      <c r="AA303" s="63"/>
      <c r="AB303" s="63"/>
    </row>
    <row r="304" spans="1:28" ht="15.75" x14ac:dyDescent="0.25">
      <c r="A304" s="55" t="s">
        <v>142</v>
      </c>
      <c r="B304" s="145">
        <f>B305+B306</f>
        <v>0</v>
      </c>
      <c r="C304" s="99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45"/>
      <c r="AA304" s="63"/>
      <c r="AB304" s="63"/>
    </row>
    <row r="305" spans="1:28" ht="15.75" x14ac:dyDescent="0.25">
      <c r="A305" s="55" t="s">
        <v>22</v>
      </c>
      <c r="B305" s="146"/>
      <c r="C305" s="99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45"/>
      <c r="AA305" s="63"/>
      <c r="AB305" s="63"/>
    </row>
    <row r="306" spans="1:28" ht="15.75" x14ac:dyDescent="0.25">
      <c r="A306" s="55" t="s">
        <v>223</v>
      </c>
      <c r="B306" s="146"/>
      <c r="C306" s="99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45"/>
      <c r="AA306" s="63"/>
      <c r="AB306" s="63"/>
    </row>
    <row r="307" spans="1:28" ht="15.75" x14ac:dyDescent="0.25">
      <c r="A307" s="55" t="s">
        <v>143</v>
      </c>
      <c r="B307" s="145">
        <f>B308+B309</f>
        <v>0</v>
      </c>
      <c r="C307" s="99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45"/>
      <c r="AA307" s="63"/>
      <c r="AB307" s="63"/>
    </row>
    <row r="308" spans="1:28" ht="15.75" x14ac:dyDescent="0.25">
      <c r="A308" s="55" t="s">
        <v>144</v>
      </c>
      <c r="B308" s="146"/>
      <c r="C308" s="99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45"/>
      <c r="AA308" s="63"/>
      <c r="AB308" s="63"/>
    </row>
    <row r="309" spans="1:28" ht="15.75" x14ac:dyDescent="0.25">
      <c r="A309" s="55" t="s">
        <v>224</v>
      </c>
      <c r="B309" s="146"/>
      <c r="C309" s="99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45"/>
      <c r="AA309" s="63"/>
      <c r="AB309" s="63"/>
    </row>
    <row r="310" spans="1:28" ht="15.75" x14ac:dyDescent="0.25">
      <c r="A310" s="55" t="s">
        <v>145</v>
      </c>
      <c r="B310" s="148"/>
      <c r="C310" s="99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45"/>
      <c r="AA310" s="63"/>
      <c r="AB310" s="63"/>
    </row>
    <row r="311" spans="1:28" ht="15.75" x14ac:dyDescent="0.25">
      <c r="A311" s="60" t="s">
        <v>146</v>
      </c>
      <c r="B311" s="145"/>
      <c r="C311" s="99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45"/>
      <c r="AA311" s="63"/>
      <c r="AB311" s="63"/>
    </row>
    <row r="312" spans="1:28" ht="15.75" x14ac:dyDescent="0.25">
      <c r="A312" s="55" t="s">
        <v>147</v>
      </c>
      <c r="B312" s="146"/>
      <c r="C312" s="99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45"/>
      <c r="AA312" s="63"/>
      <c r="AB312" s="63"/>
    </row>
    <row r="313" spans="1:28" ht="25.5" x14ac:dyDescent="0.25">
      <c r="A313" s="61" t="s">
        <v>230</v>
      </c>
      <c r="B313" s="147"/>
      <c r="C313" s="99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45"/>
      <c r="AA313" s="63"/>
      <c r="AB313" s="63"/>
    </row>
    <row r="314" spans="1:28" ht="15.75" x14ac:dyDescent="0.25">
      <c r="A314" s="57" t="s">
        <v>148</v>
      </c>
      <c r="B314" s="149"/>
      <c r="C314" s="99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45"/>
      <c r="AA314" s="63"/>
      <c r="AB314" s="63"/>
    </row>
    <row r="315" spans="1:28" ht="26.25" x14ac:dyDescent="0.25">
      <c r="A315" s="76" t="s">
        <v>356</v>
      </c>
      <c r="B315" s="151"/>
      <c r="C315" s="99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45"/>
      <c r="AA315" s="63"/>
      <c r="AB315" s="63"/>
    </row>
    <row r="316" spans="1:28" ht="15.75" x14ac:dyDescent="0.25">
      <c r="A316" s="57" t="s">
        <v>149</v>
      </c>
      <c r="B316" s="148">
        <v>4</v>
      </c>
      <c r="C316" s="99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45"/>
      <c r="AA316" s="63"/>
      <c r="AB316" s="63"/>
    </row>
    <row r="317" spans="1:28" ht="15.75" x14ac:dyDescent="0.25">
      <c r="A317" s="55" t="s">
        <v>357</v>
      </c>
      <c r="B317" s="145">
        <f>B318+B319</f>
        <v>77</v>
      </c>
      <c r="C317" s="99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45"/>
      <c r="AA317" s="63"/>
      <c r="AB317" s="63"/>
    </row>
    <row r="318" spans="1:28" ht="15.75" x14ac:dyDescent="0.25">
      <c r="A318" s="55" t="s">
        <v>22</v>
      </c>
      <c r="B318" s="146">
        <v>52</v>
      </c>
      <c r="C318" s="99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45"/>
      <c r="AA318" s="63"/>
      <c r="AB318" s="63"/>
    </row>
    <row r="319" spans="1:28" ht="15.75" x14ac:dyDescent="0.25">
      <c r="A319" s="55" t="s">
        <v>223</v>
      </c>
      <c r="B319" s="146">
        <v>25</v>
      </c>
      <c r="C319" s="99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45"/>
      <c r="AA319" s="63"/>
      <c r="AB319" s="63"/>
    </row>
    <row r="320" spans="1:28" s="267" customFormat="1" ht="18.75" customHeight="1" x14ac:dyDescent="0.2">
      <c r="A320" s="268" t="s">
        <v>444</v>
      </c>
      <c r="B320" s="270"/>
      <c r="C320" s="263"/>
      <c r="D320" s="264"/>
      <c r="E320" s="264"/>
      <c r="F320" s="264"/>
      <c r="G320" s="264"/>
      <c r="H320" s="264"/>
      <c r="I320" s="264"/>
      <c r="J320" s="264"/>
      <c r="K320" s="264"/>
      <c r="L320" s="264"/>
      <c r="M320" s="264"/>
      <c r="N320" s="264"/>
      <c r="O320" s="264"/>
      <c r="P320" s="264"/>
      <c r="Q320" s="264"/>
      <c r="R320" s="264"/>
      <c r="S320" s="264"/>
      <c r="T320" s="264"/>
      <c r="U320" s="264"/>
      <c r="V320" s="264"/>
      <c r="W320" s="264"/>
      <c r="X320" s="264"/>
      <c r="Y320" s="264"/>
      <c r="Z320" s="265"/>
      <c r="AA320" s="266"/>
      <c r="AB320" s="266"/>
    </row>
    <row r="321" spans="1:28" s="267" customFormat="1" ht="18.75" customHeight="1" x14ac:dyDescent="0.2">
      <c r="A321" s="269" t="s">
        <v>446</v>
      </c>
      <c r="B321" s="152"/>
      <c r="C321" s="263"/>
      <c r="D321" s="264"/>
      <c r="E321" s="264"/>
      <c r="F321" s="264"/>
      <c r="G321" s="264"/>
      <c r="H321" s="264"/>
      <c r="I321" s="264"/>
      <c r="J321" s="264"/>
      <c r="K321" s="264"/>
      <c r="L321" s="264"/>
      <c r="M321" s="264"/>
      <c r="N321" s="264"/>
      <c r="O321" s="264"/>
      <c r="P321" s="264"/>
      <c r="Q321" s="264"/>
      <c r="R321" s="264"/>
      <c r="S321" s="264"/>
      <c r="T321" s="264"/>
      <c r="U321" s="264"/>
      <c r="V321" s="264"/>
      <c r="W321" s="264"/>
      <c r="X321" s="264"/>
      <c r="Y321" s="264"/>
      <c r="Z321" s="265"/>
      <c r="AA321" s="266"/>
      <c r="AB321" s="266"/>
    </row>
    <row r="322" spans="1:28" s="267" customFormat="1" ht="18.75" customHeight="1" x14ac:dyDescent="0.2">
      <c r="A322" s="269" t="s">
        <v>447</v>
      </c>
      <c r="B322" s="148"/>
      <c r="C322" s="263"/>
      <c r="D322" s="264"/>
      <c r="E322" s="264"/>
      <c r="F322" s="264"/>
      <c r="G322" s="264"/>
      <c r="H322" s="264"/>
      <c r="I322" s="264"/>
      <c r="J322" s="264"/>
      <c r="K322" s="264"/>
      <c r="L322" s="264"/>
      <c r="M322" s="264"/>
      <c r="N322" s="264"/>
      <c r="O322" s="264"/>
      <c r="P322" s="264"/>
      <c r="Q322" s="264"/>
      <c r="R322" s="264"/>
      <c r="S322" s="264"/>
      <c r="T322" s="264"/>
      <c r="U322" s="264"/>
      <c r="V322" s="264"/>
      <c r="W322" s="264"/>
      <c r="X322" s="264"/>
      <c r="Y322" s="264"/>
      <c r="Z322" s="265"/>
      <c r="AA322" s="266"/>
      <c r="AB322" s="266"/>
    </row>
    <row r="323" spans="1:28" ht="30" customHeight="1" x14ac:dyDescent="0.25">
      <c r="A323" s="268" t="s">
        <v>445</v>
      </c>
      <c r="B323" s="146"/>
      <c r="C323" s="99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45"/>
      <c r="AA323" s="63"/>
      <c r="AB323" s="63"/>
    </row>
    <row r="324" spans="1:28" ht="15.75" x14ac:dyDescent="0.25">
      <c r="A324" s="52"/>
      <c r="B324" s="50"/>
      <c r="C324" s="99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45"/>
      <c r="AA324" s="63"/>
      <c r="AB324" s="63"/>
    </row>
    <row r="325" spans="1:28" ht="15.75" x14ac:dyDescent="0.25">
      <c r="A325" s="53"/>
      <c r="B325" s="50"/>
      <c r="C325" s="99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45"/>
      <c r="AA325" s="63"/>
      <c r="AB325" s="63"/>
    </row>
    <row r="326" spans="1:28" ht="15.75" x14ac:dyDescent="0.25">
      <c r="A326" s="41"/>
      <c r="B326" s="42"/>
      <c r="C326" s="99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45"/>
      <c r="AA326" s="63"/>
      <c r="AB326" s="63"/>
    </row>
  </sheetData>
  <sheetProtection sheet="1" objects="1" scenarios="1" selectLockedCells="1"/>
  <mergeCells count="2">
    <mergeCell ref="E11:F11"/>
    <mergeCell ref="F15:P15"/>
  </mergeCells>
  <dataValidations xWindow="963" yWindow="502" count="8">
    <dataValidation type="whole" allowBlank="1" showInputMessage="1" showErrorMessage="1" sqref="D174:Y216 C175:C217 B175 B177:B217 C318:C319">
      <formula1>0</formula1>
      <formula2>100000000000000000000</formula2>
    </dataValidation>
    <dataValidation type="whole" allowBlank="1" showInputMessage="1" showErrorMessage="1" sqref="B277:B319 C278:C317 D300:Y319 D323:Y326 B321:B323">
      <formula1>0</formula1>
      <formula2>1E+24</formula2>
    </dataValidation>
    <dataValidation type="whole" allowBlank="1" showInputMessage="1" showErrorMessage="1" sqref="D264:Y299 C276:C277 B276 D320:Y322">
      <formula1>0</formula1>
      <formula2>100000000000000000</formula2>
    </dataValidation>
    <dataValidation type="whole" allowBlank="1" showInputMessage="1" showErrorMessage="1" sqref="D38:D55 G16:P67 B15:C70 D19:D36 Q19:Q36 R15:Z67 Q38:Q55 D57:D74 Q57:Q74 Z68:Z326">
      <formula1>0</formula1>
      <formula2>1E+22</formula2>
    </dataValidation>
    <dataValidation type="whole" allowBlank="1" showInputMessage="1" showErrorMessage="1" sqref="D217:Y263 D120:Y173 B176 B218:C275 B123:C174 C320:C322">
      <formula1>0</formula1>
      <formula2>1000000000000000000</formula2>
    </dataValidation>
    <dataValidation type="whole" allowBlank="1" showInputMessage="1" showErrorMessage="1" sqref="G68:P119 R68:Y119 D75:F119 Q75:Q119 B71:C122">
      <formula1>0</formula1>
      <formula2>10000000000000000000</formula2>
    </dataValidation>
    <dataValidation allowBlank="1" showInputMessage="1" showErrorMessage="1" prompt="Limit your input in a maximum of 80 characters per bullet." sqref="F13:F14"/>
    <dataValidation allowBlank="1" showInputMessage="1" showErrorMessage="1" prompt="Limit your input in a maximum of 70 characters per bullet." sqref="F17:F74"/>
  </dataValidations>
  <pageMargins left="0.7" right="0.7" top="0.75" bottom="0.75" header="0.3" footer="0.3"/>
  <pageSetup paperSize="768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326"/>
  <sheetViews>
    <sheetView workbookViewId="0">
      <pane ySplit="13" topLeftCell="A14" activePane="bottomLeft" state="frozen"/>
      <selection pane="bottomLeft" activeCell="F27" sqref="F27"/>
    </sheetView>
  </sheetViews>
  <sheetFormatPr defaultRowHeight="12.75" x14ac:dyDescent="0.2"/>
  <cols>
    <col min="1" max="1" width="39.140625" style="1" customWidth="1"/>
    <col min="2" max="2" width="36.42578125" style="31" customWidth="1"/>
    <col min="3" max="3" width="7.28515625" style="100" customWidth="1"/>
    <col min="4" max="4" width="3.28515625" style="65" customWidth="1"/>
    <col min="5" max="5" width="1.85546875" style="65" customWidth="1"/>
    <col min="6" max="6" width="8.42578125" style="65" customWidth="1"/>
    <col min="7" max="16" width="9.140625" style="65"/>
    <col min="17" max="17" width="2.7109375" style="65" customWidth="1"/>
    <col min="18" max="28" width="9.140625" style="65"/>
  </cols>
  <sheetData>
    <row r="1" spans="1:30" x14ac:dyDescent="0.2">
      <c r="A1" s="13"/>
      <c r="B1" s="29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63"/>
      <c r="AB1" s="63"/>
    </row>
    <row r="2" spans="1:30" x14ac:dyDescent="0.2">
      <c r="A2" s="13"/>
      <c r="B2" s="29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63"/>
      <c r="AB2" s="63"/>
    </row>
    <row r="3" spans="1:30" x14ac:dyDescent="0.2">
      <c r="A3" s="13"/>
      <c r="B3" s="29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63"/>
      <c r="AB3" s="63"/>
    </row>
    <row r="4" spans="1:30" x14ac:dyDescent="0.2">
      <c r="A4" s="13"/>
      <c r="B4" s="29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63"/>
      <c r="AB4" s="63"/>
    </row>
    <row r="5" spans="1:30" x14ac:dyDescent="0.2">
      <c r="A5" s="13"/>
      <c r="B5" s="29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63"/>
      <c r="AB5" s="63"/>
    </row>
    <row r="6" spans="1:30" x14ac:dyDescent="0.2">
      <c r="A6" s="13"/>
      <c r="B6" s="2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63"/>
      <c r="AB6" s="63"/>
    </row>
    <row r="7" spans="1:30" x14ac:dyDescent="0.2">
      <c r="A7" s="13"/>
      <c r="B7" s="29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63"/>
      <c r="AB7" s="63"/>
    </row>
    <row r="8" spans="1:30" x14ac:dyDescent="0.2">
      <c r="A8" s="13"/>
      <c r="B8" s="29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63"/>
      <c r="AB8" s="63"/>
    </row>
    <row r="9" spans="1:30" x14ac:dyDescent="0.2">
      <c r="A9" s="14"/>
      <c r="B9" s="29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63"/>
      <c r="AB9" s="63"/>
    </row>
    <row r="10" spans="1:30" x14ac:dyDescent="0.2">
      <c r="A10" s="15"/>
      <c r="B10" s="29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63"/>
      <c r="AB10" s="63"/>
    </row>
    <row r="11" spans="1:30" ht="15.75" x14ac:dyDescent="0.25">
      <c r="A11" s="5" t="s">
        <v>0</v>
      </c>
      <c r="B11" s="12" t="s">
        <v>174</v>
      </c>
      <c r="C11" s="17"/>
      <c r="D11" s="17"/>
      <c r="E11" s="325"/>
      <c r="F11" s="325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63"/>
      <c r="AB11" s="63"/>
      <c r="AC11" s="3"/>
      <c r="AD11" s="3"/>
    </row>
    <row r="12" spans="1:30" x14ac:dyDescent="0.2">
      <c r="A12" s="48" t="s">
        <v>1</v>
      </c>
      <c r="B12" s="11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25"/>
      <c r="AA12" s="63"/>
      <c r="AB12" s="63"/>
    </row>
    <row r="13" spans="1:30" x14ac:dyDescent="0.2">
      <c r="A13" s="73" t="s">
        <v>3</v>
      </c>
      <c r="B13" s="77"/>
      <c r="C13" s="19"/>
      <c r="D13" s="19"/>
      <c r="E13" s="70"/>
      <c r="F13" s="70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63"/>
      <c r="AB13" s="63"/>
    </row>
    <row r="14" spans="1:30" x14ac:dyDescent="0.2">
      <c r="A14" s="51" t="s">
        <v>4</v>
      </c>
      <c r="B14" s="49"/>
      <c r="C14" s="98"/>
      <c r="D14" s="19"/>
      <c r="E14" s="70"/>
      <c r="F14" s="70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63"/>
      <c r="AB14" s="63"/>
    </row>
    <row r="15" spans="1:30" ht="15.75" x14ac:dyDescent="0.25">
      <c r="A15" s="47" t="s">
        <v>23</v>
      </c>
      <c r="B15" s="145">
        <f>B16+B23+B30+B33+B40+B43</f>
        <v>253</v>
      </c>
      <c r="C15" s="99"/>
      <c r="D15" s="69"/>
      <c r="E15" s="69"/>
      <c r="F15" s="326" t="s">
        <v>227</v>
      </c>
      <c r="G15" s="326"/>
      <c r="H15" s="326"/>
      <c r="I15" s="326"/>
      <c r="J15" s="326"/>
      <c r="K15" s="326"/>
      <c r="L15" s="326"/>
      <c r="M15" s="326"/>
      <c r="N15" s="326"/>
      <c r="O15" s="326"/>
      <c r="P15" s="326"/>
      <c r="Q15" s="69"/>
      <c r="R15" s="16"/>
      <c r="S15" s="16"/>
      <c r="T15" s="16"/>
      <c r="U15" s="16"/>
      <c r="V15" s="16"/>
      <c r="W15" s="16"/>
      <c r="X15" s="16"/>
      <c r="Y15" s="16"/>
      <c r="Z15" s="45"/>
      <c r="AA15" s="63"/>
      <c r="AB15" s="63"/>
    </row>
    <row r="16" spans="1:30" ht="15.75" x14ac:dyDescent="0.25">
      <c r="A16" s="46" t="s">
        <v>24</v>
      </c>
      <c r="B16" s="145">
        <f>B17+B20</f>
        <v>103</v>
      </c>
      <c r="C16" s="99"/>
      <c r="D16" s="66"/>
      <c r="E16" s="18"/>
      <c r="F16" s="18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66"/>
      <c r="R16" s="16"/>
      <c r="S16" s="16"/>
      <c r="T16" s="16"/>
      <c r="U16" s="16"/>
      <c r="V16" s="16"/>
      <c r="W16" s="16"/>
      <c r="X16" s="16"/>
      <c r="Y16" s="16"/>
      <c r="Z16" s="45"/>
      <c r="AA16" s="63"/>
      <c r="AB16" s="63"/>
    </row>
    <row r="17" spans="1:28" ht="15.75" x14ac:dyDescent="0.25">
      <c r="A17" s="2" t="s">
        <v>25</v>
      </c>
      <c r="B17" s="145">
        <f>B18+B19</f>
        <v>0</v>
      </c>
      <c r="C17" s="99"/>
      <c r="D17" s="67"/>
      <c r="E17" s="70" t="s">
        <v>228</v>
      </c>
      <c r="F17" s="161" t="s">
        <v>470</v>
      </c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67"/>
      <c r="R17" s="16"/>
      <c r="S17" s="16"/>
      <c r="T17" s="16"/>
      <c r="U17" s="16"/>
      <c r="V17" s="16"/>
      <c r="W17" s="16"/>
      <c r="X17" s="16"/>
      <c r="Y17" s="16"/>
      <c r="Z17" s="45"/>
      <c r="AA17" s="63"/>
      <c r="AB17" s="63"/>
    </row>
    <row r="18" spans="1:28" ht="15.75" x14ac:dyDescent="0.25">
      <c r="A18" s="2" t="s">
        <v>26</v>
      </c>
      <c r="B18" s="146"/>
      <c r="C18" s="99"/>
      <c r="D18" s="67"/>
      <c r="E18" s="70" t="s">
        <v>228</v>
      </c>
      <c r="F18" s="161" t="s">
        <v>471</v>
      </c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67"/>
      <c r="R18" s="16"/>
      <c r="S18" s="16"/>
      <c r="T18" s="16"/>
      <c r="U18" s="16"/>
      <c r="V18" s="16"/>
      <c r="W18" s="16"/>
      <c r="X18" s="16"/>
      <c r="Y18" s="16"/>
      <c r="Z18" s="45"/>
      <c r="AA18" s="63"/>
      <c r="AB18" s="63"/>
    </row>
    <row r="19" spans="1:28" ht="15.75" x14ac:dyDescent="0.25">
      <c r="A19" s="2" t="s">
        <v>182</v>
      </c>
      <c r="B19" s="146"/>
      <c r="C19" s="99"/>
      <c r="D19" s="68"/>
      <c r="E19" s="71" t="s">
        <v>228</v>
      </c>
      <c r="F19" s="44" t="s">
        <v>472</v>
      </c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68"/>
      <c r="R19" s="16"/>
      <c r="S19" s="16"/>
      <c r="T19" s="16"/>
      <c r="U19" s="16"/>
      <c r="V19" s="16"/>
      <c r="W19" s="16"/>
      <c r="X19" s="16"/>
      <c r="Y19" s="16"/>
      <c r="Z19" s="45"/>
      <c r="AA19" s="63"/>
      <c r="AB19" s="63"/>
    </row>
    <row r="20" spans="1:28" ht="15.75" x14ac:dyDescent="0.25">
      <c r="A20" s="2" t="s">
        <v>6</v>
      </c>
      <c r="B20" s="145">
        <f>B21+B22</f>
        <v>103</v>
      </c>
      <c r="C20" s="99"/>
      <c r="D20" s="68"/>
      <c r="E20" s="71" t="s">
        <v>228</v>
      </c>
      <c r="F20" s="44" t="s">
        <v>473</v>
      </c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68"/>
      <c r="R20" s="16"/>
      <c r="S20" s="16"/>
      <c r="T20" s="16"/>
      <c r="U20" s="16"/>
      <c r="V20" s="16"/>
      <c r="W20" s="16"/>
      <c r="X20" s="16"/>
      <c r="Y20" s="16"/>
      <c r="Z20" s="45"/>
      <c r="AA20" s="63"/>
      <c r="AB20" s="63"/>
    </row>
    <row r="21" spans="1:28" ht="15.75" x14ac:dyDescent="0.25">
      <c r="A21" s="2" t="s">
        <v>27</v>
      </c>
      <c r="B21" s="146">
        <v>100</v>
      </c>
      <c r="C21" s="99"/>
      <c r="D21" s="68"/>
      <c r="E21" s="71" t="s">
        <v>228</v>
      </c>
      <c r="F21" s="44" t="s">
        <v>474</v>
      </c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68"/>
      <c r="R21" s="16"/>
      <c r="S21" s="16"/>
      <c r="T21" s="16"/>
      <c r="U21" s="16"/>
      <c r="V21" s="16"/>
      <c r="W21" s="16"/>
      <c r="X21" s="16"/>
      <c r="Y21" s="16"/>
      <c r="Z21" s="45"/>
      <c r="AA21" s="63"/>
      <c r="AB21" s="63"/>
    </row>
    <row r="22" spans="1:28" ht="15.75" x14ac:dyDescent="0.25">
      <c r="A22" s="2" t="s">
        <v>183</v>
      </c>
      <c r="B22" s="146">
        <v>3</v>
      </c>
      <c r="C22" s="99"/>
      <c r="D22" s="68"/>
      <c r="E22" s="16" t="s">
        <v>228</v>
      </c>
      <c r="F22" s="44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68"/>
      <c r="R22" s="16"/>
      <c r="S22" s="16"/>
      <c r="T22" s="16"/>
      <c r="U22" s="16"/>
      <c r="V22" s="16"/>
      <c r="W22" s="16"/>
      <c r="X22" s="16"/>
      <c r="Y22" s="16"/>
      <c r="Z22" s="45"/>
      <c r="AA22" s="63"/>
      <c r="AB22" s="63"/>
    </row>
    <row r="23" spans="1:28" ht="15.75" x14ac:dyDescent="0.25">
      <c r="A23" s="46" t="s">
        <v>28</v>
      </c>
      <c r="B23" s="145">
        <f>B24+B27</f>
        <v>150</v>
      </c>
      <c r="C23" s="99"/>
      <c r="D23" s="68"/>
      <c r="E23" s="16" t="s">
        <v>228</v>
      </c>
      <c r="F23" s="44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68"/>
      <c r="R23" s="16"/>
      <c r="S23" s="16"/>
      <c r="T23" s="16"/>
      <c r="U23" s="16"/>
      <c r="V23" s="16"/>
      <c r="W23" s="16"/>
      <c r="X23" s="16"/>
      <c r="Y23" s="16"/>
      <c r="Z23" s="45"/>
      <c r="AA23" s="63"/>
      <c r="AB23" s="63"/>
    </row>
    <row r="24" spans="1:28" ht="15.75" x14ac:dyDescent="0.25">
      <c r="A24" s="2" t="s">
        <v>29</v>
      </c>
      <c r="B24" s="145">
        <f>B25+B26</f>
        <v>150</v>
      </c>
      <c r="C24" s="99"/>
      <c r="D24" s="68"/>
      <c r="E24" s="16" t="s">
        <v>228</v>
      </c>
      <c r="F24" s="44" t="s">
        <v>459</v>
      </c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68"/>
      <c r="R24" s="16"/>
      <c r="S24" s="16"/>
      <c r="T24" s="16"/>
      <c r="U24" s="16"/>
      <c r="V24" s="16"/>
      <c r="W24" s="16"/>
      <c r="X24" s="16"/>
      <c r="Y24" s="16"/>
      <c r="Z24" s="45"/>
      <c r="AA24" s="63"/>
      <c r="AB24" s="63"/>
    </row>
    <row r="25" spans="1:28" ht="15.75" x14ac:dyDescent="0.25">
      <c r="A25" s="2" t="s">
        <v>30</v>
      </c>
      <c r="B25" s="146">
        <v>92</v>
      </c>
      <c r="C25" s="99"/>
      <c r="D25" s="68"/>
      <c r="E25" s="16" t="s">
        <v>228</v>
      </c>
      <c r="F25" s="44" t="s">
        <v>475</v>
      </c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68"/>
      <c r="R25" s="16"/>
      <c r="S25" s="16"/>
      <c r="T25" s="16"/>
      <c r="U25" s="16"/>
      <c r="V25" s="16"/>
      <c r="W25" s="16"/>
      <c r="X25" s="16"/>
      <c r="Y25" s="16"/>
      <c r="Z25" s="45"/>
      <c r="AA25" s="63"/>
      <c r="AB25" s="63"/>
    </row>
    <row r="26" spans="1:28" ht="15.75" x14ac:dyDescent="0.25">
      <c r="A26" s="2" t="s">
        <v>184</v>
      </c>
      <c r="B26" s="146">
        <v>58</v>
      </c>
      <c r="C26" s="99"/>
      <c r="D26" s="68"/>
      <c r="E26" s="16" t="s">
        <v>228</v>
      </c>
      <c r="F26" s="44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68"/>
      <c r="R26" s="16"/>
      <c r="S26" s="16"/>
      <c r="T26" s="16"/>
      <c r="U26" s="16"/>
      <c r="V26" s="16"/>
      <c r="W26" s="16"/>
      <c r="X26" s="16"/>
      <c r="Y26" s="16"/>
      <c r="Z26" s="45"/>
      <c r="AA26" s="63"/>
      <c r="AB26" s="63"/>
    </row>
    <row r="27" spans="1:28" ht="15.75" x14ac:dyDescent="0.25">
      <c r="A27" s="2" t="s">
        <v>31</v>
      </c>
      <c r="B27" s="145">
        <f>B28+B29</f>
        <v>0</v>
      </c>
      <c r="C27" s="99"/>
      <c r="D27" s="68"/>
      <c r="E27" s="16" t="s">
        <v>228</v>
      </c>
      <c r="F27" s="44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68"/>
      <c r="R27" s="16"/>
      <c r="S27" s="16"/>
      <c r="T27" s="16"/>
      <c r="U27" s="16"/>
      <c r="V27" s="16"/>
      <c r="W27" s="16"/>
      <c r="X27" s="16"/>
      <c r="Y27" s="16"/>
      <c r="Z27" s="45"/>
      <c r="AA27" s="63"/>
      <c r="AB27" s="63"/>
    </row>
    <row r="28" spans="1:28" ht="15.75" x14ac:dyDescent="0.25">
      <c r="A28" s="2" t="s">
        <v>32</v>
      </c>
      <c r="B28" s="146"/>
      <c r="C28" s="99"/>
      <c r="D28" s="68"/>
      <c r="E28" s="16" t="s">
        <v>228</v>
      </c>
      <c r="F28" s="44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68"/>
      <c r="R28" s="16"/>
      <c r="S28" s="16"/>
      <c r="T28" s="16"/>
      <c r="U28" s="16"/>
      <c r="V28" s="16"/>
      <c r="W28" s="16"/>
      <c r="X28" s="16"/>
      <c r="Y28" s="16"/>
      <c r="Z28" s="45"/>
      <c r="AA28" s="63"/>
      <c r="AB28" s="63"/>
    </row>
    <row r="29" spans="1:28" ht="15.75" x14ac:dyDescent="0.25">
      <c r="A29" s="2" t="s">
        <v>185</v>
      </c>
      <c r="B29" s="146"/>
      <c r="C29" s="99"/>
      <c r="D29" s="68"/>
      <c r="E29" s="16" t="s">
        <v>228</v>
      </c>
      <c r="F29" s="44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68"/>
      <c r="R29" s="16"/>
      <c r="S29" s="16"/>
      <c r="T29" s="16"/>
      <c r="U29" s="16"/>
      <c r="V29" s="16"/>
      <c r="W29" s="16"/>
      <c r="X29" s="16"/>
      <c r="Y29" s="16"/>
      <c r="Z29" s="45"/>
      <c r="AA29" s="63"/>
      <c r="AB29" s="63"/>
    </row>
    <row r="30" spans="1:28" ht="15.75" x14ac:dyDescent="0.25">
      <c r="A30" s="46" t="s">
        <v>33</v>
      </c>
      <c r="B30" s="145">
        <f>B31+B32</f>
        <v>0</v>
      </c>
      <c r="C30" s="99"/>
      <c r="D30" s="68"/>
      <c r="E30" s="16" t="s">
        <v>228</v>
      </c>
      <c r="F30" s="44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68"/>
      <c r="R30" s="16"/>
      <c r="S30" s="16"/>
      <c r="T30" s="16"/>
      <c r="U30" s="16"/>
      <c r="V30" s="16"/>
      <c r="W30" s="16"/>
      <c r="X30" s="16"/>
      <c r="Y30" s="16"/>
      <c r="Z30" s="45"/>
      <c r="AA30" s="63"/>
      <c r="AB30" s="63"/>
    </row>
    <row r="31" spans="1:28" ht="15.75" x14ac:dyDescent="0.25">
      <c r="A31" s="2" t="s">
        <v>34</v>
      </c>
      <c r="B31" s="146"/>
      <c r="C31" s="99"/>
      <c r="D31" s="68"/>
      <c r="E31" s="16" t="s">
        <v>228</v>
      </c>
      <c r="F31" s="44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68"/>
      <c r="R31" s="16"/>
      <c r="S31" s="16"/>
      <c r="T31" s="16"/>
      <c r="U31" s="16"/>
      <c r="V31" s="16"/>
      <c r="W31" s="16"/>
      <c r="X31" s="16"/>
      <c r="Y31" s="16"/>
      <c r="Z31" s="45"/>
      <c r="AA31" s="63"/>
      <c r="AB31" s="63"/>
    </row>
    <row r="32" spans="1:28" ht="15.75" x14ac:dyDescent="0.25">
      <c r="A32" s="2" t="s">
        <v>186</v>
      </c>
      <c r="B32" s="146"/>
      <c r="C32" s="99"/>
      <c r="D32" s="68"/>
      <c r="E32" s="16" t="s">
        <v>228</v>
      </c>
      <c r="F32" s="44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68"/>
      <c r="R32" s="16"/>
      <c r="S32" s="16"/>
      <c r="T32" s="16"/>
      <c r="U32" s="16"/>
      <c r="V32" s="16"/>
      <c r="W32" s="16"/>
      <c r="X32" s="16"/>
      <c r="Y32" s="16"/>
      <c r="Z32" s="45"/>
      <c r="AA32" s="63"/>
      <c r="AB32" s="63"/>
    </row>
    <row r="33" spans="1:28" ht="15.75" x14ac:dyDescent="0.25">
      <c r="A33" s="46" t="s">
        <v>35</v>
      </c>
      <c r="B33" s="145">
        <f>B34+B37</f>
        <v>0</v>
      </c>
      <c r="C33" s="99"/>
      <c r="D33" s="68"/>
      <c r="E33" s="16" t="s">
        <v>228</v>
      </c>
      <c r="F33" s="44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68"/>
      <c r="R33" s="16"/>
      <c r="S33" s="16"/>
      <c r="T33" s="16"/>
      <c r="U33" s="16"/>
      <c r="V33" s="16"/>
      <c r="W33" s="16"/>
      <c r="X33" s="16"/>
      <c r="Y33" s="16"/>
      <c r="Z33" s="45"/>
      <c r="AA33" s="63"/>
      <c r="AB33" s="63"/>
    </row>
    <row r="34" spans="1:28" ht="15.75" x14ac:dyDescent="0.25">
      <c r="A34" s="2" t="s">
        <v>36</v>
      </c>
      <c r="B34" s="145">
        <f>B35+B36</f>
        <v>0</v>
      </c>
      <c r="C34" s="99"/>
      <c r="D34" s="68"/>
      <c r="E34" s="16" t="s">
        <v>228</v>
      </c>
      <c r="F34" s="44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68"/>
      <c r="R34" s="16"/>
      <c r="S34" s="16"/>
      <c r="T34" s="16"/>
      <c r="U34" s="16"/>
      <c r="V34" s="16"/>
      <c r="W34" s="16"/>
      <c r="X34" s="16"/>
      <c r="Y34" s="16"/>
      <c r="Z34" s="45"/>
      <c r="AA34" s="63"/>
      <c r="AB34" s="63"/>
    </row>
    <row r="35" spans="1:28" ht="15.75" x14ac:dyDescent="0.25">
      <c r="A35" s="2" t="s">
        <v>37</v>
      </c>
      <c r="B35" s="146"/>
      <c r="C35" s="99"/>
      <c r="D35" s="68"/>
      <c r="E35" s="16" t="s">
        <v>228</v>
      </c>
      <c r="F35" s="44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68"/>
      <c r="R35" s="16"/>
      <c r="S35" s="16"/>
      <c r="T35" s="16"/>
      <c r="U35" s="16"/>
      <c r="V35" s="16"/>
      <c r="W35" s="16"/>
      <c r="X35" s="16"/>
      <c r="Y35" s="16"/>
      <c r="Z35" s="45"/>
      <c r="AA35" s="63"/>
      <c r="AB35" s="63"/>
    </row>
    <row r="36" spans="1:28" ht="15.75" x14ac:dyDescent="0.25">
      <c r="A36" s="2" t="s">
        <v>187</v>
      </c>
      <c r="B36" s="146"/>
      <c r="C36" s="99"/>
      <c r="D36" s="68"/>
      <c r="E36" s="16" t="s">
        <v>228</v>
      </c>
      <c r="F36" s="44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68"/>
      <c r="R36" s="16"/>
      <c r="S36" s="16"/>
      <c r="T36" s="16"/>
      <c r="U36" s="16"/>
      <c r="V36" s="16"/>
      <c r="W36" s="16"/>
      <c r="X36" s="16"/>
      <c r="Y36" s="16"/>
      <c r="Z36" s="45"/>
      <c r="AA36" s="63"/>
      <c r="AB36" s="63"/>
    </row>
    <row r="37" spans="1:28" ht="15.75" x14ac:dyDescent="0.25">
      <c r="A37" s="2" t="s">
        <v>38</v>
      </c>
      <c r="B37" s="145">
        <f>B38+B39</f>
        <v>0</v>
      </c>
      <c r="C37" s="99"/>
      <c r="D37" s="67"/>
      <c r="E37" s="70" t="s">
        <v>228</v>
      </c>
      <c r="F37" s="72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67"/>
      <c r="R37" s="16"/>
      <c r="S37" s="16"/>
      <c r="T37" s="16"/>
      <c r="U37" s="16"/>
      <c r="V37" s="16"/>
      <c r="W37" s="16"/>
      <c r="X37" s="16"/>
      <c r="Y37" s="16"/>
      <c r="Z37" s="45"/>
      <c r="AA37" s="63"/>
      <c r="AB37" s="63"/>
    </row>
    <row r="38" spans="1:28" ht="15.75" x14ac:dyDescent="0.25">
      <c r="A38" s="2" t="s">
        <v>39</v>
      </c>
      <c r="B38" s="146"/>
      <c r="C38" s="99"/>
      <c r="D38" s="68"/>
      <c r="E38" s="71" t="s">
        <v>228</v>
      </c>
      <c r="F38" s="44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68"/>
      <c r="R38" s="16"/>
      <c r="S38" s="16"/>
      <c r="T38" s="16"/>
      <c r="U38" s="16"/>
      <c r="V38" s="16"/>
      <c r="W38" s="16"/>
      <c r="X38" s="16"/>
      <c r="Y38" s="16"/>
      <c r="Z38" s="45"/>
      <c r="AA38" s="63"/>
      <c r="AB38" s="63"/>
    </row>
    <row r="39" spans="1:28" ht="15.75" x14ac:dyDescent="0.25">
      <c r="A39" s="2" t="s">
        <v>188</v>
      </c>
      <c r="B39" s="146"/>
      <c r="C39" s="99"/>
      <c r="D39" s="68"/>
      <c r="E39" s="71" t="s">
        <v>228</v>
      </c>
      <c r="F39" s="44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68"/>
      <c r="R39" s="16"/>
      <c r="S39" s="16"/>
      <c r="T39" s="16"/>
      <c r="U39" s="16"/>
      <c r="V39" s="16"/>
      <c r="W39" s="16"/>
      <c r="X39" s="16"/>
      <c r="Y39" s="16"/>
      <c r="Z39" s="45"/>
      <c r="AA39" s="63"/>
      <c r="AB39" s="63"/>
    </row>
    <row r="40" spans="1:28" ht="15.75" x14ac:dyDescent="0.25">
      <c r="A40" s="46" t="s">
        <v>279</v>
      </c>
      <c r="B40" s="145">
        <f>B41+B42</f>
        <v>0</v>
      </c>
      <c r="C40" s="99"/>
      <c r="D40" s="68"/>
      <c r="E40" s="71" t="s">
        <v>228</v>
      </c>
      <c r="F40" s="44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68"/>
      <c r="R40" s="16"/>
      <c r="S40" s="16"/>
      <c r="T40" s="16"/>
      <c r="U40" s="16"/>
      <c r="V40" s="16"/>
      <c r="W40" s="16"/>
      <c r="X40" s="16"/>
      <c r="Y40" s="16"/>
      <c r="Z40" s="45"/>
      <c r="AA40" s="63"/>
      <c r="AB40" s="63"/>
    </row>
    <row r="41" spans="1:28" ht="15.75" x14ac:dyDescent="0.25">
      <c r="A41" s="2" t="s">
        <v>317</v>
      </c>
      <c r="B41" s="146"/>
      <c r="C41" s="99"/>
      <c r="D41" s="68"/>
      <c r="E41" s="16" t="s">
        <v>228</v>
      </c>
      <c r="F41" s="44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68"/>
      <c r="R41" s="16"/>
      <c r="S41" s="16"/>
      <c r="T41" s="16"/>
      <c r="U41" s="16"/>
      <c r="V41" s="16"/>
      <c r="W41" s="16"/>
      <c r="X41" s="16"/>
      <c r="Y41" s="16"/>
      <c r="Z41" s="45"/>
      <c r="AA41" s="63"/>
      <c r="AB41" s="63"/>
    </row>
    <row r="42" spans="1:28" ht="15.75" x14ac:dyDescent="0.25">
      <c r="A42" s="2" t="s">
        <v>318</v>
      </c>
      <c r="B42" s="146"/>
      <c r="C42" s="99"/>
      <c r="D42" s="68"/>
      <c r="E42" s="16" t="s">
        <v>228</v>
      </c>
      <c r="F42" s="44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68"/>
      <c r="R42" s="16"/>
      <c r="S42" s="16"/>
      <c r="T42" s="16"/>
      <c r="U42" s="16"/>
      <c r="V42" s="16"/>
      <c r="W42" s="16"/>
      <c r="X42" s="16"/>
      <c r="Y42" s="16"/>
      <c r="Z42" s="45"/>
      <c r="AA42" s="63"/>
      <c r="AB42" s="63"/>
    </row>
    <row r="43" spans="1:28" ht="15.75" x14ac:dyDescent="0.25">
      <c r="A43" s="46" t="s">
        <v>314</v>
      </c>
      <c r="B43" s="145">
        <f>B44+B45</f>
        <v>0</v>
      </c>
      <c r="C43" s="99"/>
      <c r="D43" s="68"/>
      <c r="E43" s="16" t="s">
        <v>228</v>
      </c>
      <c r="F43" s="44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68"/>
      <c r="R43" s="16"/>
      <c r="S43" s="16"/>
      <c r="T43" s="16"/>
      <c r="U43" s="16"/>
      <c r="V43" s="16"/>
      <c r="W43" s="16"/>
      <c r="X43" s="16"/>
      <c r="Y43" s="16"/>
      <c r="Z43" s="45"/>
      <c r="AA43" s="63"/>
      <c r="AB43" s="63"/>
    </row>
    <row r="44" spans="1:28" ht="15.75" x14ac:dyDescent="0.25">
      <c r="A44" s="2" t="s">
        <v>315</v>
      </c>
      <c r="B44" s="146"/>
      <c r="C44" s="99"/>
      <c r="D44" s="68"/>
      <c r="E44" s="16" t="s">
        <v>228</v>
      </c>
      <c r="F44" s="44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68"/>
      <c r="R44" s="16"/>
      <c r="S44" s="16"/>
      <c r="T44" s="16"/>
      <c r="U44" s="16"/>
      <c r="V44" s="16"/>
      <c r="W44" s="16"/>
      <c r="X44" s="16"/>
      <c r="Y44" s="16"/>
      <c r="Z44" s="45"/>
      <c r="AA44" s="63"/>
      <c r="AB44" s="63"/>
    </row>
    <row r="45" spans="1:28" ht="15.75" x14ac:dyDescent="0.25">
      <c r="A45" s="2" t="s">
        <v>316</v>
      </c>
      <c r="B45" s="146"/>
      <c r="C45" s="99"/>
      <c r="D45" s="68"/>
      <c r="E45" s="16" t="s">
        <v>228</v>
      </c>
      <c r="F45" s="44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68"/>
      <c r="R45" s="16"/>
      <c r="S45" s="16"/>
      <c r="T45" s="16"/>
      <c r="U45" s="16"/>
      <c r="V45" s="16"/>
      <c r="W45" s="16"/>
      <c r="X45" s="16"/>
      <c r="Y45" s="16"/>
      <c r="Z45" s="45"/>
      <c r="AA45" s="63"/>
      <c r="AB45" s="63"/>
    </row>
    <row r="46" spans="1:28" ht="15.75" x14ac:dyDescent="0.25">
      <c r="A46" s="46" t="s">
        <v>280</v>
      </c>
      <c r="B46" s="146"/>
      <c r="C46" s="99"/>
      <c r="D46" s="68"/>
      <c r="E46" s="16" t="s">
        <v>228</v>
      </c>
      <c r="F46" s="44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68"/>
      <c r="R46" s="16"/>
      <c r="S46" s="16"/>
      <c r="T46" s="16"/>
      <c r="U46" s="16"/>
      <c r="V46" s="16"/>
      <c r="W46" s="16"/>
      <c r="X46" s="16"/>
      <c r="Y46" s="16"/>
      <c r="Z46" s="45"/>
      <c r="AA46" s="63"/>
      <c r="AB46" s="63"/>
    </row>
    <row r="47" spans="1:28" ht="15.75" x14ac:dyDescent="0.25">
      <c r="A47" s="47" t="s">
        <v>40</v>
      </c>
      <c r="B47" s="145">
        <f>B48+B55+B58+B61+B68+B71+B74+B77+B80</f>
        <v>398</v>
      </c>
      <c r="C47" s="99"/>
      <c r="D47" s="68"/>
      <c r="E47" s="16" t="s">
        <v>228</v>
      </c>
      <c r="F47" s="44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68"/>
      <c r="R47" s="16"/>
      <c r="S47" s="16"/>
      <c r="T47" s="16"/>
      <c r="U47" s="16"/>
      <c r="V47" s="16"/>
      <c r="W47" s="16"/>
      <c r="X47" s="16"/>
      <c r="Y47" s="16"/>
      <c r="Z47" s="45"/>
      <c r="AA47" s="63"/>
      <c r="AB47" s="63"/>
    </row>
    <row r="48" spans="1:28" ht="15.75" x14ac:dyDescent="0.25">
      <c r="A48" s="46" t="s">
        <v>5</v>
      </c>
      <c r="B48" s="145">
        <f>B49+B52</f>
        <v>248</v>
      </c>
      <c r="C48" s="99"/>
      <c r="D48" s="68"/>
      <c r="E48" s="16" t="s">
        <v>228</v>
      </c>
      <c r="F48" s="44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68"/>
      <c r="R48" s="16"/>
      <c r="S48" s="16"/>
      <c r="T48" s="16"/>
      <c r="U48" s="16"/>
      <c r="V48" s="16"/>
      <c r="W48" s="16"/>
      <c r="X48" s="16"/>
      <c r="Y48" s="16"/>
      <c r="Z48" s="45"/>
      <c r="AA48" s="63"/>
      <c r="AB48" s="63"/>
    </row>
    <row r="49" spans="1:28" ht="15.75" x14ac:dyDescent="0.25">
      <c r="A49" s="2" t="s">
        <v>274</v>
      </c>
      <c r="B49" s="145">
        <f>B50+B51</f>
        <v>248</v>
      </c>
      <c r="C49" s="99"/>
      <c r="D49" s="68"/>
      <c r="E49" s="16" t="s">
        <v>228</v>
      </c>
      <c r="F49" s="44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68"/>
      <c r="R49" s="16"/>
      <c r="S49" s="16"/>
      <c r="T49" s="16"/>
      <c r="U49" s="16"/>
      <c r="V49" s="16"/>
      <c r="W49" s="16"/>
      <c r="X49" s="16"/>
      <c r="Y49" s="16"/>
      <c r="Z49" s="45"/>
      <c r="AA49" s="63"/>
      <c r="AB49" s="63"/>
    </row>
    <row r="50" spans="1:28" ht="15.75" x14ac:dyDescent="0.25">
      <c r="A50" s="2" t="s">
        <v>277</v>
      </c>
      <c r="B50" s="146">
        <v>156</v>
      </c>
      <c r="C50" s="99"/>
      <c r="D50" s="68"/>
      <c r="E50" s="16" t="s">
        <v>228</v>
      </c>
      <c r="F50" s="44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68"/>
      <c r="R50" s="16"/>
      <c r="S50" s="16"/>
      <c r="T50" s="16"/>
      <c r="U50" s="16"/>
      <c r="V50" s="16"/>
      <c r="W50" s="16"/>
      <c r="X50" s="16"/>
      <c r="Y50" s="16"/>
      <c r="Z50" s="45"/>
      <c r="AA50" s="63"/>
      <c r="AB50" s="63"/>
    </row>
    <row r="51" spans="1:28" ht="15.75" x14ac:dyDescent="0.25">
      <c r="A51" s="2" t="s">
        <v>278</v>
      </c>
      <c r="B51" s="146">
        <v>92</v>
      </c>
      <c r="C51" s="99"/>
      <c r="D51" s="68"/>
      <c r="E51" s="16" t="s">
        <v>228</v>
      </c>
      <c r="F51" s="160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68"/>
      <c r="R51" s="16"/>
      <c r="S51" s="16"/>
      <c r="T51" s="16"/>
      <c r="U51" s="16"/>
      <c r="V51" s="16"/>
      <c r="W51" s="16"/>
      <c r="X51" s="16"/>
      <c r="Y51" s="16"/>
      <c r="Z51" s="45"/>
      <c r="AA51" s="63"/>
      <c r="AB51" s="63"/>
    </row>
    <row r="52" spans="1:28" ht="15.75" x14ac:dyDescent="0.25">
      <c r="A52" s="2" t="s">
        <v>6</v>
      </c>
      <c r="B52" s="145">
        <f>B53+B54</f>
        <v>0</v>
      </c>
      <c r="C52" s="99"/>
      <c r="D52" s="68"/>
      <c r="E52" s="16" t="s">
        <v>228</v>
      </c>
      <c r="F52" s="44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68"/>
      <c r="R52" s="16"/>
      <c r="S52" s="16"/>
      <c r="T52" s="16"/>
      <c r="U52" s="16"/>
      <c r="V52" s="16"/>
      <c r="W52" s="16"/>
      <c r="X52" s="16"/>
      <c r="Y52" s="16"/>
      <c r="Z52" s="45"/>
      <c r="AA52" s="63"/>
      <c r="AB52" s="63"/>
    </row>
    <row r="53" spans="1:28" ht="15.75" x14ac:dyDescent="0.25">
      <c r="A53" s="2" t="s">
        <v>275</v>
      </c>
      <c r="B53" s="146"/>
      <c r="C53" s="99"/>
      <c r="D53" s="68"/>
      <c r="E53" s="16" t="s">
        <v>228</v>
      </c>
      <c r="F53" s="44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68"/>
      <c r="R53" s="16"/>
      <c r="S53" s="16"/>
      <c r="T53" s="16"/>
      <c r="U53" s="16"/>
      <c r="V53" s="16"/>
      <c r="W53" s="16"/>
      <c r="X53" s="16"/>
      <c r="Y53" s="16"/>
      <c r="Z53" s="45"/>
      <c r="AA53" s="63"/>
      <c r="AB53" s="63"/>
    </row>
    <row r="54" spans="1:28" ht="15.75" x14ac:dyDescent="0.25">
      <c r="A54" s="2" t="s">
        <v>276</v>
      </c>
      <c r="B54" s="146"/>
      <c r="C54" s="99"/>
      <c r="D54" s="68"/>
      <c r="E54" s="16" t="s">
        <v>228</v>
      </c>
      <c r="F54" s="44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68"/>
      <c r="R54" s="16"/>
      <c r="S54" s="16"/>
      <c r="T54" s="16"/>
      <c r="U54" s="16"/>
      <c r="V54" s="16"/>
      <c r="W54" s="16"/>
      <c r="X54" s="16"/>
      <c r="Y54" s="16"/>
      <c r="Z54" s="45"/>
      <c r="AA54" s="63"/>
      <c r="AB54" s="63"/>
    </row>
    <row r="55" spans="1:28" ht="15.75" x14ac:dyDescent="0.25">
      <c r="A55" s="46" t="s">
        <v>41</v>
      </c>
      <c r="B55" s="145">
        <f>B56+B57</f>
        <v>150</v>
      </c>
      <c r="C55" s="99"/>
      <c r="D55" s="68"/>
      <c r="E55" s="16" t="s">
        <v>228</v>
      </c>
      <c r="F55" s="44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68"/>
      <c r="R55" s="16"/>
      <c r="S55" s="16"/>
      <c r="T55" s="16"/>
      <c r="U55" s="16"/>
      <c r="V55" s="16"/>
      <c r="W55" s="16"/>
      <c r="X55" s="16"/>
      <c r="Y55" s="16"/>
      <c r="Z55" s="45"/>
      <c r="AA55" s="63"/>
      <c r="AB55" s="63"/>
    </row>
    <row r="56" spans="1:28" ht="15.75" x14ac:dyDescent="0.25">
      <c r="A56" s="2" t="s">
        <v>42</v>
      </c>
      <c r="B56" s="146">
        <v>92</v>
      </c>
      <c r="C56" s="99"/>
      <c r="D56" s="67"/>
      <c r="E56" s="70" t="s">
        <v>228</v>
      </c>
      <c r="F56" s="72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67"/>
      <c r="R56" s="16"/>
      <c r="S56" s="16"/>
      <c r="T56" s="16"/>
      <c r="U56" s="16"/>
      <c r="V56" s="16"/>
      <c r="W56" s="16"/>
      <c r="X56" s="16"/>
      <c r="Y56" s="16"/>
      <c r="Z56" s="45"/>
      <c r="AA56" s="63"/>
      <c r="AB56" s="63"/>
    </row>
    <row r="57" spans="1:28" ht="15.75" x14ac:dyDescent="0.25">
      <c r="A57" s="2" t="s">
        <v>189</v>
      </c>
      <c r="B57" s="146">
        <v>58</v>
      </c>
      <c r="C57" s="99"/>
      <c r="D57" s="68"/>
      <c r="E57" s="71" t="s">
        <v>228</v>
      </c>
      <c r="F57" s="44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68"/>
      <c r="R57" s="16"/>
      <c r="S57" s="16"/>
      <c r="T57" s="16"/>
      <c r="U57" s="16"/>
      <c r="V57" s="16"/>
      <c r="W57" s="16"/>
      <c r="X57" s="16"/>
      <c r="Y57" s="16"/>
      <c r="Z57" s="45"/>
      <c r="AA57" s="63"/>
      <c r="AB57" s="63"/>
    </row>
    <row r="58" spans="1:28" ht="15.75" x14ac:dyDescent="0.25">
      <c r="A58" s="46" t="s">
        <v>43</v>
      </c>
      <c r="B58" s="145">
        <f>B59+B60</f>
        <v>0</v>
      </c>
      <c r="C58" s="99"/>
      <c r="D58" s="68"/>
      <c r="E58" s="71" t="s">
        <v>228</v>
      </c>
      <c r="F58" s="44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68"/>
      <c r="R58" s="16"/>
      <c r="S58" s="16"/>
      <c r="T58" s="16"/>
      <c r="U58" s="16"/>
      <c r="V58" s="16"/>
      <c r="W58" s="16"/>
      <c r="X58" s="16"/>
      <c r="Y58" s="16"/>
      <c r="Z58" s="45"/>
      <c r="AA58" s="63"/>
      <c r="AB58" s="63"/>
    </row>
    <row r="59" spans="1:28" ht="15.75" x14ac:dyDescent="0.25">
      <c r="A59" s="2" t="s">
        <v>44</v>
      </c>
      <c r="B59" s="146"/>
      <c r="C59" s="99"/>
      <c r="D59" s="68"/>
      <c r="E59" s="71" t="s">
        <v>228</v>
      </c>
      <c r="F59" s="44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68"/>
      <c r="R59" s="16"/>
      <c r="S59" s="16"/>
      <c r="T59" s="16"/>
      <c r="U59" s="16"/>
      <c r="V59" s="16"/>
      <c r="W59" s="16"/>
      <c r="X59" s="16"/>
      <c r="Y59" s="16"/>
      <c r="Z59" s="45"/>
      <c r="AA59" s="63"/>
      <c r="AB59" s="63"/>
    </row>
    <row r="60" spans="1:28" ht="15.75" x14ac:dyDescent="0.25">
      <c r="A60" s="2" t="s">
        <v>190</v>
      </c>
      <c r="B60" s="146"/>
      <c r="C60" s="99"/>
      <c r="D60" s="68"/>
      <c r="E60" s="16" t="s">
        <v>228</v>
      </c>
      <c r="F60" s="44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68"/>
      <c r="R60" s="16"/>
      <c r="S60" s="16"/>
      <c r="T60" s="16"/>
      <c r="U60" s="16"/>
      <c r="V60" s="16"/>
      <c r="W60" s="16"/>
      <c r="X60" s="16"/>
      <c r="Y60" s="16"/>
      <c r="Z60" s="45"/>
      <c r="AA60" s="63"/>
      <c r="AB60" s="63"/>
    </row>
    <row r="61" spans="1:28" ht="15.75" x14ac:dyDescent="0.25">
      <c r="A61" s="46" t="s">
        <v>7</v>
      </c>
      <c r="B61" s="145">
        <f>B62+B65</f>
        <v>0</v>
      </c>
      <c r="C61" s="99"/>
      <c r="D61" s="68"/>
      <c r="E61" s="16" t="s">
        <v>228</v>
      </c>
      <c r="F61" s="44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68"/>
      <c r="R61" s="16"/>
      <c r="S61" s="16"/>
      <c r="T61" s="16"/>
      <c r="U61" s="16"/>
      <c r="V61" s="16"/>
      <c r="W61" s="16"/>
      <c r="X61" s="16"/>
      <c r="Y61" s="16"/>
      <c r="Z61" s="45"/>
      <c r="AA61" s="63"/>
      <c r="AB61" s="63"/>
    </row>
    <row r="62" spans="1:28" ht="15.75" x14ac:dyDescent="0.25">
      <c r="A62" s="2" t="s">
        <v>45</v>
      </c>
      <c r="B62" s="145">
        <f>B63+B64</f>
        <v>0</v>
      </c>
      <c r="C62" s="99"/>
      <c r="D62" s="68"/>
      <c r="E62" s="16" t="s">
        <v>228</v>
      </c>
      <c r="F62" s="44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68"/>
      <c r="R62" s="16"/>
      <c r="S62" s="16"/>
      <c r="T62" s="16"/>
      <c r="U62" s="16"/>
      <c r="V62" s="16"/>
      <c r="W62" s="16"/>
      <c r="X62" s="16"/>
      <c r="Y62" s="16"/>
      <c r="Z62" s="45"/>
      <c r="AA62" s="63"/>
      <c r="AB62" s="63"/>
    </row>
    <row r="63" spans="1:28" ht="15.75" x14ac:dyDescent="0.25">
      <c r="A63" s="2" t="s">
        <v>46</v>
      </c>
      <c r="B63" s="146"/>
      <c r="C63" s="99"/>
      <c r="D63" s="68"/>
      <c r="E63" s="16" t="s">
        <v>228</v>
      </c>
      <c r="F63" s="44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68"/>
      <c r="R63" s="16"/>
      <c r="S63" s="16"/>
      <c r="T63" s="16"/>
      <c r="U63" s="16"/>
      <c r="V63" s="16"/>
      <c r="W63" s="16"/>
      <c r="X63" s="16"/>
      <c r="Y63" s="16"/>
      <c r="Z63" s="45"/>
      <c r="AA63" s="63"/>
      <c r="AB63" s="63"/>
    </row>
    <row r="64" spans="1:28" ht="15.75" x14ac:dyDescent="0.25">
      <c r="A64" s="2" t="s">
        <v>191</v>
      </c>
      <c r="B64" s="146"/>
      <c r="C64" s="99"/>
      <c r="D64" s="68"/>
      <c r="E64" s="16" t="s">
        <v>228</v>
      </c>
      <c r="F64" s="44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68"/>
      <c r="R64" s="16"/>
      <c r="S64" s="16"/>
      <c r="T64" s="16"/>
      <c r="U64" s="16"/>
      <c r="V64" s="16"/>
      <c r="W64" s="16"/>
      <c r="X64" s="16"/>
      <c r="Y64" s="16"/>
      <c r="Z64" s="45"/>
      <c r="AA64" s="63"/>
      <c r="AB64" s="63"/>
    </row>
    <row r="65" spans="1:28" ht="15.75" x14ac:dyDescent="0.25">
      <c r="A65" s="2" t="s">
        <v>47</v>
      </c>
      <c r="B65" s="145">
        <f>B66+B67</f>
        <v>0</v>
      </c>
      <c r="C65" s="99"/>
      <c r="D65" s="68"/>
      <c r="E65" s="16" t="s">
        <v>228</v>
      </c>
      <c r="F65" s="44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68"/>
      <c r="R65" s="16"/>
      <c r="S65" s="16"/>
      <c r="T65" s="16"/>
      <c r="U65" s="16"/>
      <c r="V65" s="16"/>
      <c r="W65" s="16"/>
      <c r="X65" s="16"/>
      <c r="Y65" s="16"/>
      <c r="Z65" s="45"/>
      <c r="AA65" s="63"/>
      <c r="AB65" s="63"/>
    </row>
    <row r="66" spans="1:28" ht="15.75" x14ac:dyDescent="0.25">
      <c r="A66" s="2" t="s">
        <v>48</v>
      </c>
      <c r="B66" s="146"/>
      <c r="C66" s="99"/>
      <c r="D66" s="68"/>
      <c r="E66" s="16" t="s">
        <v>228</v>
      </c>
      <c r="F66" s="44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68"/>
      <c r="R66" s="16"/>
      <c r="S66" s="16"/>
      <c r="T66" s="16"/>
      <c r="U66" s="16"/>
      <c r="V66" s="16"/>
      <c r="W66" s="16"/>
      <c r="X66" s="16"/>
      <c r="Y66" s="16"/>
      <c r="Z66" s="45"/>
      <c r="AA66" s="63"/>
      <c r="AB66" s="63"/>
    </row>
    <row r="67" spans="1:28" ht="15.75" x14ac:dyDescent="0.25">
      <c r="A67" s="2" t="s">
        <v>192</v>
      </c>
      <c r="B67" s="146"/>
      <c r="C67" s="99"/>
      <c r="D67" s="68"/>
      <c r="E67" s="16" t="s">
        <v>228</v>
      </c>
      <c r="F67" s="44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68"/>
      <c r="R67" s="16"/>
      <c r="S67" s="16"/>
      <c r="T67" s="16"/>
      <c r="U67" s="16"/>
      <c r="V67" s="16"/>
      <c r="W67" s="16"/>
      <c r="X67" s="16"/>
      <c r="Y67" s="16"/>
      <c r="Z67" s="45"/>
      <c r="AA67" s="63"/>
      <c r="AB67" s="63"/>
    </row>
    <row r="68" spans="1:28" ht="15.75" x14ac:dyDescent="0.25">
      <c r="A68" s="46" t="s">
        <v>49</v>
      </c>
      <c r="B68" s="145">
        <f>B69+B70</f>
        <v>0</v>
      </c>
      <c r="C68" s="99"/>
      <c r="D68" s="68"/>
      <c r="E68" s="16" t="s">
        <v>228</v>
      </c>
      <c r="F68" s="44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68"/>
      <c r="R68" s="16"/>
      <c r="S68" s="16"/>
      <c r="T68" s="16"/>
      <c r="U68" s="16"/>
      <c r="V68" s="16"/>
      <c r="W68" s="16"/>
      <c r="X68" s="16"/>
      <c r="Y68" s="16"/>
      <c r="Z68" s="45"/>
      <c r="AA68" s="63"/>
      <c r="AB68" s="63"/>
    </row>
    <row r="69" spans="1:28" ht="15.75" x14ac:dyDescent="0.25">
      <c r="A69" s="2" t="s">
        <v>50</v>
      </c>
      <c r="B69" s="146"/>
      <c r="C69" s="99"/>
      <c r="D69" s="68"/>
      <c r="E69" s="16" t="s">
        <v>228</v>
      </c>
      <c r="F69" s="44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68"/>
      <c r="R69" s="16"/>
      <c r="S69" s="16"/>
      <c r="T69" s="16"/>
      <c r="U69" s="16"/>
      <c r="V69" s="16"/>
      <c r="W69" s="16"/>
      <c r="X69" s="16"/>
      <c r="Y69" s="16"/>
      <c r="Z69" s="45"/>
      <c r="AA69" s="63"/>
      <c r="AB69" s="63"/>
    </row>
    <row r="70" spans="1:28" ht="15.75" x14ac:dyDescent="0.25">
      <c r="A70" s="2" t="s">
        <v>193</v>
      </c>
      <c r="B70" s="146"/>
      <c r="C70" s="99"/>
      <c r="D70" s="68"/>
      <c r="E70" s="16" t="s">
        <v>228</v>
      </c>
      <c r="F70" s="44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68"/>
      <c r="R70" s="16"/>
      <c r="S70" s="16"/>
      <c r="T70" s="16"/>
      <c r="U70" s="16"/>
      <c r="V70" s="16"/>
      <c r="W70" s="16"/>
      <c r="X70" s="16"/>
      <c r="Y70" s="16"/>
      <c r="Z70" s="45"/>
      <c r="AA70" s="63"/>
      <c r="AB70" s="63"/>
    </row>
    <row r="71" spans="1:28" ht="15.75" x14ac:dyDescent="0.25">
      <c r="A71" s="46" t="s">
        <v>51</v>
      </c>
      <c r="B71" s="145">
        <f>B72+B73</f>
        <v>0</v>
      </c>
      <c r="C71" s="99"/>
      <c r="D71" s="68"/>
      <c r="E71" s="16" t="s">
        <v>228</v>
      </c>
      <c r="F71" s="44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68"/>
      <c r="R71" s="16"/>
      <c r="S71" s="16"/>
      <c r="T71" s="16"/>
      <c r="U71" s="16"/>
      <c r="V71" s="16"/>
      <c r="W71" s="16"/>
      <c r="X71" s="16"/>
      <c r="Y71" s="16"/>
      <c r="Z71" s="45"/>
      <c r="AA71" s="63"/>
      <c r="AB71" s="63"/>
    </row>
    <row r="72" spans="1:28" ht="15.75" x14ac:dyDescent="0.25">
      <c r="A72" s="2" t="s">
        <v>52</v>
      </c>
      <c r="B72" s="146"/>
      <c r="C72" s="99"/>
      <c r="D72" s="68"/>
      <c r="E72" s="16" t="s">
        <v>228</v>
      </c>
      <c r="F72" s="44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68"/>
      <c r="R72" s="16"/>
      <c r="S72" s="16"/>
      <c r="T72" s="16"/>
      <c r="U72" s="16"/>
      <c r="V72" s="16"/>
      <c r="W72" s="16"/>
      <c r="X72" s="16"/>
      <c r="Y72" s="16"/>
      <c r="Z72" s="45"/>
      <c r="AA72" s="63"/>
      <c r="AB72" s="63"/>
    </row>
    <row r="73" spans="1:28" ht="15.75" x14ac:dyDescent="0.25">
      <c r="A73" s="2" t="s">
        <v>194</v>
      </c>
      <c r="B73" s="146"/>
      <c r="C73" s="99"/>
      <c r="D73" s="68"/>
      <c r="E73" s="16" t="s">
        <v>228</v>
      </c>
      <c r="F73" s="44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68"/>
      <c r="R73" s="16"/>
      <c r="S73" s="16"/>
      <c r="T73" s="16"/>
      <c r="U73" s="16"/>
      <c r="V73" s="16"/>
      <c r="W73" s="16"/>
      <c r="X73" s="16"/>
      <c r="Y73" s="16"/>
      <c r="Z73" s="45"/>
      <c r="AA73" s="63"/>
      <c r="AB73" s="63"/>
    </row>
    <row r="74" spans="1:28" ht="15.75" x14ac:dyDescent="0.25">
      <c r="A74" s="46" t="s">
        <v>53</v>
      </c>
      <c r="B74" s="145">
        <f>B75+B76</f>
        <v>0</v>
      </c>
      <c r="C74" s="99"/>
      <c r="D74" s="68"/>
      <c r="E74" s="16" t="s">
        <v>228</v>
      </c>
      <c r="F74" s="160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68"/>
      <c r="R74" s="16"/>
      <c r="S74" s="16"/>
      <c r="T74" s="16"/>
      <c r="U74" s="16"/>
      <c r="V74" s="16"/>
      <c r="W74" s="16"/>
      <c r="X74" s="16"/>
      <c r="Y74" s="16"/>
      <c r="Z74" s="45"/>
      <c r="AA74" s="63"/>
      <c r="AB74" s="63"/>
    </row>
    <row r="75" spans="1:28" ht="15.75" x14ac:dyDescent="0.25">
      <c r="A75" s="2" t="s">
        <v>54</v>
      </c>
      <c r="B75" s="146"/>
      <c r="C75" s="99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16"/>
      <c r="S75" s="16"/>
      <c r="T75" s="16"/>
      <c r="U75" s="16"/>
      <c r="V75" s="16"/>
      <c r="W75" s="16"/>
      <c r="X75" s="16"/>
      <c r="Y75" s="16"/>
      <c r="Z75" s="45"/>
      <c r="AA75" s="63"/>
      <c r="AB75" s="63"/>
    </row>
    <row r="76" spans="1:28" ht="15.75" x14ac:dyDescent="0.25">
      <c r="A76" s="2" t="s">
        <v>195</v>
      </c>
      <c r="B76" s="146"/>
      <c r="C76" s="99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45"/>
      <c r="AA76" s="63"/>
      <c r="AB76" s="63"/>
    </row>
    <row r="77" spans="1:28" ht="15.75" x14ac:dyDescent="0.25">
      <c r="A77" s="46" t="s">
        <v>319</v>
      </c>
      <c r="B77" s="145">
        <f>B78+B79</f>
        <v>0</v>
      </c>
      <c r="C77" s="99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45"/>
      <c r="AA77" s="63"/>
      <c r="AB77" s="63"/>
    </row>
    <row r="78" spans="1:28" ht="15.75" x14ac:dyDescent="0.25">
      <c r="A78" s="2" t="s">
        <v>72</v>
      </c>
      <c r="B78" s="146"/>
      <c r="C78" s="99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45"/>
      <c r="AA78" s="63"/>
      <c r="AB78" s="63"/>
    </row>
    <row r="79" spans="1:28" ht="15.75" x14ac:dyDescent="0.25">
      <c r="A79" s="55" t="s">
        <v>196</v>
      </c>
      <c r="B79" s="146"/>
      <c r="C79" s="99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45"/>
      <c r="AA79" s="63"/>
      <c r="AB79" s="63"/>
    </row>
    <row r="80" spans="1:28" ht="15.75" x14ac:dyDescent="0.25">
      <c r="A80" s="46" t="s">
        <v>271</v>
      </c>
      <c r="B80" s="145">
        <f>B81+B82</f>
        <v>0</v>
      </c>
      <c r="C80" s="99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45"/>
      <c r="AA80" s="63"/>
      <c r="AB80" s="63"/>
    </row>
    <row r="81" spans="1:28" ht="15.75" x14ac:dyDescent="0.25">
      <c r="A81" s="2" t="s">
        <v>272</v>
      </c>
      <c r="B81" s="146"/>
      <c r="C81" s="99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45"/>
      <c r="AA81" s="63"/>
      <c r="AB81" s="63"/>
    </row>
    <row r="82" spans="1:28" ht="15.75" x14ac:dyDescent="0.25">
      <c r="A82" s="55" t="s">
        <v>273</v>
      </c>
      <c r="B82" s="146">
        <v>0</v>
      </c>
      <c r="C82" s="99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45"/>
      <c r="AA82" s="63"/>
      <c r="AB82" s="63"/>
    </row>
    <row r="83" spans="1:28" ht="15.75" x14ac:dyDescent="0.25">
      <c r="A83" s="56" t="s">
        <v>55</v>
      </c>
      <c r="B83" s="145">
        <f>B84+B97+B100+B103+B110+B113+B116+B119</f>
        <v>214</v>
      </c>
      <c r="C83" s="99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45"/>
      <c r="AA83" s="63"/>
      <c r="AB83" s="63"/>
    </row>
    <row r="84" spans="1:28" ht="15.75" x14ac:dyDescent="0.25">
      <c r="A84" s="57" t="s">
        <v>56</v>
      </c>
      <c r="B84" s="145">
        <f>B85+B88+B91+B94</f>
        <v>64</v>
      </c>
      <c r="C84" s="99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45"/>
      <c r="AA84" s="63"/>
      <c r="AB84" s="63"/>
    </row>
    <row r="85" spans="1:28" ht="15.75" x14ac:dyDescent="0.25">
      <c r="A85" s="55" t="s">
        <v>57</v>
      </c>
      <c r="B85" s="145">
        <f>B86+B87</f>
        <v>58</v>
      </c>
      <c r="C85" s="99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45"/>
      <c r="AA85" s="63"/>
      <c r="AB85" s="63"/>
    </row>
    <row r="86" spans="1:28" ht="15.75" x14ac:dyDescent="0.25">
      <c r="A86" s="55" t="s">
        <v>58</v>
      </c>
      <c r="B86" s="146">
        <v>33</v>
      </c>
      <c r="C86" s="99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45"/>
      <c r="AA86" s="63"/>
      <c r="AB86" s="63"/>
    </row>
    <row r="87" spans="1:28" ht="15.75" x14ac:dyDescent="0.25">
      <c r="A87" s="55" t="s">
        <v>197</v>
      </c>
      <c r="B87" s="146">
        <v>25</v>
      </c>
      <c r="C87" s="99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45"/>
      <c r="AA87" s="63"/>
      <c r="AB87" s="63"/>
    </row>
    <row r="88" spans="1:28" ht="15.75" x14ac:dyDescent="0.25">
      <c r="A88" s="55" t="s">
        <v>237</v>
      </c>
      <c r="B88" s="145">
        <f>B89+B90</f>
        <v>6</v>
      </c>
      <c r="C88" s="99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45"/>
      <c r="AA88" s="63"/>
      <c r="AB88" s="63"/>
    </row>
    <row r="89" spans="1:28" ht="15.75" x14ac:dyDescent="0.25">
      <c r="A89" s="55" t="s">
        <v>59</v>
      </c>
      <c r="B89" s="146">
        <v>6</v>
      </c>
      <c r="C89" s="99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45"/>
      <c r="AA89" s="63"/>
      <c r="AB89" s="63"/>
    </row>
    <row r="90" spans="1:28" ht="15.75" x14ac:dyDescent="0.25">
      <c r="A90" s="55" t="s">
        <v>198</v>
      </c>
      <c r="B90" s="146"/>
      <c r="C90" s="99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45"/>
      <c r="AA90" s="63"/>
      <c r="AB90" s="63"/>
    </row>
    <row r="91" spans="1:28" ht="15.75" x14ac:dyDescent="0.25">
      <c r="A91" s="55" t="s">
        <v>60</v>
      </c>
      <c r="B91" s="145">
        <f>B92+B93</f>
        <v>0</v>
      </c>
      <c r="C91" s="99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45"/>
      <c r="AA91" s="63"/>
      <c r="AB91" s="63"/>
    </row>
    <row r="92" spans="1:28" ht="15.75" x14ac:dyDescent="0.25">
      <c r="A92" s="55" t="s">
        <v>61</v>
      </c>
      <c r="B92" s="146"/>
      <c r="C92" s="99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45"/>
      <c r="AA92" s="63"/>
      <c r="AB92" s="63"/>
    </row>
    <row r="93" spans="1:28" ht="15.75" x14ac:dyDescent="0.25">
      <c r="A93" s="55" t="s">
        <v>199</v>
      </c>
      <c r="B93" s="146"/>
      <c r="C93" s="99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45"/>
      <c r="AA93" s="63"/>
      <c r="AB93" s="63"/>
    </row>
    <row r="94" spans="1:28" ht="15.75" x14ac:dyDescent="0.25">
      <c r="A94" s="55" t="s">
        <v>62</v>
      </c>
      <c r="B94" s="145">
        <f>B95+B96</f>
        <v>0</v>
      </c>
      <c r="C94" s="99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45"/>
      <c r="AA94" s="63"/>
      <c r="AB94" s="63"/>
    </row>
    <row r="95" spans="1:28" ht="15.75" x14ac:dyDescent="0.25">
      <c r="A95" s="55" t="s">
        <v>63</v>
      </c>
      <c r="B95" s="146"/>
      <c r="C95" s="99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45"/>
      <c r="AA95" s="63"/>
      <c r="AB95" s="63"/>
    </row>
    <row r="96" spans="1:28" ht="15.75" x14ac:dyDescent="0.25">
      <c r="A96" s="55" t="s">
        <v>200</v>
      </c>
      <c r="B96" s="146"/>
      <c r="C96" s="99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45"/>
      <c r="AA96" s="63"/>
      <c r="AB96" s="63"/>
    </row>
    <row r="97" spans="1:28" ht="15.75" x14ac:dyDescent="0.25">
      <c r="A97" s="57" t="s">
        <v>64</v>
      </c>
      <c r="B97" s="145">
        <f>B98+B99</f>
        <v>150</v>
      </c>
      <c r="C97" s="99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45"/>
      <c r="AA97" s="63"/>
      <c r="AB97" s="63"/>
    </row>
    <row r="98" spans="1:28" ht="15.75" x14ac:dyDescent="0.25">
      <c r="A98" s="55" t="s">
        <v>65</v>
      </c>
      <c r="B98" s="146">
        <v>92</v>
      </c>
      <c r="C98" s="99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45"/>
      <c r="AA98" s="63"/>
      <c r="AB98" s="63"/>
    </row>
    <row r="99" spans="1:28" ht="15.75" x14ac:dyDescent="0.25">
      <c r="A99" s="55" t="s">
        <v>201</v>
      </c>
      <c r="B99" s="146">
        <v>58</v>
      </c>
      <c r="C99" s="99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45"/>
      <c r="AA99" s="63"/>
      <c r="AB99" s="63"/>
    </row>
    <row r="100" spans="1:28" ht="15.75" x14ac:dyDescent="0.25">
      <c r="A100" s="57" t="s">
        <v>66</v>
      </c>
      <c r="B100" s="145">
        <f>B101+B102</f>
        <v>0</v>
      </c>
      <c r="C100" s="99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45"/>
      <c r="AA100" s="63"/>
      <c r="AB100" s="63"/>
    </row>
    <row r="101" spans="1:28" ht="15.75" x14ac:dyDescent="0.25">
      <c r="A101" s="55" t="s">
        <v>67</v>
      </c>
      <c r="B101" s="146"/>
      <c r="C101" s="99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45"/>
      <c r="AA101" s="63"/>
      <c r="AB101" s="63"/>
    </row>
    <row r="102" spans="1:28" ht="15.75" x14ac:dyDescent="0.25">
      <c r="A102" s="55" t="s">
        <v>202</v>
      </c>
      <c r="B102" s="146"/>
      <c r="C102" s="99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45"/>
      <c r="AA102" s="63"/>
      <c r="AB102" s="63"/>
    </row>
    <row r="103" spans="1:28" ht="15.75" x14ac:dyDescent="0.25">
      <c r="A103" s="57" t="s">
        <v>68</v>
      </c>
      <c r="B103" s="145">
        <f>B104+B107</f>
        <v>0</v>
      </c>
      <c r="C103" s="99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45"/>
      <c r="AA103" s="63"/>
      <c r="AB103" s="63"/>
    </row>
    <row r="104" spans="1:28" ht="15.75" x14ac:dyDescent="0.25">
      <c r="A104" s="55" t="s">
        <v>238</v>
      </c>
      <c r="B104" s="145">
        <f>B105+B106</f>
        <v>0</v>
      </c>
      <c r="C104" s="99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45"/>
      <c r="AA104" s="63"/>
      <c r="AB104" s="63"/>
    </row>
    <row r="105" spans="1:28" ht="15.75" x14ac:dyDescent="0.25">
      <c r="A105" s="2" t="s">
        <v>239</v>
      </c>
      <c r="B105" s="146"/>
      <c r="C105" s="99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45"/>
      <c r="AA105" s="63"/>
      <c r="AB105" s="63"/>
    </row>
    <row r="106" spans="1:28" ht="15.75" x14ac:dyDescent="0.25">
      <c r="A106" s="2" t="s">
        <v>240</v>
      </c>
      <c r="B106" s="146"/>
      <c r="C106" s="99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45"/>
      <c r="AA106" s="63"/>
      <c r="AB106" s="63"/>
    </row>
    <row r="107" spans="1:28" ht="15.75" x14ac:dyDescent="0.25">
      <c r="A107" s="2" t="s">
        <v>241</v>
      </c>
      <c r="B107" s="145">
        <f>B108+B109</f>
        <v>0</v>
      </c>
      <c r="C107" s="99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45"/>
      <c r="AA107" s="63"/>
      <c r="AB107" s="63"/>
    </row>
    <row r="108" spans="1:28" ht="15.75" x14ac:dyDescent="0.25">
      <c r="A108" s="2" t="s">
        <v>242</v>
      </c>
      <c r="B108" s="146"/>
      <c r="C108" s="99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45"/>
      <c r="AA108" s="63"/>
      <c r="AB108" s="63"/>
    </row>
    <row r="109" spans="1:28" ht="15.75" x14ac:dyDescent="0.25">
      <c r="A109" s="55" t="s">
        <v>243</v>
      </c>
      <c r="B109" s="146"/>
      <c r="C109" s="99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45"/>
      <c r="AA109" s="63"/>
      <c r="AB109" s="63"/>
    </row>
    <row r="110" spans="1:28" ht="15.75" x14ac:dyDescent="0.25">
      <c r="A110" s="57" t="s">
        <v>69</v>
      </c>
      <c r="B110" s="145">
        <f>B111+B112</f>
        <v>0</v>
      </c>
      <c r="C110" s="99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45"/>
      <c r="AA110" s="63"/>
      <c r="AB110" s="63"/>
    </row>
    <row r="111" spans="1:28" ht="15.75" x14ac:dyDescent="0.25">
      <c r="A111" s="55" t="s">
        <v>244</v>
      </c>
      <c r="B111" s="146"/>
      <c r="C111" s="99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45"/>
      <c r="AA111" s="63"/>
      <c r="AB111" s="63"/>
    </row>
    <row r="112" spans="1:28" ht="15.75" x14ac:dyDescent="0.25">
      <c r="A112" s="55" t="s">
        <v>245</v>
      </c>
      <c r="B112" s="146"/>
      <c r="C112" s="99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45"/>
      <c r="AA112" s="63"/>
      <c r="AB112" s="63"/>
    </row>
    <row r="113" spans="1:28" ht="15.75" x14ac:dyDescent="0.25">
      <c r="A113" s="57" t="s">
        <v>70</v>
      </c>
      <c r="B113" s="145">
        <f>B114+B115</f>
        <v>0</v>
      </c>
      <c r="C113" s="99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45"/>
      <c r="AA113" s="63"/>
      <c r="AB113" s="63"/>
    </row>
    <row r="114" spans="1:28" ht="15.75" x14ac:dyDescent="0.25">
      <c r="A114" s="55" t="s">
        <v>246</v>
      </c>
      <c r="B114" s="146"/>
      <c r="C114" s="99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45"/>
      <c r="AA114" s="63"/>
      <c r="AB114" s="63"/>
    </row>
    <row r="115" spans="1:28" ht="15.75" x14ac:dyDescent="0.25">
      <c r="A115" s="55" t="s">
        <v>247</v>
      </c>
      <c r="B115" s="146"/>
      <c r="C115" s="99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45"/>
      <c r="AA115" s="63"/>
      <c r="AB115" s="63"/>
    </row>
    <row r="116" spans="1:28" ht="15.75" x14ac:dyDescent="0.25">
      <c r="A116" s="57" t="s">
        <v>71</v>
      </c>
      <c r="B116" s="145">
        <f>B117+B118</f>
        <v>0</v>
      </c>
      <c r="C116" s="99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45"/>
      <c r="AA116" s="63"/>
      <c r="AB116" s="63"/>
    </row>
    <row r="117" spans="1:28" ht="15.75" x14ac:dyDescent="0.25">
      <c r="A117" s="55" t="s">
        <v>248</v>
      </c>
      <c r="B117" s="146"/>
      <c r="C117" s="99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45"/>
      <c r="AA117" s="63"/>
      <c r="AB117" s="63"/>
    </row>
    <row r="118" spans="1:28" ht="15.75" x14ac:dyDescent="0.25">
      <c r="A118" s="55" t="s">
        <v>249</v>
      </c>
      <c r="B118" s="146"/>
      <c r="C118" s="99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45"/>
      <c r="AA118" s="63"/>
      <c r="AB118" s="63"/>
    </row>
    <row r="119" spans="1:28" ht="15.75" x14ac:dyDescent="0.25">
      <c r="A119" s="57" t="s">
        <v>320</v>
      </c>
      <c r="B119" s="145">
        <f>B120+B121</f>
        <v>0</v>
      </c>
      <c r="C119" s="99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45"/>
      <c r="AA119" s="63"/>
      <c r="AB119" s="63"/>
    </row>
    <row r="120" spans="1:28" ht="15.75" x14ac:dyDescent="0.25">
      <c r="A120" s="55" t="s">
        <v>250</v>
      </c>
      <c r="B120" s="146"/>
      <c r="C120" s="99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45"/>
      <c r="AA120" s="63"/>
      <c r="AB120" s="63"/>
    </row>
    <row r="121" spans="1:28" ht="15.75" x14ac:dyDescent="0.25">
      <c r="A121" s="55" t="s">
        <v>251</v>
      </c>
      <c r="B121" s="146"/>
      <c r="C121" s="99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45"/>
      <c r="AA121" s="63"/>
      <c r="AB121" s="63"/>
    </row>
    <row r="122" spans="1:28" ht="15.75" x14ac:dyDescent="0.25">
      <c r="A122" s="57" t="s">
        <v>270</v>
      </c>
      <c r="B122" s="146">
        <v>0</v>
      </c>
      <c r="C122" s="99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45"/>
      <c r="AA122" s="63"/>
      <c r="AB122" s="63"/>
    </row>
    <row r="123" spans="1:28" ht="15.75" x14ac:dyDescent="0.25">
      <c r="A123" s="56" t="s">
        <v>73</v>
      </c>
      <c r="B123" s="145">
        <f>B124+B146+B153+B156+B160+B163+B166+B169+B172</f>
        <v>58</v>
      </c>
      <c r="C123" s="99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45"/>
      <c r="AA123" s="63"/>
      <c r="AB123" s="63"/>
    </row>
    <row r="124" spans="1:28" ht="15.75" x14ac:dyDescent="0.25">
      <c r="A124" s="57" t="s">
        <v>8</v>
      </c>
      <c r="B124" s="145">
        <f>B125+B132+B135+B139</f>
        <v>58</v>
      </c>
      <c r="C124" s="99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45"/>
      <c r="AA124" s="63"/>
      <c r="AB124" s="63"/>
    </row>
    <row r="125" spans="1:28" ht="15.75" x14ac:dyDescent="0.25">
      <c r="A125" s="55" t="s">
        <v>9</v>
      </c>
      <c r="B125" s="145">
        <f>B126+B129</f>
        <v>58</v>
      </c>
      <c r="C125" s="99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45"/>
      <c r="AA125" s="63"/>
      <c r="AB125" s="63"/>
    </row>
    <row r="126" spans="1:28" ht="15.75" x14ac:dyDescent="0.25">
      <c r="A126" s="55" t="s">
        <v>264</v>
      </c>
      <c r="B126" s="145">
        <f>B127+B128</f>
        <v>0</v>
      </c>
      <c r="C126" s="99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45"/>
      <c r="AA126" s="63"/>
      <c r="AB126" s="63"/>
    </row>
    <row r="127" spans="1:28" ht="15.75" x14ac:dyDescent="0.25">
      <c r="A127" s="55" t="s">
        <v>265</v>
      </c>
      <c r="B127" s="146"/>
      <c r="C127" s="99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45"/>
      <c r="AA127" s="63"/>
      <c r="AB127" s="63"/>
    </row>
    <row r="128" spans="1:28" ht="15.75" x14ac:dyDescent="0.25">
      <c r="A128" s="55" t="s">
        <v>266</v>
      </c>
      <c r="B128" s="146"/>
      <c r="C128" s="99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45"/>
      <c r="AA128" s="63"/>
      <c r="AB128" s="63"/>
    </row>
    <row r="129" spans="1:28" ht="15.75" x14ac:dyDescent="0.25">
      <c r="A129" s="55" t="s">
        <v>267</v>
      </c>
      <c r="B129" s="145">
        <f>B130+B131</f>
        <v>58</v>
      </c>
      <c r="C129" s="99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45"/>
      <c r="AA129" s="63"/>
      <c r="AB129" s="63"/>
    </row>
    <row r="130" spans="1:28" ht="15.75" x14ac:dyDescent="0.25">
      <c r="A130" s="55" t="s">
        <v>268</v>
      </c>
      <c r="B130" s="146">
        <v>33</v>
      </c>
      <c r="C130" s="99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45"/>
      <c r="AA130" s="63"/>
      <c r="AB130" s="63"/>
    </row>
    <row r="131" spans="1:28" ht="15.75" x14ac:dyDescent="0.25">
      <c r="A131" s="55" t="s">
        <v>269</v>
      </c>
      <c r="B131" s="146">
        <v>25</v>
      </c>
      <c r="C131" s="99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45"/>
      <c r="AA131" s="63"/>
      <c r="AB131" s="63"/>
    </row>
    <row r="132" spans="1:28" ht="15.75" x14ac:dyDescent="0.25">
      <c r="A132" s="55" t="s">
        <v>10</v>
      </c>
      <c r="B132" s="145">
        <f>B133+B134</f>
        <v>0</v>
      </c>
      <c r="C132" s="99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45"/>
      <c r="AA132" s="63"/>
      <c r="AB132" s="63"/>
    </row>
    <row r="133" spans="1:28" ht="15.75" x14ac:dyDescent="0.25">
      <c r="A133" s="55" t="s">
        <v>74</v>
      </c>
      <c r="B133" s="146"/>
      <c r="C133" s="99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45"/>
      <c r="AA133" s="63"/>
      <c r="AB133" s="63"/>
    </row>
    <row r="134" spans="1:28" ht="15.75" x14ac:dyDescent="0.25">
      <c r="A134" s="55" t="s">
        <v>203</v>
      </c>
      <c r="B134" s="146"/>
      <c r="C134" s="99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45"/>
      <c r="AA134" s="63"/>
      <c r="AB134" s="63"/>
    </row>
    <row r="135" spans="1:28" ht="15.75" x14ac:dyDescent="0.25">
      <c r="A135" s="55" t="s">
        <v>11</v>
      </c>
      <c r="B135" s="145">
        <f>B136+B137</f>
        <v>0</v>
      </c>
      <c r="C135" s="99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45"/>
      <c r="AA135" s="63"/>
      <c r="AB135" s="63"/>
    </row>
    <row r="136" spans="1:28" ht="15.75" x14ac:dyDescent="0.25">
      <c r="A136" s="55" t="s">
        <v>75</v>
      </c>
      <c r="B136" s="146"/>
      <c r="C136" s="99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45"/>
      <c r="AA136" s="63"/>
      <c r="AB136" s="63"/>
    </row>
    <row r="137" spans="1:28" ht="15.75" x14ac:dyDescent="0.25">
      <c r="A137" s="55" t="s">
        <v>204</v>
      </c>
      <c r="B137" s="146"/>
      <c r="C137" s="99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45"/>
      <c r="AA137" s="63"/>
      <c r="AB137" s="63"/>
    </row>
    <row r="138" spans="1:28" ht="15.75" x14ac:dyDescent="0.25">
      <c r="A138" s="55" t="s">
        <v>321</v>
      </c>
      <c r="B138" s="148"/>
      <c r="C138" s="99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45"/>
      <c r="AA138" s="63"/>
      <c r="AB138" s="63"/>
    </row>
    <row r="139" spans="1:28" ht="15.75" x14ac:dyDescent="0.25">
      <c r="A139" s="55" t="s">
        <v>322</v>
      </c>
      <c r="B139" s="145">
        <f>B140+B143</f>
        <v>0</v>
      </c>
      <c r="C139" s="99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45"/>
      <c r="AA139" s="63"/>
      <c r="AB139" s="63"/>
    </row>
    <row r="140" spans="1:28" ht="15.75" x14ac:dyDescent="0.25">
      <c r="A140" s="55" t="s">
        <v>150</v>
      </c>
      <c r="B140" s="145">
        <f>B141+B142</f>
        <v>0</v>
      </c>
      <c r="C140" s="99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45"/>
      <c r="AA140" s="63"/>
      <c r="AB140" s="63"/>
    </row>
    <row r="141" spans="1:28" ht="15.75" x14ac:dyDescent="0.25">
      <c r="A141" s="55" t="s">
        <v>151</v>
      </c>
      <c r="B141" s="146"/>
      <c r="C141" s="99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45"/>
      <c r="AA141" s="63"/>
      <c r="AB141" s="63"/>
    </row>
    <row r="142" spans="1:28" ht="15.75" x14ac:dyDescent="0.25">
      <c r="A142" s="55" t="s">
        <v>252</v>
      </c>
      <c r="B142" s="146"/>
      <c r="C142" s="99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45"/>
      <c r="AA142" s="63"/>
      <c r="AB142" s="63"/>
    </row>
    <row r="143" spans="1:28" ht="15.75" x14ac:dyDescent="0.25">
      <c r="A143" s="55" t="s">
        <v>152</v>
      </c>
      <c r="B143" s="145">
        <f>B144+B145</f>
        <v>0</v>
      </c>
      <c r="C143" s="99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45"/>
      <c r="AA143" s="63"/>
      <c r="AB143" s="63"/>
    </row>
    <row r="144" spans="1:28" ht="15.75" x14ac:dyDescent="0.25">
      <c r="A144" s="55" t="s">
        <v>153</v>
      </c>
      <c r="B144" s="146"/>
      <c r="C144" s="99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45"/>
      <c r="AA144" s="63"/>
      <c r="AB144" s="63"/>
    </row>
    <row r="145" spans="1:28" ht="15.75" x14ac:dyDescent="0.25">
      <c r="A145" s="55" t="s">
        <v>205</v>
      </c>
      <c r="B145" s="146"/>
      <c r="C145" s="99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45"/>
      <c r="AA145" s="63"/>
      <c r="AB145" s="63"/>
    </row>
    <row r="146" spans="1:28" ht="15.75" x14ac:dyDescent="0.25">
      <c r="A146" s="57" t="s">
        <v>76</v>
      </c>
      <c r="B146" s="145">
        <f>B147+B150</f>
        <v>0</v>
      </c>
      <c r="C146" s="99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45"/>
      <c r="AA146" s="63"/>
      <c r="AB146" s="63"/>
    </row>
    <row r="147" spans="1:28" ht="15.75" x14ac:dyDescent="0.25">
      <c r="A147" s="2" t="s">
        <v>77</v>
      </c>
      <c r="B147" s="145">
        <f>B148+B149</f>
        <v>0</v>
      </c>
      <c r="C147" s="99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45"/>
      <c r="AA147" s="63"/>
      <c r="AB147" s="63"/>
    </row>
    <row r="148" spans="1:28" ht="15.75" x14ac:dyDescent="0.25">
      <c r="A148" s="2" t="s">
        <v>78</v>
      </c>
      <c r="B148" s="146"/>
      <c r="C148" s="99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45"/>
      <c r="AA148" s="63"/>
      <c r="AB148" s="63"/>
    </row>
    <row r="149" spans="1:28" ht="15.75" x14ac:dyDescent="0.25">
      <c r="A149" s="2" t="s">
        <v>206</v>
      </c>
      <c r="B149" s="146"/>
      <c r="C149" s="99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45"/>
      <c r="AA149" s="63"/>
      <c r="AB149" s="63"/>
    </row>
    <row r="150" spans="1:28" ht="15.75" x14ac:dyDescent="0.25">
      <c r="A150" s="2" t="s">
        <v>79</v>
      </c>
      <c r="B150" s="145">
        <f>B151+B152</f>
        <v>0</v>
      </c>
      <c r="C150" s="99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45"/>
      <c r="AA150" s="63"/>
      <c r="AB150" s="63"/>
    </row>
    <row r="151" spans="1:28" ht="15.75" x14ac:dyDescent="0.25">
      <c r="A151" s="2" t="s">
        <v>80</v>
      </c>
      <c r="B151" s="146"/>
      <c r="C151" s="99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45"/>
      <c r="AA151" s="63"/>
      <c r="AB151" s="63"/>
    </row>
    <row r="152" spans="1:28" ht="15.75" x14ac:dyDescent="0.25">
      <c r="A152" s="55" t="s">
        <v>207</v>
      </c>
      <c r="B152" s="146"/>
      <c r="C152" s="99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45"/>
      <c r="AA152" s="63"/>
      <c r="AB152" s="63"/>
    </row>
    <row r="153" spans="1:28" ht="15.75" x14ac:dyDescent="0.25">
      <c r="A153" s="57" t="s">
        <v>81</v>
      </c>
      <c r="B153" s="145">
        <f>B154+B155</f>
        <v>0</v>
      </c>
      <c r="C153" s="99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45"/>
      <c r="AA153" s="63"/>
      <c r="AB153" s="63"/>
    </row>
    <row r="154" spans="1:28" ht="15.75" x14ac:dyDescent="0.25">
      <c r="A154" s="55" t="s">
        <v>82</v>
      </c>
      <c r="B154" s="146"/>
      <c r="C154" s="99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45"/>
      <c r="AA154" s="63"/>
      <c r="AB154" s="63"/>
    </row>
    <row r="155" spans="1:28" ht="15.75" x14ac:dyDescent="0.25">
      <c r="A155" s="55" t="s">
        <v>208</v>
      </c>
      <c r="B155" s="146"/>
      <c r="C155" s="99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45"/>
      <c r="AA155" s="63"/>
      <c r="AB155" s="63"/>
    </row>
    <row r="156" spans="1:28" ht="15.75" x14ac:dyDescent="0.25">
      <c r="A156" s="57" t="s">
        <v>12</v>
      </c>
      <c r="B156" s="145">
        <f>B157</f>
        <v>0</v>
      </c>
      <c r="C156" s="99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45"/>
      <c r="AA156" s="63"/>
      <c r="AB156" s="63"/>
    </row>
    <row r="157" spans="1:28" ht="15.75" x14ac:dyDescent="0.25">
      <c r="A157" s="55" t="s">
        <v>83</v>
      </c>
      <c r="B157" s="145">
        <f>B158+B159</f>
        <v>0</v>
      </c>
      <c r="C157" s="99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45"/>
      <c r="AA157" s="63"/>
      <c r="AB157" s="63"/>
    </row>
    <row r="158" spans="1:28" ht="15.75" x14ac:dyDescent="0.25">
      <c r="A158" s="2" t="s">
        <v>84</v>
      </c>
      <c r="B158" s="146"/>
      <c r="C158" s="99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45"/>
      <c r="AA158" s="63"/>
      <c r="AB158" s="63"/>
    </row>
    <row r="159" spans="1:28" ht="15.75" x14ac:dyDescent="0.25">
      <c r="A159" s="2" t="s">
        <v>209</v>
      </c>
      <c r="B159" s="146"/>
      <c r="C159" s="99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45"/>
      <c r="AA159" s="63"/>
      <c r="AB159" s="63"/>
    </row>
    <row r="160" spans="1:28" ht="15.75" x14ac:dyDescent="0.25">
      <c r="A160" s="57" t="s">
        <v>233</v>
      </c>
      <c r="B160" s="145">
        <f>B161+B162</f>
        <v>0</v>
      </c>
      <c r="C160" s="99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45"/>
      <c r="AA160" s="63"/>
      <c r="AB160" s="63"/>
    </row>
    <row r="161" spans="1:28" ht="15.75" x14ac:dyDescent="0.25">
      <c r="A161" s="55" t="s">
        <v>281</v>
      </c>
      <c r="B161" s="146"/>
      <c r="C161" s="99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45"/>
      <c r="AA161" s="63"/>
      <c r="AB161" s="63"/>
    </row>
    <row r="162" spans="1:28" ht="15.75" x14ac:dyDescent="0.25">
      <c r="A162" s="55" t="s">
        <v>282</v>
      </c>
      <c r="B162" s="146"/>
      <c r="C162" s="99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45"/>
      <c r="AA162" s="63"/>
      <c r="AB162" s="63"/>
    </row>
    <row r="163" spans="1:28" ht="15.75" x14ac:dyDescent="0.25">
      <c r="A163" s="57" t="s">
        <v>13</v>
      </c>
      <c r="B163" s="145">
        <f>B164+B165</f>
        <v>0</v>
      </c>
      <c r="C163" s="99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45"/>
      <c r="AA163" s="63"/>
      <c r="AB163" s="63"/>
    </row>
    <row r="164" spans="1:28" ht="15.75" x14ac:dyDescent="0.25">
      <c r="A164" s="55" t="s">
        <v>85</v>
      </c>
      <c r="B164" s="146"/>
      <c r="C164" s="99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45"/>
      <c r="AA164" s="63"/>
      <c r="AB164" s="63"/>
    </row>
    <row r="165" spans="1:28" ht="15.75" x14ac:dyDescent="0.25">
      <c r="A165" s="55" t="s">
        <v>210</v>
      </c>
      <c r="B165" s="146"/>
      <c r="C165" s="99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45"/>
      <c r="AA165" s="63"/>
      <c r="AB165" s="63"/>
    </row>
    <row r="166" spans="1:28" ht="15.75" x14ac:dyDescent="0.25">
      <c r="A166" s="57" t="s">
        <v>14</v>
      </c>
      <c r="B166" s="145">
        <f>B167+B168</f>
        <v>0</v>
      </c>
      <c r="C166" s="99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45"/>
      <c r="AA166" s="63"/>
      <c r="AB166" s="63"/>
    </row>
    <row r="167" spans="1:28" ht="15.75" x14ac:dyDescent="0.25">
      <c r="A167" s="55" t="s">
        <v>253</v>
      </c>
      <c r="B167" s="146"/>
      <c r="C167" s="99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45"/>
      <c r="AA167" s="63"/>
      <c r="AB167" s="63"/>
    </row>
    <row r="168" spans="1:28" ht="15.75" x14ac:dyDescent="0.25">
      <c r="A168" s="55" t="s">
        <v>254</v>
      </c>
      <c r="B168" s="146"/>
      <c r="C168" s="99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45"/>
      <c r="AA168" s="63"/>
      <c r="AB168" s="63"/>
    </row>
    <row r="169" spans="1:28" ht="15.75" x14ac:dyDescent="0.25">
      <c r="A169" s="57" t="s">
        <v>323</v>
      </c>
      <c r="B169" s="145">
        <f>B170+B171</f>
        <v>0</v>
      </c>
      <c r="C169" s="99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45"/>
      <c r="AA169" s="63"/>
      <c r="AB169" s="63"/>
    </row>
    <row r="170" spans="1:28" ht="15.75" x14ac:dyDescent="0.25">
      <c r="A170" s="55" t="s">
        <v>255</v>
      </c>
      <c r="B170" s="146"/>
      <c r="C170" s="99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45"/>
      <c r="AA170" s="63"/>
      <c r="AB170" s="63"/>
    </row>
    <row r="171" spans="1:28" ht="15.75" x14ac:dyDescent="0.25">
      <c r="A171" s="55" t="s">
        <v>256</v>
      </c>
      <c r="B171" s="146"/>
      <c r="C171" s="99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45"/>
      <c r="AA171" s="63"/>
      <c r="AB171" s="63"/>
    </row>
    <row r="172" spans="1:28" ht="15.75" x14ac:dyDescent="0.25">
      <c r="A172" s="57" t="s">
        <v>234</v>
      </c>
      <c r="B172" s="145">
        <f>B174+B173</f>
        <v>0</v>
      </c>
      <c r="C172" s="99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45"/>
      <c r="AA172" s="63"/>
      <c r="AB172" s="63"/>
    </row>
    <row r="173" spans="1:28" ht="15.75" x14ac:dyDescent="0.25">
      <c r="A173" s="55" t="s">
        <v>235</v>
      </c>
      <c r="B173" s="147"/>
      <c r="C173" s="99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45"/>
      <c r="AA173" s="63"/>
      <c r="AB173" s="63"/>
    </row>
    <row r="174" spans="1:28" ht="15.75" x14ac:dyDescent="0.25">
      <c r="A174" s="55" t="s">
        <v>236</v>
      </c>
      <c r="B174" s="146"/>
      <c r="C174" s="99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45"/>
      <c r="AA174" s="63"/>
      <c r="AB174" s="63"/>
    </row>
    <row r="175" spans="1:28" ht="15.75" x14ac:dyDescent="0.25">
      <c r="A175" s="62" t="s">
        <v>86</v>
      </c>
      <c r="B175" s="148"/>
      <c r="C175" s="99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45"/>
      <c r="AA175" s="63"/>
      <c r="AB175" s="63"/>
    </row>
    <row r="176" spans="1:28" ht="15.75" x14ac:dyDescent="0.25">
      <c r="A176" s="81" t="s">
        <v>87</v>
      </c>
      <c r="B176" s="145">
        <f>B178+B177</f>
        <v>0</v>
      </c>
      <c r="C176" s="99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45"/>
      <c r="AA176" s="63"/>
      <c r="AB176" s="63"/>
    </row>
    <row r="177" spans="1:28" ht="15.75" x14ac:dyDescent="0.25">
      <c r="A177" s="55" t="s">
        <v>257</v>
      </c>
      <c r="B177" s="146"/>
      <c r="C177" s="99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45"/>
      <c r="AA177" s="63"/>
      <c r="AB177" s="63"/>
    </row>
    <row r="178" spans="1:28" ht="15.75" x14ac:dyDescent="0.25">
      <c r="A178" s="55" t="s">
        <v>258</v>
      </c>
      <c r="B178" s="146"/>
      <c r="C178" s="99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45"/>
      <c r="AA178" s="63"/>
      <c r="AB178" s="63"/>
    </row>
    <row r="179" spans="1:28" ht="15.75" x14ac:dyDescent="0.25">
      <c r="A179" s="62" t="s">
        <v>88</v>
      </c>
      <c r="B179" s="146"/>
      <c r="C179" s="99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45"/>
      <c r="AA179" s="63"/>
      <c r="AB179" s="63"/>
    </row>
    <row r="180" spans="1:28" ht="15.75" x14ac:dyDescent="0.25">
      <c r="A180" s="81" t="s">
        <v>15</v>
      </c>
      <c r="B180" s="145">
        <f>B181+B182</f>
        <v>0</v>
      </c>
      <c r="C180" s="99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45"/>
      <c r="AA180" s="63"/>
      <c r="AB180" s="63"/>
    </row>
    <row r="181" spans="1:28" ht="15.75" x14ac:dyDescent="0.25">
      <c r="A181" s="55" t="s">
        <v>16</v>
      </c>
      <c r="B181" s="146"/>
      <c r="C181" s="99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45"/>
      <c r="AA181" s="63"/>
      <c r="AB181" s="63"/>
    </row>
    <row r="182" spans="1:28" ht="15.75" x14ac:dyDescent="0.25">
      <c r="A182" s="55" t="s">
        <v>211</v>
      </c>
      <c r="B182" s="146"/>
      <c r="C182" s="99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45"/>
      <c r="AA182" s="63"/>
      <c r="AB182" s="63"/>
    </row>
    <row r="183" spans="1:28" ht="15.75" x14ac:dyDescent="0.25">
      <c r="A183" s="62" t="s">
        <v>124</v>
      </c>
      <c r="B183" s="146"/>
      <c r="C183" s="99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45"/>
      <c r="AA183" s="63"/>
      <c r="AB183" s="63"/>
    </row>
    <row r="184" spans="1:28" ht="15.75" x14ac:dyDescent="0.25">
      <c r="A184" s="62" t="s">
        <v>89</v>
      </c>
      <c r="B184" s="146"/>
      <c r="C184" s="99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45"/>
      <c r="AA184" s="63"/>
      <c r="AB184" s="63"/>
    </row>
    <row r="185" spans="1:28" ht="15.75" x14ac:dyDescent="0.25">
      <c r="A185" s="62" t="s">
        <v>285</v>
      </c>
      <c r="B185" s="159"/>
      <c r="C185" s="99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45"/>
      <c r="AA185" s="63"/>
      <c r="AB185" s="63"/>
    </row>
    <row r="186" spans="1:28" ht="15.75" x14ac:dyDescent="0.25">
      <c r="A186" s="81" t="s">
        <v>434</v>
      </c>
      <c r="B186" s="145">
        <f>B187</f>
        <v>0</v>
      </c>
      <c r="C186" s="99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45"/>
      <c r="AA186" s="63"/>
      <c r="AB186" s="63"/>
    </row>
    <row r="187" spans="1:28" ht="15.75" x14ac:dyDescent="0.25">
      <c r="A187" s="55" t="s">
        <v>435</v>
      </c>
      <c r="B187" s="159"/>
      <c r="C187" s="99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45"/>
      <c r="AA187" s="63"/>
      <c r="AB187" s="63"/>
    </row>
    <row r="188" spans="1:28" ht="15.75" x14ac:dyDescent="0.25">
      <c r="A188" s="81" t="s">
        <v>436</v>
      </c>
      <c r="B188" s="145">
        <f>SUM(B189:B191)</f>
        <v>0</v>
      </c>
      <c r="C188" s="99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45"/>
      <c r="AA188" s="63"/>
      <c r="AB188" s="63"/>
    </row>
    <row r="189" spans="1:28" ht="15.75" x14ac:dyDescent="0.25">
      <c r="A189" s="55" t="s">
        <v>324</v>
      </c>
      <c r="B189" s="146"/>
      <c r="C189" s="99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45"/>
      <c r="AA189" s="63"/>
      <c r="AB189" s="63"/>
    </row>
    <row r="190" spans="1:28" ht="15.75" x14ac:dyDescent="0.25">
      <c r="A190" s="55" t="s">
        <v>437</v>
      </c>
      <c r="B190" s="146"/>
      <c r="C190" s="99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45"/>
      <c r="AA190" s="63"/>
      <c r="AB190" s="63"/>
    </row>
    <row r="191" spans="1:28" ht="15.75" x14ac:dyDescent="0.25">
      <c r="A191" s="55" t="s">
        <v>438</v>
      </c>
      <c r="B191" s="146"/>
      <c r="C191" s="99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45"/>
      <c r="AA191" s="63"/>
      <c r="AB191" s="63"/>
    </row>
    <row r="192" spans="1:28" ht="15.75" x14ac:dyDescent="0.25">
      <c r="A192" s="81" t="s">
        <v>439</v>
      </c>
      <c r="B192" s="145">
        <f>SUM(B193:B195)</f>
        <v>0</v>
      </c>
      <c r="C192" s="99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45"/>
      <c r="AA192" s="63"/>
      <c r="AB192" s="63"/>
    </row>
    <row r="193" spans="1:28" ht="15.75" x14ac:dyDescent="0.25">
      <c r="A193" s="55" t="s">
        <v>440</v>
      </c>
      <c r="B193" s="146"/>
      <c r="C193" s="99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45"/>
      <c r="AA193" s="63"/>
      <c r="AB193" s="63"/>
    </row>
    <row r="194" spans="1:28" ht="15.75" x14ac:dyDescent="0.25">
      <c r="A194" s="55" t="s">
        <v>441</v>
      </c>
      <c r="B194" s="146"/>
      <c r="C194" s="99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45"/>
      <c r="AA194" s="63"/>
      <c r="AB194" s="63"/>
    </row>
    <row r="195" spans="1:28" ht="15.75" x14ac:dyDescent="0.25">
      <c r="A195" s="55" t="s">
        <v>442</v>
      </c>
      <c r="B195" s="146"/>
      <c r="C195" s="99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45"/>
      <c r="AA195" s="63"/>
      <c r="AB195" s="63"/>
    </row>
    <row r="196" spans="1:28" ht="15.75" x14ac:dyDescent="0.25">
      <c r="A196" s="62" t="s">
        <v>90</v>
      </c>
      <c r="B196" s="145"/>
      <c r="C196" s="99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45"/>
      <c r="AA196" s="63"/>
      <c r="AB196" s="63"/>
    </row>
    <row r="197" spans="1:28" ht="15.75" x14ac:dyDescent="0.25">
      <c r="A197" s="57" t="s">
        <v>91</v>
      </c>
      <c r="B197" s="145">
        <f>B198+B199+B200</f>
        <v>0</v>
      </c>
      <c r="C197" s="99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45"/>
      <c r="AA197" s="63"/>
      <c r="AB197" s="63"/>
    </row>
    <row r="198" spans="1:28" ht="15.75" x14ac:dyDescent="0.25">
      <c r="A198" s="55" t="s">
        <v>92</v>
      </c>
      <c r="B198" s="146"/>
      <c r="C198" s="99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45"/>
      <c r="AA198" s="63"/>
      <c r="AB198" s="63"/>
    </row>
    <row r="199" spans="1:28" ht="15.75" x14ac:dyDescent="0.25">
      <c r="A199" s="55" t="s">
        <v>93</v>
      </c>
      <c r="B199" s="146"/>
      <c r="C199" s="99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45"/>
      <c r="AA199" s="63"/>
      <c r="AB199" s="63"/>
    </row>
    <row r="200" spans="1:28" ht="15.75" x14ac:dyDescent="0.25">
      <c r="A200" s="55" t="s">
        <v>94</v>
      </c>
      <c r="B200" s="146"/>
      <c r="C200" s="99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45"/>
      <c r="AA200" s="63"/>
      <c r="AB200" s="63"/>
    </row>
    <row r="201" spans="1:28" ht="15.75" x14ac:dyDescent="0.25">
      <c r="A201" s="57" t="s">
        <v>95</v>
      </c>
      <c r="B201" s="145">
        <f>B202+B203+B204+B205</f>
        <v>0</v>
      </c>
      <c r="C201" s="99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45"/>
      <c r="AA201" s="63"/>
      <c r="AB201" s="63"/>
    </row>
    <row r="202" spans="1:28" ht="15.75" x14ac:dyDescent="0.25">
      <c r="A202" s="55" t="s">
        <v>96</v>
      </c>
      <c r="B202" s="146"/>
      <c r="C202" s="99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45"/>
      <c r="AA202" s="63"/>
      <c r="AB202" s="63"/>
    </row>
    <row r="203" spans="1:28" ht="15.75" customHeight="1" x14ac:dyDescent="0.25">
      <c r="A203" s="55" t="s">
        <v>98</v>
      </c>
      <c r="B203" s="146"/>
      <c r="C203" s="99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45"/>
      <c r="AA203" s="63"/>
      <c r="AB203" s="63"/>
    </row>
    <row r="204" spans="1:28" ht="12.75" customHeight="1" x14ac:dyDescent="0.25">
      <c r="A204" s="55" t="s">
        <v>97</v>
      </c>
      <c r="B204" s="146"/>
      <c r="C204" s="99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45"/>
      <c r="AA204" s="63"/>
      <c r="AB204" s="63"/>
    </row>
    <row r="205" spans="1:28" ht="26.25" x14ac:dyDescent="0.25">
      <c r="A205" s="55" t="s">
        <v>99</v>
      </c>
      <c r="B205" s="146"/>
      <c r="C205" s="99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45"/>
      <c r="AA205" s="63"/>
      <c r="AB205" s="63"/>
    </row>
    <row r="206" spans="1:28" ht="15.75" x14ac:dyDescent="0.25">
      <c r="A206" s="57" t="s">
        <v>100</v>
      </c>
      <c r="B206" s="145">
        <f>B207+B208+B209+B210</f>
        <v>0</v>
      </c>
      <c r="C206" s="99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45"/>
      <c r="AA206" s="63"/>
      <c r="AB206" s="63"/>
    </row>
    <row r="207" spans="1:28" ht="18.75" customHeight="1" x14ac:dyDescent="0.25">
      <c r="A207" s="55" t="s">
        <v>101</v>
      </c>
      <c r="B207" s="146"/>
      <c r="C207" s="99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45"/>
      <c r="AA207" s="63"/>
      <c r="AB207" s="63"/>
    </row>
    <row r="208" spans="1:28" ht="15.75" x14ac:dyDescent="0.25">
      <c r="A208" s="55" t="s">
        <v>102</v>
      </c>
      <c r="B208" s="146"/>
      <c r="C208" s="99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45"/>
      <c r="AA208" s="63"/>
      <c r="AB208" s="63"/>
    </row>
    <row r="209" spans="1:28" ht="15.75" customHeight="1" x14ac:dyDescent="0.25">
      <c r="A209" s="55" t="s">
        <v>103</v>
      </c>
      <c r="B209" s="146"/>
      <c r="C209" s="99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45"/>
      <c r="AA209" s="63"/>
      <c r="AB209" s="63"/>
    </row>
    <row r="210" spans="1:28" ht="26.25" x14ac:dyDescent="0.25">
      <c r="A210" s="55" t="s">
        <v>104</v>
      </c>
      <c r="B210" s="146"/>
      <c r="C210" s="99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45"/>
      <c r="AA210" s="63"/>
      <c r="AB210" s="63"/>
    </row>
    <row r="211" spans="1:28" ht="15.75" x14ac:dyDescent="0.25">
      <c r="A211" s="57" t="s">
        <v>105</v>
      </c>
      <c r="B211" s="145">
        <f>B212+B215+B218+B221</f>
        <v>0</v>
      </c>
      <c r="C211" s="99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45"/>
      <c r="AA211" s="63"/>
      <c r="AB211" s="63"/>
    </row>
    <row r="212" spans="1:28" ht="15.75" x14ac:dyDescent="0.25">
      <c r="A212" s="55" t="s">
        <v>106</v>
      </c>
      <c r="B212" s="145">
        <f>B213+B214</f>
        <v>0</v>
      </c>
      <c r="C212" s="99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45"/>
      <c r="AA212" s="63"/>
      <c r="AB212" s="63"/>
    </row>
    <row r="213" spans="1:28" ht="15.75" x14ac:dyDescent="0.25">
      <c r="A213" s="55" t="s">
        <v>107</v>
      </c>
      <c r="B213" s="146"/>
      <c r="C213" s="99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45"/>
      <c r="AA213" s="63"/>
      <c r="AB213" s="63"/>
    </row>
    <row r="214" spans="1:28" ht="15.75" x14ac:dyDescent="0.25">
      <c r="A214" s="55" t="s">
        <v>259</v>
      </c>
      <c r="B214" s="146"/>
      <c r="C214" s="99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45"/>
      <c r="AA214" s="63"/>
      <c r="AB214" s="63"/>
    </row>
    <row r="215" spans="1:28" ht="15.75" x14ac:dyDescent="0.25">
      <c r="A215" s="55" t="s">
        <v>108</v>
      </c>
      <c r="B215" s="145">
        <f>B216+B217</f>
        <v>0</v>
      </c>
      <c r="C215" s="99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45"/>
      <c r="AA215" s="63"/>
      <c r="AB215" s="63"/>
    </row>
    <row r="216" spans="1:28" ht="15.75" x14ac:dyDescent="0.25">
      <c r="A216" s="55" t="s">
        <v>111</v>
      </c>
      <c r="B216" s="146"/>
      <c r="C216" s="99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45"/>
      <c r="AA216" s="63"/>
      <c r="AB216" s="63"/>
    </row>
    <row r="217" spans="1:28" ht="15.75" x14ac:dyDescent="0.25">
      <c r="A217" s="55" t="s">
        <v>212</v>
      </c>
      <c r="B217" s="146"/>
      <c r="C217" s="99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45"/>
      <c r="AA217" s="63"/>
      <c r="AB217" s="63"/>
    </row>
    <row r="218" spans="1:28" ht="15.75" customHeight="1" x14ac:dyDescent="0.25">
      <c r="A218" s="55" t="s">
        <v>109</v>
      </c>
      <c r="B218" s="145">
        <f>B219+B220</f>
        <v>0</v>
      </c>
      <c r="C218" s="99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45"/>
      <c r="AA218" s="63"/>
      <c r="AB218" s="63"/>
    </row>
    <row r="219" spans="1:28" ht="15.75" x14ac:dyDescent="0.25">
      <c r="A219" s="55" t="s">
        <v>110</v>
      </c>
      <c r="B219" s="147"/>
      <c r="C219" s="99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45"/>
      <c r="AA219" s="63"/>
      <c r="AB219" s="63"/>
    </row>
    <row r="220" spans="1:28" ht="15.75" customHeight="1" x14ac:dyDescent="0.25">
      <c r="A220" s="55" t="s">
        <v>213</v>
      </c>
      <c r="B220" s="147"/>
      <c r="C220" s="99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45"/>
      <c r="AA220" s="63"/>
      <c r="AB220" s="63"/>
    </row>
    <row r="221" spans="1:28" ht="26.25" x14ac:dyDescent="0.25">
      <c r="A221" s="55" t="s">
        <v>112</v>
      </c>
      <c r="B221" s="145">
        <f>B222+B223</f>
        <v>0</v>
      </c>
      <c r="C221" s="99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45"/>
      <c r="AA221" s="63"/>
      <c r="AB221" s="63"/>
    </row>
    <row r="222" spans="1:28" ht="15.75" x14ac:dyDescent="0.25">
      <c r="A222" s="55" t="s">
        <v>113</v>
      </c>
      <c r="B222" s="146"/>
      <c r="C222" s="99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45"/>
      <c r="AA222" s="63"/>
      <c r="AB222" s="63"/>
    </row>
    <row r="223" spans="1:28" ht="15.75" x14ac:dyDescent="0.25">
      <c r="A223" s="55" t="s">
        <v>214</v>
      </c>
      <c r="B223" s="146"/>
      <c r="C223" s="99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45"/>
      <c r="AA223" s="63"/>
      <c r="AB223" s="63"/>
    </row>
    <row r="224" spans="1:28" ht="15.75" x14ac:dyDescent="0.25">
      <c r="A224" s="57" t="s">
        <v>114</v>
      </c>
      <c r="B224" s="145">
        <f>B225+B228+B231</f>
        <v>0</v>
      </c>
      <c r="C224" s="99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45"/>
      <c r="AA224" s="63"/>
      <c r="AB224" s="63"/>
    </row>
    <row r="225" spans="1:28" ht="15.75" x14ac:dyDescent="0.25">
      <c r="A225" s="55" t="s">
        <v>115</v>
      </c>
      <c r="B225" s="145">
        <f>B226+B227</f>
        <v>0</v>
      </c>
      <c r="C225" s="99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45"/>
      <c r="AA225" s="63"/>
      <c r="AB225" s="63"/>
    </row>
    <row r="226" spans="1:28" ht="15.75" x14ac:dyDescent="0.25">
      <c r="A226" s="55" t="s">
        <v>116</v>
      </c>
      <c r="B226" s="146"/>
      <c r="C226" s="99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45"/>
      <c r="AA226" s="63"/>
      <c r="AB226" s="63"/>
    </row>
    <row r="227" spans="1:28" ht="15.75" x14ac:dyDescent="0.25">
      <c r="A227" s="55" t="s">
        <v>215</v>
      </c>
      <c r="B227" s="146"/>
      <c r="C227" s="99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45"/>
      <c r="AA227" s="63"/>
      <c r="AB227" s="63"/>
    </row>
    <row r="228" spans="1:28" ht="15.75" x14ac:dyDescent="0.25">
      <c r="A228" s="55" t="s">
        <v>117</v>
      </c>
      <c r="B228" s="145">
        <f>B229+B230</f>
        <v>0</v>
      </c>
      <c r="C228" s="99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45"/>
      <c r="AA228" s="63"/>
      <c r="AB228" s="63"/>
    </row>
    <row r="229" spans="1:28" ht="15.75" x14ac:dyDescent="0.25">
      <c r="A229" s="55" t="s">
        <v>118</v>
      </c>
      <c r="B229" s="146"/>
      <c r="C229" s="99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45"/>
      <c r="AA229" s="63"/>
      <c r="AB229" s="63"/>
    </row>
    <row r="230" spans="1:28" ht="15.75" customHeight="1" x14ac:dyDescent="0.25">
      <c r="A230" s="55" t="s">
        <v>216</v>
      </c>
      <c r="B230" s="146"/>
      <c r="C230" s="99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45"/>
      <c r="AA230" s="63"/>
      <c r="AB230" s="63"/>
    </row>
    <row r="231" spans="1:28" ht="26.25" x14ac:dyDescent="0.25">
      <c r="A231" s="55" t="s">
        <v>119</v>
      </c>
      <c r="B231" s="145">
        <f>B232+B233</f>
        <v>0</v>
      </c>
      <c r="C231" s="99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45"/>
      <c r="AA231" s="63"/>
      <c r="AB231" s="63"/>
    </row>
    <row r="232" spans="1:28" ht="15.75" x14ac:dyDescent="0.25">
      <c r="A232" s="55" t="s">
        <v>120</v>
      </c>
      <c r="B232" s="146"/>
      <c r="C232" s="99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45"/>
      <c r="AA232" s="63"/>
      <c r="AB232" s="63"/>
    </row>
    <row r="233" spans="1:28" ht="15.75" x14ac:dyDescent="0.25">
      <c r="A233" s="55" t="s">
        <v>217</v>
      </c>
      <c r="B233" s="146"/>
      <c r="C233" s="99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45"/>
      <c r="AA233" s="63"/>
      <c r="AB233" s="63"/>
    </row>
    <row r="234" spans="1:28" ht="15.75" x14ac:dyDescent="0.25">
      <c r="A234" s="57" t="s">
        <v>121</v>
      </c>
      <c r="B234" s="145">
        <f>B235+B238+B241</f>
        <v>0</v>
      </c>
      <c r="C234" s="99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45"/>
      <c r="AA234" s="63"/>
      <c r="AB234" s="63"/>
    </row>
    <row r="235" spans="1:28" ht="15.75" x14ac:dyDescent="0.25">
      <c r="A235" s="55" t="s">
        <v>122</v>
      </c>
      <c r="B235" s="145">
        <f>B236+B237</f>
        <v>0</v>
      </c>
      <c r="C235" s="99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45"/>
      <c r="AA235" s="63"/>
      <c r="AB235" s="63"/>
    </row>
    <row r="236" spans="1:28" ht="15.75" x14ac:dyDescent="0.25">
      <c r="A236" s="55" t="s">
        <v>123</v>
      </c>
      <c r="B236" s="146"/>
      <c r="C236" s="99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45"/>
      <c r="AA236" s="63"/>
      <c r="AB236" s="63"/>
    </row>
    <row r="237" spans="1:28" ht="15.75" x14ac:dyDescent="0.25">
      <c r="A237" s="55" t="s">
        <v>218</v>
      </c>
      <c r="B237" s="146"/>
      <c r="C237" s="99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45"/>
      <c r="AA237" s="63"/>
      <c r="AB237" s="63"/>
    </row>
    <row r="238" spans="1:28" ht="15.75" x14ac:dyDescent="0.25">
      <c r="A238" s="55" t="s">
        <v>125</v>
      </c>
      <c r="B238" s="145">
        <f>B239+B240</f>
        <v>0</v>
      </c>
      <c r="C238" s="99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45"/>
      <c r="AA238" s="63"/>
      <c r="AB238" s="63"/>
    </row>
    <row r="239" spans="1:28" ht="15.75" x14ac:dyDescent="0.25">
      <c r="A239" s="55" t="s">
        <v>126</v>
      </c>
      <c r="B239" s="146"/>
      <c r="C239" s="99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45"/>
      <c r="AA239" s="63"/>
      <c r="AB239" s="63"/>
    </row>
    <row r="240" spans="1:28" ht="15.75" customHeight="1" x14ac:dyDescent="0.25">
      <c r="A240" s="55" t="s">
        <v>219</v>
      </c>
      <c r="B240" s="146"/>
      <c r="C240" s="99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45"/>
      <c r="AA240" s="63"/>
      <c r="AB240" s="63"/>
    </row>
    <row r="241" spans="1:28" ht="26.25" x14ac:dyDescent="0.25">
      <c r="A241" s="55" t="s">
        <v>127</v>
      </c>
      <c r="B241" s="145">
        <f>B242+B243</f>
        <v>0</v>
      </c>
      <c r="C241" s="99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45"/>
      <c r="AA241" s="63"/>
      <c r="AB241" s="63"/>
    </row>
    <row r="242" spans="1:28" ht="15.75" x14ac:dyDescent="0.25">
      <c r="A242" s="55" t="s">
        <v>128</v>
      </c>
      <c r="B242" s="146"/>
      <c r="C242" s="99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45"/>
      <c r="AA242" s="63"/>
      <c r="AB242" s="63"/>
    </row>
    <row r="243" spans="1:28" ht="15.75" x14ac:dyDescent="0.25">
      <c r="A243" s="55" t="s">
        <v>220</v>
      </c>
      <c r="B243" s="146"/>
      <c r="C243" s="99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45"/>
      <c r="AA243" s="63"/>
      <c r="AB243" s="63"/>
    </row>
    <row r="244" spans="1:28" ht="15.75" x14ac:dyDescent="0.25">
      <c r="A244" s="57" t="s">
        <v>284</v>
      </c>
      <c r="B244" s="146">
        <v>1</v>
      </c>
      <c r="C244" s="99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45"/>
      <c r="AA244" s="63"/>
      <c r="AB244" s="63"/>
    </row>
    <row r="245" spans="1:28" ht="15.75" x14ac:dyDescent="0.25">
      <c r="A245" s="58" t="s">
        <v>129</v>
      </c>
      <c r="B245" s="145">
        <f>B246+B247</f>
        <v>7</v>
      </c>
      <c r="C245" s="99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45"/>
      <c r="AA245" s="63"/>
      <c r="AB245" s="63"/>
    </row>
    <row r="246" spans="1:28" ht="15.75" x14ac:dyDescent="0.25">
      <c r="A246" s="55" t="s">
        <v>260</v>
      </c>
      <c r="B246" s="146">
        <v>7</v>
      </c>
      <c r="C246" s="99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45"/>
      <c r="AA246" s="63"/>
      <c r="AB246" s="63"/>
    </row>
    <row r="247" spans="1:28" ht="15.75" x14ac:dyDescent="0.25">
      <c r="A247" s="55" t="s">
        <v>261</v>
      </c>
      <c r="B247" s="146"/>
      <c r="C247" s="99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45"/>
      <c r="AA247" s="63"/>
      <c r="AB247" s="63"/>
    </row>
    <row r="248" spans="1:28" ht="15.75" x14ac:dyDescent="0.25">
      <c r="A248" s="55" t="s">
        <v>130</v>
      </c>
      <c r="B248" s="145">
        <f>B249+B250</f>
        <v>0</v>
      </c>
      <c r="C248" s="99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45"/>
      <c r="AA248" s="63"/>
      <c r="AB248" s="63"/>
    </row>
    <row r="249" spans="1:28" ht="15.75" x14ac:dyDescent="0.25">
      <c r="A249" s="55" t="s">
        <v>262</v>
      </c>
      <c r="B249" s="146"/>
      <c r="C249" s="99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45"/>
      <c r="AA249" s="63"/>
      <c r="AB249" s="63"/>
    </row>
    <row r="250" spans="1:28" ht="15.75" x14ac:dyDescent="0.25">
      <c r="A250" s="55" t="s">
        <v>263</v>
      </c>
      <c r="B250" s="146"/>
      <c r="C250" s="99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45"/>
      <c r="AA250" s="63"/>
      <c r="AB250" s="63"/>
    </row>
    <row r="251" spans="1:28" ht="15.75" x14ac:dyDescent="0.25">
      <c r="A251" s="62" t="s">
        <v>325</v>
      </c>
      <c r="B251" s="149"/>
      <c r="C251" s="99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45"/>
      <c r="AA251" s="63"/>
      <c r="AB251" s="63"/>
    </row>
    <row r="252" spans="1:28" ht="15.75" x14ac:dyDescent="0.25">
      <c r="A252" s="62" t="s">
        <v>326</v>
      </c>
      <c r="B252" s="149"/>
      <c r="C252" s="99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45"/>
      <c r="AA252" s="63"/>
      <c r="AB252" s="63"/>
    </row>
    <row r="253" spans="1:28" ht="15.75" x14ac:dyDescent="0.25">
      <c r="A253" s="62" t="s">
        <v>327</v>
      </c>
      <c r="B253" s="145">
        <f>B254+B255+B256+B257+B258+B259+B260+B261+B262</f>
        <v>0</v>
      </c>
      <c r="C253" s="99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45"/>
      <c r="AA253" s="63"/>
      <c r="AB253" s="63"/>
    </row>
    <row r="254" spans="1:28" ht="18.75" customHeight="1" x14ac:dyDescent="0.25">
      <c r="A254" s="55" t="s">
        <v>329</v>
      </c>
      <c r="B254" s="146"/>
      <c r="C254" s="99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45"/>
      <c r="AA254" s="63"/>
      <c r="AB254" s="63"/>
    </row>
    <row r="255" spans="1:28" ht="15.75" x14ac:dyDescent="0.25">
      <c r="A255" s="55" t="s">
        <v>328</v>
      </c>
      <c r="B255" s="146"/>
      <c r="C255" s="99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45"/>
      <c r="AA255" s="63"/>
      <c r="AB255" s="63"/>
    </row>
    <row r="256" spans="1:28" ht="15.75" customHeight="1" x14ac:dyDescent="0.25">
      <c r="A256" s="55" t="s">
        <v>330</v>
      </c>
      <c r="B256" s="146"/>
      <c r="C256" s="99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45"/>
      <c r="AA256" s="63"/>
      <c r="AB256" s="63"/>
    </row>
    <row r="257" spans="1:28" ht="15.75" x14ac:dyDescent="0.25">
      <c r="A257" s="55" t="s">
        <v>331</v>
      </c>
      <c r="B257" s="146"/>
      <c r="C257" s="99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45"/>
      <c r="AA257" s="63"/>
      <c r="AB257" s="63"/>
    </row>
    <row r="258" spans="1:28" ht="15.75" x14ac:dyDescent="0.25">
      <c r="A258" s="55" t="s">
        <v>332</v>
      </c>
      <c r="B258" s="146"/>
      <c r="C258" s="99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45"/>
      <c r="AA258" s="63"/>
      <c r="AB258" s="63"/>
    </row>
    <row r="259" spans="1:28" ht="15.75" x14ac:dyDescent="0.25">
      <c r="A259" s="55" t="s">
        <v>333</v>
      </c>
      <c r="B259" s="146"/>
      <c r="C259" s="99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45"/>
      <c r="AA259" s="63"/>
      <c r="AB259" s="63"/>
    </row>
    <row r="260" spans="1:28" ht="15.75" x14ac:dyDescent="0.25">
      <c r="A260" s="55" t="s">
        <v>334</v>
      </c>
      <c r="B260" s="146"/>
      <c r="C260" s="99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45"/>
      <c r="AA260" s="63"/>
      <c r="AB260" s="63"/>
    </row>
    <row r="261" spans="1:28" ht="15.75" x14ac:dyDescent="0.25">
      <c r="A261" s="55" t="s">
        <v>335</v>
      </c>
      <c r="B261" s="146"/>
      <c r="C261" s="99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45"/>
      <c r="AA261" s="63"/>
      <c r="AB261" s="63"/>
    </row>
    <row r="262" spans="1:28" ht="15.75" x14ac:dyDescent="0.25">
      <c r="A262" s="55" t="s">
        <v>336</v>
      </c>
      <c r="B262" s="146"/>
      <c r="C262" s="99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45"/>
      <c r="AA262" s="63"/>
      <c r="AB262" s="63"/>
    </row>
    <row r="263" spans="1:28" ht="15.75" x14ac:dyDescent="0.25">
      <c r="A263" s="76" t="s">
        <v>337</v>
      </c>
      <c r="B263" s="151"/>
      <c r="C263" s="99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45"/>
      <c r="AA263" s="63"/>
      <c r="AB263" s="63"/>
    </row>
    <row r="264" spans="1:28" ht="15.75" x14ac:dyDescent="0.25">
      <c r="A264" s="57" t="s">
        <v>131</v>
      </c>
      <c r="B264" s="150">
        <f>B265+B266+B267+B268</f>
        <v>0</v>
      </c>
      <c r="C264" s="99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45"/>
      <c r="AA264" s="63"/>
      <c r="AB264" s="63"/>
    </row>
    <row r="265" spans="1:28" ht="15.75" x14ac:dyDescent="0.25">
      <c r="A265" s="55" t="s">
        <v>132</v>
      </c>
      <c r="B265" s="146"/>
      <c r="C265" s="99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45"/>
      <c r="AA265" s="63"/>
      <c r="AB265" s="63"/>
    </row>
    <row r="266" spans="1:28" ht="15.75" x14ac:dyDescent="0.25">
      <c r="A266" s="55" t="s">
        <v>133</v>
      </c>
      <c r="B266" s="146"/>
      <c r="C266" s="99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45"/>
      <c r="AA266" s="63"/>
      <c r="AB266" s="63"/>
    </row>
    <row r="267" spans="1:28" ht="15.75" x14ac:dyDescent="0.25">
      <c r="A267" s="55" t="s">
        <v>134</v>
      </c>
      <c r="B267" s="146"/>
      <c r="C267" s="99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45"/>
      <c r="AA267" s="63"/>
      <c r="AB267" s="63"/>
    </row>
    <row r="268" spans="1:28" ht="26.25" x14ac:dyDescent="0.25">
      <c r="A268" s="58" t="s">
        <v>154</v>
      </c>
      <c r="B268" s="146"/>
      <c r="C268" s="99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45"/>
      <c r="AA268" s="63"/>
      <c r="AB268" s="63"/>
    </row>
    <row r="269" spans="1:28" ht="15.75" x14ac:dyDescent="0.25">
      <c r="A269" s="57" t="s">
        <v>338</v>
      </c>
      <c r="B269" s="146"/>
      <c r="C269" s="99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45"/>
      <c r="AA269" s="63"/>
      <c r="AB269" s="63"/>
    </row>
    <row r="270" spans="1:28" ht="15.75" x14ac:dyDescent="0.25">
      <c r="A270" s="76" t="s">
        <v>17</v>
      </c>
      <c r="B270" s="151"/>
      <c r="C270" s="99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45"/>
      <c r="AA270" s="63"/>
      <c r="AB270" s="63"/>
    </row>
    <row r="271" spans="1:28" ht="15.75" x14ac:dyDescent="0.25">
      <c r="A271" s="59" t="s">
        <v>135</v>
      </c>
      <c r="B271" s="152"/>
      <c r="C271" s="99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45"/>
      <c r="AA271" s="63"/>
      <c r="AB271" s="63"/>
    </row>
    <row r="272" spans="1:28" ht="15.75" x14ac:dyDescent="0.25">
      <c r="A272" s="59" t="s">
        <v>225</v>
      </c>
      <c r="B272" s="146"/>
      <c r="C272" s="99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45"/>
      <c r="AA272" s="63"/>
      <c r="AB272" s="63"/>
    </row>
    <row r="273" spans="1:28" ht="15.75" x14ac:dyDescent="0.25">
      <c r="A273" s="59" t="s">
        <v>226</v>
      </c>
      <c r="B273" s="146"/>
      <c r="C273" s="99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45"/>
      <c r="AA273" s="63"/>
      <c r="AB273" s="63"/>
    </row>
    <row r="274" spans="1:28" ht="15.75" x14ac:dyDescent="0.25">
      <c r="A274" s="59" t="s">
        <v>339</v>
      </c>
      <c r="B274" s="149"/>
      <c r="C274" s="99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45"/>
      <c r="AA274" s="63"/>
      <c r="AB274" s="63"/>
    </row>
    <row r="275" spans="1:28" ht="15.75" x14ac:dyDescent="0.25">
      <c r="A275" s="59" t="s">
        <v>340</v>
      </c>
      <c r="B275" s="149"/>
      <c r="C275" s="99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45"/>
      <c r="AA275" s="63"/>
      <c r="AB275" s="63"/>
    </row>
    <row r="276" spans="1:28" ht="15.75" x14ac:dyDescent="0.25">
      <c r="A276" s="76" t="s">
        <v>341</v>
      </c>
      <c r="B276" s="151"/>
      <c r="C276" s="99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45"/>
      <c r="AA276" s="63"/>
      <c r="AB276" s="63"/>
    </row>
    <row r="277" spans="1:28" ht="15.75" x14ac:dyDescent="0.25">
      <c r="A277" s="57" t="s">
        <v>342</v>
      </c>
      <c r="B277" s="145">
        <f>B278+B281</f>
        <v>0</v>
      </c>
      <c r="C277" s="99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45"/>
      <c r="AA277" s="63"/>
      <c r="AB277" s="63"/>
    </row>
    <row r="278" spans="1:28" ht="15.75" x14ac:dyDescent="0.25">
      <c r="A278" s="55" t="s">
        <v>346</v>
      </c>
      <c r="B278" s="145">
        <f>B279+B280</f>
        <v>0</v>
      </c>
      <c r="C278" s="99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45"/>
      <c r="AA278" s="63"/>
      <c r="AB278" s="63"/>
    </row>
    <row r="279" spans="1:28" ht="15.75" x14ac:dyDescent="0.25">
      <c r="A279" s="55" t="s">
        <v>347</v>
      </c>
      <c r="B279" s="146"/>
      <c r="C279" s="99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45"/>
      <c r="AA279" s="63"/>
      <c r="AB279" s="63"/>
    </row>
    <row r="280" spans="1:28" ht="15.75" x14ac:dyDescent="0.25">
      <c r="A280" s="55" t="s">
        <v>350</v>
      </c>
      <c r="B280" s="146"/>
      <c r="C280" s="99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45"/>
      <c r="AA280" s="63"/>
      <c r="AB280" s="63"/>
    </row>
    <row r="281" spans="1:28" ht="15.75" x14ac:dyDescent="0.25">
      <c r="A281" s="55" t="s">
        <v>348</v>
      </c>
      <c r="B281" s="145">
        <f>B282+B283</f>
        <v>0</v>
      </c>
      <c r="C281" s="99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45"/>
      <c r="AA281" s="63"/>
      <c r="AB281" s="63"/>
    </row>
    <row r="282" spans="1:28" ht="15.75" x14ac:dyDescent="0.25">
      <c r="A282" s="55" t="s">
        <v>349</v>
      </c>
      <c r="B282" s="146"/>
      <c r="C282" s="99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45"/>
      <c r="AA282" s="63"/>
      <c r="AB282" s="63"/>
    </row>
    <row r="283" spans="1:28" ht="15.75" x14ac:dyDescent="0.25">
      <c r="A283" s="55" t="s">
        <v>351</v>
      </c>
      <c r="B283" s="146"/>
      <c r="C283" s="99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45"/>
      <c r="AA283" s="63"/>
      <c r="AB283" s="63"/>
    </row>
    <row r="284" spans="1:28" ht="15.75" x14ac:dyDescent="0.25">
      <c r="A284" s="57" t="s">
        <v>345</v>
      </c>
      <c r="B284" s="145">
        <f>B285+B288</f>
        <v>1</v>
      </c>
      <c r="C284" s="99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45"/>
      <c r="AA284" s="63"/>
      <c r="AB284" s="63"/>
    </row>
    <row r="285" spans="1:28" ht="15.75" x14ac:dyDescent="0.25">
      <c r="A285" s="55" t="s">
        <v>352</v>
      </c>
      <c r="B285" s="145">
        <f>B286+B287</f>
        <v>1</v>
      </c>
      <c r="C285" s="99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45"/>
      <c r="AA285" s="63"/>
      <c r="AB285" s="63"/>
    </row>
    <row r="286" spans="1:28" ht="15.75" x14ac:dyDescent="0.25">
      <c r="A286" s="55" t="s">
        <v>343</v>
      </c>
      <c r="B286" s="146">
        <v>1</v>
      </c>
      <c r="C286" s="99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45"/>
      <c r="AA286" s="63"/>
      <c r="AB286" s="63"/>
    </row>
    <row r="287" spans="1:28" ht="15.75" x14ac:dyDescent="0.25">
      <c r="A287" s="55" t="s">
        <v>353</v>
      </c>
      <c r="B287" s="146"/>
      <c r="C287" s="99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45"/>
      <c r="AA287" s="63"/>
      <c r="AB287" s="63"/>
    </row>
    <row r="288" spans="1:28" ht="15.75" x14ac:dyDescent="0.25">
      <c r="A288" s="55" t="s">
        <v>354</v>
      </c>
      <c r="B288" s="145">
        <f>B289+B290</f>
        <v>0</v>
      </c>
      <c r="C288" s="99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45"/>
      <c r="AA288" s="63"/>
      <c r="AB288" s="63"/>
    </row>
    <row r="289" spans="1:28" ht="15.75" x14ac:dyDescent="0.25">
      <c r="A289" s="55" t="s">
        <v>344</v>
      </c>
      <c r="B289" s="146"/>
      <c r="C289" s="99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45"/>
      <c r="AA289" s="63"/>
      <c r="AB289" s="63"/>
    </row>
    <row r="290" spans="1:28" ht="15.75" x14ac:dyDescent="0.25">
      <c r="A290" s="55" t="s">
        <v>355</v>
      </c>
      <c r="B290" s="146"/>
      <c r="C290" s="99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45"/>
      <c r="AA290" s="63"/>
      <c r="AB290" s="63"/>
    </row>
    <row r="291" spans="1:28" ht="15.75" x14ac:dyDescent="0.25">
      <c r="A291" s="78" t="s">
        <v>18</v>
      </c>
      <c r="B291" s="155"/>
      <c r="C291" s="99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45"/>
      <c r="AA291" s="63"/>
      <c r="AB291" s="63"/>
    </row>
    <row r="292" spans="1:28" ht="15.75" x14ac:dyDescent="0.25">
      <c r="A292" s="79" t="s">
        <v>19</v>
      </c>
      <c r="B292" s="156"/>
      <c r="C292" s="99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45"/>
      <c r="AA292" s="63"/>
      <c r="AB292" s="63"/>
    </row>
    <row r="293" spans="1:28" ht="15.75" x14ac:dyDescent="0.25">
      <c r="A293" s="74" t="s">
        <v>20</v>
      </c>
      <c r="B293" s="153"/>
      <c r="C293" s="99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45"/>
      <c r="AA293" s="63"/>
      <c r="AB293" s="63"/>
    </row>
    <row r="294" spans="1:28" ht="15.75" x14ac:dyDescent="0.25">
      <c r="A294" s="80" t="s">
        <v>21</v>
      </c>
      <c r="B294" s="157"/>
      <c r="C294" s="99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45"/>
      <c r="AA294" s="63"/>
      <c r="AB294" s="63"/>
    </row>
    <row r="295" spans="1:28" ht="15.75" x14ac:dyDescent="0.25">
      <c r="A295" s="75" t="s">
        <v>137</v>
      </c>
      <c r="B295" s="154"/>
      <c r="C295" s="99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45"/>
      <c r="AA295" s="63"/>
      <c r="AB295" s="63"/>
    </row>
    <row r="296" spans="1:28" ht="15.75" x14ac:dyDescent="0.25">
      <c r="A296" s="57" t="s">
        <v>138</v>
      </c>
      <c r="B296" s="152"/>
      <c r="C296" s="99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45"/>
      <c r="AA296" s="63"/>
      <c r="AB296" s="63"/>
    </row>
    <row r="297" spans="1:28" ht="15.75" x14ac:dyDescent="0.25">
      <c r="A297" s="57" t="s">
        <v>136</v>
      </c>
      <c r="B297" s="145">
        <f>B298+B301+B304+B307+B310+B312</f>
        <v>0</v>
      </c>
      <c r="C297" s="99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45"/>
      <c r="AA297" s="63"/>
      <c r="AB297" s="63"/>
    </row>
    <row r="298" spans="1:28" ht="15.75" x14ac:dyDescent="0.25">
      <c r="A298" s="60" t="s">
        <v>155</v>
      </c>
      <c r="B298" s="145">
        <f>B299+B300</f>
        <v>0</v>
      </c>
      <c r="C298" s="99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45"/>
      <c r="AA298" s="63"/>
      <c r="AB298" s="63"/>
    </row>
    <row r="299" spans="1:28" ht="15.75" x14ac:dyDescent="0.25">
      <c r="A299" s="55" t="s">
        <v>139</v>
      </c>
      <c r="B299" s="146"/>
      <c r="C299" s="99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45"/>
      <c r="AA299" s="63"/>
      <c r="AB299" s="63"/>
    </row>
    <row r="300" spans="1:28" ht="15.75" x14ac:dyDescent="0.25">
      <c r="A300" s="55" t="s">
        <v>221</v>
      </c>
      <c r="B300" s="146"/>
      <c r="C300" s="99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45"/>
      <c r="AA300" s="63"/>
      <c r="AB300" s="63"/>
    </row>
    <row r="301" spans="1:28" ht="15.75" x14ac:dyDescent="0.25">
      <c r="A301" s="55" t="s">
        <v>140</v>
      </c>
      <c r="B301" s="145">
        <f>B302+B303</f>
        <v>0</v>
      </c>
      <c r="C301" s="99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45"/>
      <c r="AA301" s="63"/>
      <c r="AB301" s="63"/>
    </row>
    <row r="302" spans="1:28" ht="15.75" x14ac:dyDescent="0.25">
      <c r="A302" s="55" t="s">
        <v>141</v>
      </c>
      <c r="B302" s="146"/>
      <c r="C302" s="99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45"/>
      <c r="AA302" s="63"/>
      <c r="AB302" s="63"/>
    </row>
    <row r="303" spans="1:28" ht="15.75" x14ac:dyDescent="0.25">
      <c r="A303" s="55" t="s">
        <v>222</v>
      </c>
      <c r="B303" s="146"/>
      <c r="C303" s="99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45"/>
      <c r="AA303" s="63"/>
      <c r="AB303" s="63"/>
    </row>
    <row r="304" spans="1:28" ht="15.75" x14ac:dyDescent="0.25">
      <c r="A304" s="55" t="s">
        <v>142</v>
      </c>
      <c r="B304" s="145">
        <f>B305+B306</f>
        <v>0</v>
      </c>
      <c r="C304" s="99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45"/>
      <c r="AA304" s="63"/>
      <c r="AB304" s="63"/>
    </row>
    <row r="305" spans="1:28" ht="15.75" x14ac:dyDescent="0.25">
      <c r="A305" s="55" t="s">
        <v>22</v>
      </c>
      <c r="B305" s="146"/>
      <c r="C305" s="99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45"/>
      <c r="AA305" s="63"/>
      <c r="AB305" s="63"/>
    </row>
    <row r="306" spans="1:28" ht="15.75" x14ac:dyDescent="0.25">
      <c r="A306" s="55" t="s">
        <v>223</v>
      </c>
      <c r="B306" s="146"/>
      <c r="C306" s="99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45"/>
      <c r="AA306" s="63"/>
      <c r="AB306" s="63"/>
    </row>
    <row r="307" spans="1:28" ht="15.75" x14ac:dyDescent="0.25">
      <c r="A307" s="55" t="s">
        <v>143</v>
      </c>
      <c r="B307" s="145">
        <f>B308+B309</f>
        <v>0</v>
      </c>
      <c r="C307" s="99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45"/>
      <c r="AA307" s="63"/>
      <c r="AB307" s="63"/>
    </row>
    <row r="308" spans="1:28" ht="15.75" x14ac:dyDescent="0.25">
      <c r="A308" s="55" t="s">
        <v>144</v>
      </c>
      <c r="B308" s="146"/>
      <c r="C308" s="99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45"/>
      <c r="AA308" s="63"/>
      <c r="AB308" s="63"/>
    </row>
    <row r="309" spans="1:28" ht="15.75" x14ac:dyDescent="0.25">
      <c r="A309" s="55" t="s">
        <v>224</v>
      </c>
      <c r="B309" s="146"/>
      <c r="C309" s="99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45"/>
      <c r="AA309" s="63"/>
      <c r="AB309" s="63"/>
    </row>
    <row r="310" spans="1:28" ht="15.75" x14ac:dyDescent="0.25">
      <c r="A310" s="55" t="s">
        <v>145</v>
      </c>
      <c r="B310" s="148"/>
      <c r="C310" s="99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45"/>
      <c r="AA310" s="63"/>
      <c r="AB310" s="63"/>
    </row>
    <row r="311" spans="1:28" ht="15.75" x14ac:dyDescent="0.25">
      <c r="A311" s="60" t="s">
        <v>146</v>
      </c>
      <c r="B311" s="145"/>
      <c r="C311" s="99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45"/>
      <c r="AA311" s="63"/>
      <c r="AB311" s="63"/>
    </row>
    <row r="312" spans="1:28" ht="15.75" x14ac:dyDescent="0.25">
      <c r="A312" s="55" t="s">
        <v>147</v>
      </c>
      <c r="B312" s="146"/>
      <c r="C312" s="99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45"/>
      <c r="AA312" s="63"/>
      <c r="AB312" s="63"/>
    </row>
    <row r="313" spans="1:28" ht="25.5" x14ac:dyDescent="0.25">
      <c r="A313" s="61" t="s">
        <v>230</v>
      </c>
      <c r="B313" s="147"/>
      <c r="C313" s="99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45"/>
      <c r="AA313" s="63"/>
      <c r="AB313" s="63"/>
    </row>
    <row r="314" spans="1:28" ht="15.75" x14ac:dyDescent="0.25">
      <c r="A314" s="57" t="s">
        <v>148</v>
      </c>
      <c r="B314" s="149"/>
      <c r="C314" s="99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45"/>
      <c r="AA314" s="63"/>
      <c r="AB314" s="63"/>
    </row>
    <row r="315" spans="1:28" ht="26.25" x14ac:dyDescent="0.25">
      <c r="A315" s="76" t="s">
        <v>356</v>
      </c>
      <c r="B315" s="151"/>
      <c r="C315" s="99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45"/>
      <c r="AA315" s="63"/>
      <c r="AB315" s="63"/>
    </row>
    <row r="316" spans="1:28" ht="15.75" x14ac:dyDescent="0.25">
      <c r="A316" s="57" t="s">
        <v>149</v>
      </c>
      <c r="B316" s="148"/>
      <c r="C316" s="99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45"/>
      <c r="AA316" s="63"/>
      <c r="AB316" s="63"/>
    </row>
    <row r="317" spans="1:28" ht="15.75" x14ac:dyDescent="0.25">
      <c r="A317" s="55" t="s">
        <v>357</v>
      </c>
      <c r="B317" s="145">
        <f>B318+B319</f>
        <v>0</v>
      </c>
      <c r="C317" s="99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45"/>
      <c r="AA317" s="63"/>
      <c r="AB317" s="63"/>
    </row>
    <row r="318" spans="1:28" ht="15.75" x14ac:dyDescent="0.25">
      <c r="A318" s="55" t="s">
        <v>22</v>
      </c>
      <c r="B318" s="146"/>
      <c r="C318" s="99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45"/>
      <c r="AA318" s="63"/>
      <c r="AB318" s="63"/>
    </row>
    <row r="319" spans="1:28" ht="15.75" x14ac:dyDescent="0.25">
      <c r="A319" s="55" t="s">
        <v>223</v>
      </c>
      <c r="B319" s="146"/>
      <c r="C319" s="99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45"/>
      <c r="AA319" s="63"/>
      <c r="AB319" s="63"/>
    </row>
    <row r="320" spans="1:28" s="267" customFormat="1" ht="18.75" customHeight="1" x14ac:dyDescent="0.2">
      <c r="A320" s="268" t="s">
        <v>444</v>
      </c>
      <c r="B320" s="270"/>
      <c r="C320" s="263"/>
      <c r="D320" s="264"/>
      <c r="E320" s="264"/>
      <c r="F320" s="264"/>
      <c r="G320" s="264"/>
      <c r="H320" s="264"/>
      <c r="I320" s="264"/>
      <c r="J320" s="264"/>
      <c r="K320" s="264"/>
      <c r="L320" s="264"/>
      <c r="M320" s="264"/>
      <c r="N320" s="264"/>
      <c r="O320" s="264"/>
      <c r="P320" s="264"/>
      <c r="Q320" s="264"/>
      <c r="R320" s="264"/>
      <c r="S320" s="264"/>
      <c r="T320" s="264"/>
      <c r="U320" s="264"/>
      <c r="V320" s="264"/>
      <c r="W320" s="264"/>
      <c r="X320" s="264"/>
      <c r="Y320" s="264"/>
      <c r="Z320" s="265"/>
      <c r="AA320" s="266"/>
      <c r="AB320" s="266"/>
    </row>
    <row r="321" spans="1:28" s="267" customFormat="1" ht="18.75" customHeight="1" x14ac:dyDescent="0.2">
      <c r="A321" s="269" t="s">
        <v>446</v>
      </c>
      <c r="B321" s="152"/>
      <c r="C321" s="263"/>
      <c r="D321" s="264"/>
      <c r="E321" s="264"/>
      <c r="F321" s="264"/>
      <c r="G321" s="264"/>
      <c r="H321" s="264"/>
      <c r="I321" s="264"/>
      <c r="J321" s="264"/>
      <c r="K321" s="264"/>
      <c r="L321" s="264"/>
      <c r="M321" s="264"/>
      <c r="N321" s="264"/>
      <c r="O321" s="264"/>
      <c r="P321" s="264"/>
      <c r="Q321" s="264"/>
      <c r="R321" s="264"/>
      <c r="S321" s="264"/>
      <c r="T321" s="264"/>
      <c r="U321" s="264"/>
      <c r="V321" s="264"/>
      <c r="W321" s="264"/>
      <c r="X321" s="264"/>
      <c r="Y321" s="264"/>
      <c r="Z321" s="265"/>
      <c r="AA321" s="266"/>
      <c r="AB321" s="266"/>
    </row>
    <row r="322" spans="1:28" s="267" customFormat="1" ht="18.75" customHeight="1" x14ac:dyDescent="0.2">
      <c r="A322" s="269" t="s">
        <v>447</v>
      </c>
      <c r="B322" s="148"/>
      <c r="C322" s="263"/>
      <c r="D322" s="264"/>
      <c r="E322" s="264"/>
      <c r="F322" s="264"/>
      <c r="G322" s="264"/>
      <c r="H322" s="264"/>
      <c r="I322" s="264"/>
      <c r="J322" s="264"/>
      <c r="K322" s="264"/>
      <c r="L322" s="264"/>
      <c r="M322" s="264"/>
      <c r="N322" s="264"/>
      <c r="O322" s="264"/>
      <c r="P322" s="264"/>
      <c r="Q322" s="264"/>
      <c r="R322" s="264"/>
      <c r="S322" s="264"/>
      <c r="T322" s="264"/>
      <c r="U322" s="264"/>
      <c r="V322" s="264"/>
      <c r="W322" s="264"/>
      <c r="X322" s="264"/>
      <c r="Y322" s="264"/>
      <c r="Z322" s="265"/>
      <c r="AA322" s="266"/>
      <c r="AB322" s="266"/>
    </row>
    <row r="323" spans="1:28" ht="30" customHeight="1" x14ac:dyDescent="0.25">
      <c r="A323" s="268" t="s">
        <v>445</v>
      </c>
      <c r="B323" s="146"/>
      <c r="C323" s="99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45"/>
      <c r="AA323" s="63"/>
      <c r="AB323" s="63"/>
    </row>
    <row r="324" spans="1:28" ht="15.75" x14ac:dyDescent="0.25">
      <c r="A324" s="52"/>
      <c r="B324" s="50"/>
      <c r="C324" s="99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45"/>
      <c r="AA324" s="63"/>
      <c r="AB324" s="63"/>
    </row>
    <row r="325" spans="1:28" ht="15.75" x14ac:dyDescent="0.25">
      <c r="A325" s="53"/>
      <c r="B325" s="50"/>
      <c r="C325" s="99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45"/>
      <c r="AA325" s="63"/>
      <c r="AB325" s="63"/>
    </row>
    <row r="326" spans="1:28" ht="15.75" x14ac:dyDescent="0.25">
      <c r="A326" s="41"/>
      <c r="B326" s="42"/>
      <c r="C326" s="99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45"/>
      <c r="AA326" s="63"/>
      <c r="AB326" s="63"/>
    </row>
  </sheetData>
  <sheetProtection sheet="1" objects="1" scenarios="1" selectLockedCells="1"/>
  <mergeCells count="2">
    <mergeCell ref="E11:F11"/>
    <mergeCell ref="F15:P15"/>
  </mergeCells>
  <dataValidations xWindow="982" yWindow="291" count="8">
    <dataValidation allowBlank="1" showInputMessage="1" showErrorMessage="1" prompt="Limit your input in a maximum of 70 characters per bullet." sqref="F17:F74"/>
    <dataValidation allowBlank="1" showInputMessage="1" showErrorMessage="1" prompt="Limit your input in a maximum of 80 characters per bullet." sqref="F13:F14"/>
    <dataValidation type="whole" allowBlank="1" showInputMessage="1" showErrorMessage="1" sqref="G68:P119 R68:Y119 D75:F119 Q75:Q119 B71:C122">
      <formula1>0</formula1>
      <formula2>10000000000000000000</formula2>
    </dataValidation>
    <dataValidation type="whole" allowBlank="1" showInputMessage="1" showErrorMessage="1" sqref="D217:Y263 D120:Y173 B176 B218:C275 B123:C174 C320:C322">
      <formula1>0</formula1>
      <formula2>1000000000000000000</formula2>
    </dataValidation>
    <dataValidation type="whole" allowBlank="1" showInputMessage="1" showErrorMessage="1" sqref="D38:D55 G16:P67 D19:D36 Q19:Q36 R15:Z67 Q38:Q55 D57:D74 Q57:Q74 B15:C70 Z68:Z326">
      <formula1>0</formula1>
      <formula2>1E+22</formula2>
    </dataValidation>
    <dataValidation type="whole" allowBlank="1" showInputMessage="1" showErrorMessage="1" sqref="D264:Y299 C276:C277 B276 D320:Y322">
      <formula1>0</formula1>
      <formula2>100000000000000000</formula2>
    </dataValidation>
    <dataValidation type="whole" allowBlank="1" showInputMessage="1" showErrorMessage="1" sqref="B277:B319 C278:C317 D300:Y319 D323:Y326 B321:B323">
      <formula1>0</formula1>
      <formula2>1E+24</formula2>
    </dataValidation>
    <dataValidation type="whole" allowBlank="1" showInputMessage="1" showErrorMessage="1" sqref="B175 B177:B217 D174:Y216 C175:C217 C318:C319">
      <formula1>0</formula1>
      <formula2>100000000000000000000</formula2>
    </dataValidation>
  </dataValidations>
  <pageMargins left="0.7" right="0.7" top="0.75" bottom="0.75" header="0.3" footer="0.3"/>
  <pageSetup paperSize="768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326"/>
  <sheetViews>
    <sheetView workbookViewId="0">
      <pane ySplit="13" topLeftCell="A14" activePane="bottomLeft" state="frozen"/>
      <selection pane="bottomLeft" activeCell="B21" sqref="B21"/>
    </sheetView>
  </sheetViews>
  <sheetFormatPr defaultRowHeight="12.75" x14ac:dyDescent="0.2"/>
  <cols>
    <col min="1" max="1" width="39.140625" style="1" customWidth="1"/>
    <col min="2" max="2" width="36.42578125" style="31" customWidth="1"/>
    <col min="3" max="3" width="7.28515625" style="100" customWidth="1"/>
    <col min="4" max="4" width="3.28515625" style="65" customWidth="1"/>
    <col min="5" max="5" width="1.85546875" style="65" customWidth="1"/>
    <col min="6" max="6" width="8.42578125" style="65" customWidth="1"/>
    <col min="7" max="16" width="9.140625" style="65"/>
    <col min="17" max="17" width="2.7109375" style="65" customWidth="1"/>
    <col min="18" max="28" width="9.140625" style="65"/>
  </cols>
  <sheetData>
    <row r="1" spans="1:30" x14ac:dyDescent="0.2">
      <c r="A1" s="13"/>
      <c r="B1" s="29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63"/>
      <c r="AB1" s="63"/>
    </row>
    <row r="2" spans="1:30" x14ac:dyDescent="0.2">
      <c r="A2" s="13"/>
      <c r="B2" s="29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63"/>
      <c r="AB2" s="63"/>
    </row>
    <row r="3" spans="1:30" x14ac:dyDescent="0.2">
      <c r="A3" s="13"/>
      <c r="B3" s="29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63"/>
      <c r="AB3" s="63"/>
    </row>
    <row r="4" spans="1:30" x14ac:dyDescent="0.2">
      <c r="A4" s="13"/>
      <c r="B4" s="29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63"/>
      <c r="AB4" s="63"/>
    </row>
    <row r="5" spans="1:30" x14ac:dyDescent="0.2">
      <c r="A5" s="13"/>
      <c r="B5" s="29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63"/>
      <c r="AB5" s="63"/>
    </row>
    <row r="6" spans="1:30" x14ac:dyDescent="0.2">
      <c r="A6" s="13"/>
      <c r="B6" s="2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63"/>
      <c r="AB6" s="63"/>
    </row>
    <row r="7" spans="1:30" x14ac:dyDescent="0.2">
      <c r="A7" s="13"/>
      <c r="B7" s="29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63"/>
      <c r="AB7" s="63"/>
    </row>
    <row r="8" spans="1:30" x14ac:dyDescent="0.2">
      <c r="A8" s="13"/>
      <c r="B8" s="29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63"/>
      <c r="AB8" s="63"/>
    </row>
    <row r="9" spans="1:30" x14ac:dyDescent="0.2">
      <c r="A9" s="14"/>
      <c r="B9" s="29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63"/>
      <c r="AB9" s="63"/>
    </row>
    <row r="10" spans="1:30" x14ac:dyDescent="0.2">
      <c r="A10" s="15"/>
      <c r="B10" s="29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63"/>
      <c r="AB10" s="63"/>
    </row>
    <row r="11" spans="1:30" ht="15.75" x14ac:dyDescent="0.25">
      <c r="A11" s="5" t="s">
        <v>0</v>
      </c>
      <c r="B11" s="12" t="s">
        <v>175</v>
      </c>
      <c r="C11" s="17"/>
      <c r="D11" s="17"/>
      <c r="E11" s="325"/>
      <c r="F11" s="325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63"/>
      <c r="AB11" s="63"/>
      <c r="AC11" s="3"/>
      <c r="AD11" s="3"/>
    </row>
    <row r="12" spans="1:30" x14ac:dyDescent="0.2">
      <c r="A12" s="48" t="s">
        <v>1</v>
      </c>
      <c r="B12" s="11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25"/>
      <c r="AA12" s="63"/>
      <c r="AB12" s="63"/>
    </row>
    <row r="13" spans="1:30" x14ac:dyDescent="0.2">
      <c r="A13" s="73" t="s">
        <v>3</v>
      </c>
      <c r="B13" s="77"/>
      <c r="C13" s="19"/>
      <c r="D13" s="19"/>
      <c r="E13" s="70"/>
      <c r="F13" s="70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63"/>
      <c r="AB13" s="63"/>
    </row>
    <row r="14" spans="1:30" x14ac:dyDescent="0.2">
      <c r="A14" s="51" t="s">
        <v>4</v>
      </c>
      <c r="B14" s="49"/>
      <c r="C14" s="98"/>
      <c r="D14" s="19"/>
      <c r="E14" s="70"/>
      <c r="F14" s="70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63"/>
      <c r="AB14" s="63"/>
    </row>
    <row r="15" spans="1:30" ht="15.75" x14ac:dyDescent="0.25">
      <c r="A15" s="47" t="s">
        <v>23</v>
      </c>
      <c r="B15" s="145">
        <f>B16+B23+B30+B33+B40+B43</f>
        <v>610</v>
      </c>
      <c r="C15" s="99"/>
      <c r="D15" s="69"/>
      <c r="E15" s="69"/>
      <c r="F15" s="326" t="s">
        <v>227</v>
      </c>
      <c r="G15" s="326"/>
      <c r="H15" s="326"/>
      <c r="I15" s="326"/>
      <c r="J15" s="326"/>
      <c r="K15" s="326"/>
      <c r="L15" s="326"/>
      <c r="M15" s="326"/>
      <c r="N15" s="326"/>
      <c r="O15" s="326"/>
      <c r="P15" s="326"/>
      <c r="Q15" s="69"/>
      <c r="R15" s="16"/>
      <c r="S15" s="16"/>
      <c r="T15" s="16"/>
      <c r="U15" s="16"/>
      <c r="V15" s="16"/>
      <c r="W15" s="16"/>
      <c r="X15" s="16"/>
      <c r="Y15" s="16"/>
      <c r="Z15" s="45"/>
      <c r="AA15" s="63"/>
      <c r="AB15" s="63"/>
    </row>
    <row r="16" spans="1:30" ht="15.75" x14ac:dyDescent="0.25">
      <c r="A16" s="46" t="s">
        <v>24</v>
      </c>
      <c r="B16" s="145">
        <f>B17+B20</f>
        <v>610</v>
      </c>
      <c r="C16" s="99"/>
      <c r="D16" s="66"/>
      <c r="E16" s="18"/>
      <c r="F16" s="18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66"/>
      <c r="R16" s="16"/>
      <c r="S16" s="16"/>
      <c r="T16" s="16"/>
      <c r="U16" s="16"/>
      <c r="V16" s="16"/>
      <c r="W16" s="16"/>
      <c r="X16" s="16"/>
      <c r="Y16" s="16"/>
      <c r="Z16" s="45"/>
      <c r="AA16" s="63"/>
      <c r="AB16" s="63"/>
    </row>
    <row r="17" spans="1:28" ht="15.75" x14ac:dyDescent="0.25">
      <c r="A17" s="2" t="s">
        <v>25</v>
      </c>
      <c r="B17" s="145">
        <f>B18+B19</f>
        <v>0</v>
      </c>
      <c r="C17" s="99"/>
      <c r="D17" s="67"/>
      <c r="E17" s="70" t="s">
        <v>228</v>
      </c>
      <c r="F17" s="161" t="s">
        <v>476</v>
      </c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67"/>
      <c r="R17" s="16"/>
      <c r="S17" s="16"/>
      <c r="T17" s="16"/>
      <c r="U17" s="16"/>
      <c r="V17" s="16"/>
      <c r="W17" s="16"/>
      <c r="X17" s="16"/>
      <c r="Y17" s="16"/>
      <c r="Z17" s="45"/>
      <c r="AA17" s="63"/>
      <c r="AB17" s="63"/>
    </row>
    <row r="18" spans="1:28" ht="15.75" x14ac:dyDescent="0.25">
      <c r="A18" s="2" t="s">
        <v>26</v>
      </c>
      <c r="B18" s="146"/>
      <c r="C18" s="99"/>
      <c r="D18" s="67"/>
      <c r="E18" s="70" t="s">
        <v>228</v>
      </c>
      <c r="F18" s="161" t="s">
        <v>477</v>
      </c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67"/>
      <c r="R18" s="16"/>
      <c r="S18" s="16"/>
      <c r="T18" s="16"/>
      <c r="U18" s="16"/>
      <c r="V18" s="16"/>
      <c r="W18" s="16"/>
      <c r="X18" s="16"/>
      <c r="Y18" s="16"/>
      <c r="Z18" s="45"/>
      <c r="AA18" s="63"/>
      <c r="AB18" s="63"/>
    </row>
    <row r="19" spans="1:28" ht="15.75" x14ac:dyDescent="0.25">
      <c r="A19" s="2" t="s">
        <v>182</v>
      </c>
      <c r="B19" s="146"/>
      <c r="C19" s="99"/>
      <c r="D19" s="68"/>
      <c r="E19" s="71" t="s">
        <v>228</v>
      </c>
      <c r="F19" s="44" t="s">
        <v>478</v>
      </c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68"/>
      <c r="R19" s="16"/>
      <c r="S19" s="16"/>
      <c r="T19" s="16"/>
      <c r="U19" s="16"/>
      <c r="V19" s="16"/>
      <c r="W19" s="16"/>
      <c r="X19" s="16"/>
      <c r="Y19" s="16"/>
      <c r="Z19" s="45"/>
      <c r="AA19" s="63"/>
      <c r="AB19" s="63"/>
    </row>
    <row r="20" spans="1:28" ht="15.75" x14ac:dyDescent="0.25">
      <c r="A20" s="2" t="s">
        <v>6</v>
      </c>
      <c r="B20" s="145">
        <f>B21+B22</f>
        <v>610</v>
      </c>
      <c r="C20" s="99"/>
      <c r="D20" s="68"/>
      <c r="E20" s="71" t="s">
        <v>228</v>
      </c>
      <c r="F20" s="44" t="s">
        <v>479</v>
      </c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68"/>
      <c r="R20" s="16"/>
      <c r="S20" s="16"/>
      <c r="T20" s="16"/>
      <c r="U20" s="16"/>
      <c r="V20" s="16"/>
      <c r="W20" s="16"/>
      <c r="X20" s="16"/>
      <c r="Y20" s="16"/>
      <c r="Z20" s="45"/>
      <c r="AA20" s="63"/>
      <c r="AB20" s="63"/>
    </row>
    <row r="21" spans="1:28" ht="15.75" x14ac:dyDescent="0.25">
      <c r="A21" s="2" t="s">
        <v>27</v>
      </c>
      <c r="B21" s="146">
        <v>310</v>
      </c>
      <c r="C21" s="99"/>
      <c r="D21" s="68"/>
      <c r="E21" s="71" t="s">
        <v>228</v>
      </c>
      <c r="F21" s="44" t="s">
        <v>480</v>
      </c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68"/>
      <c r="R21" s="16"/>
      <c r="S21" s="16"/>
      <c r="T21" s="16"/>
      <c r="U21" s="16"/>
      <c r="V21" s="16"/>
      <c r="W21" s="16"/>
      <c r="X21" s="16"/>
      <c r="Y21" s="16"/>
      <c r="Z21" s="45"/>
      <c r="AA21" s="63"/>
      <c r="AB21" s="63"/>
    </row>
    <row r="22" spans="1:28" ht="15.75" x14ac:dyDescent="0.25">
      <c r="A22" s="2" t="s">
        <v>183</v>
      </c>
      <c r="B22" s="146">
        <v>300</v>
      </c>
      <c r="C22" s="99"/>
      <c r="D22" s="68"/>
      <c r="E22" s="16" t="s">
        <v>228</v>
      </c>
      <c r="F22" s="44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68"/>
      <c r="R22" s="16"/>
      <c r="S22" s="16"/>
      <c r="T22" s="16"/>
      <c r="U22" s="16"/>
      <c r="V22" s="16"/>
      <c r="W22" s="16"/>
      <c r="X22" s="16"/>
      <c r="Y22" s="16"/>
      <c r="Z22" s="45"/>
      <c r="AA22" s="63"/>
      <c r="AB22" s="63"/>
    </row>
    <row r="23" spans="1:28" ht="15.75" x14ac:dyDescent="0.25">
      <c r="A23" s="46" t="s">
        <v>28</v>
      </c>
      <c r="B23" s="145">
        <f>B24+B27</f>
        <v>0</v>
      </c>
      <c r="C23" s="99"/>
      <c r="D23" s="68"/>
      <c r="E23" s="16" t="s">
        <v>228</v>
      </c>
      <c r="F23" s="44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68"/>
      <c r="R23" s="16"/>
      <c r="S23" s="16"/>
      <c r="T23" s="16"/>
      <c r="U23" s="16"/>
      <c r="V23" s="16"/>
      <c r="W23" s="16"/>
      <c r="X23" s="16"/>
      <c r="Y23" s="16"/>
      <c r="Z23" s="45"/>
      <c r="AA23" s="63"/>
      <c r="AB23" s="63"/>
    </row>
    <row r="24" spans="1:28" ht="15.75" x14ac:dyDescent="0.25">
      <c r="A24" s="2" t="s">
        <v>29</v>
      </c>
      <c r="B24" s="145">
        <f>B25+B26</f>
        <v>0</v>
      </c>
      <c r="C24" s="99"/>
      <c r="D24" s="68"/>
      <c r="E24" s="16" t="s">
        <v>228</v>
      </c>
      <c r="F24" s="44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68"/>
      <c r="R24" s="16"/>
      <c r="S24" s="16"/>
      <c r="T24" s="16"/>
      <c r="U24" s="16"/>
      <c r="V24" s="16"/>
      <c r="W24" s="16"/>
      <c r="X24" s="16"/>
      <c r="Y24" s="16"/>
      <c r="Z24" s="45"/>
      <c r="AA24" s="63"/>
      <c r="AB24" s="63"/>
    </row>
    <row r="25" spans="1:28" ht="15.75" x14ac:dyDescent="0.25">
      <c r="A25" s="2" t="s">
        <v>30</v>
      </c>
      <c r="B25" s="146"/>
      <c r="C25" s="99"/>
      <c r="D25" s="68"/>
      <c r="E25" s="16" t="s">
        <v>228</v>
      </c>
      <c r="F25" s="44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68"/>
      <c r="R25" s="16"/>
      <c r="S25" s="16"/>
      <c r="T25" s="16"/>
      <c r="U25" s="16"/>
      <c r="V25" s="16"/>
      <c r="W25" s="16"/>
      <c r="X25" s="16"/>
      <c r="Y25" s="16"/>
      <c r="Z25" s="45"/>
      <c r="AA25" s="63"/>
      <c r="AB25" s="63"/>
    </row>
    <row r="26" spans="1:28" ht="15.75" x14ac:dyDescent="0.25">
      <c r="A26" s="2" t="s">
        <v>184</v>
      </c>
      <c r="B26" s="146"/>
      <c r="C26" s="99"/>
      <c r="D26" s="68"/>
      <c r="E26" s="16" t="s">
        <v>228</v>
      </c>
      <c r="F26" s="44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68"/>
      <c r="R26" s="16"/>
      <c r="S26" s="16"/>
      <c r="T26" s="16"/>
      <c r="U26" s="16"/>
      <c r="V26" s="16"/>
      <c r="W26" s="16"/>
      <c r="X26" s="16"/>
      <c r="Y26" s="16"/>
      <c r="Z26" s="45"/>
      <c r="AA26" s="63"/>
      <c r="AB26" s="63"/>
    </row>
    <row r="27" spans="1:28" ht="15.75" x14ac:dyDescent="0.25">
      <c r="A27" s="2" t="s">
        <v>31</v>
      </c>
      <c r="B27" s="145">
        <f>B28+B29</f>
        <v>0</v>
      </c>
      <c r="C27" s="99"/>
      <c r="D27" s="68"/>
      <c r="E27" s="16" t="s">
        <v>228</v>
      </c>
      <c r="F27" s="44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68"/>
      <c r="R27" s="16"/>
      <c r="S27" s="16"/>
      <c r="T27" s="16"/>
      <c r="U27" s="16"/>
      <c r="V27" s="16"/>
      <c r="W27" s="16"/>
      <c r="X27" s="16"/>
      <c r="Y27" s="16"/>
      <c r="Z27" s="45"/>
      <c r="AA27" s="63"/>
      <c r="AB27" s="63"/>
    </row>
    <row r="28" spans="1:28" ht="15.75" x14ac:dyDescent="0.25">
      <c r="A28" s="2" t="s">
        <v>32</v>
      </c>
      <c r="B28" s="146"/>
      <c r="C28" s="99"/>
      <c r="D28" s="68"/>
      <c r="E28" s="16" t="s">
        <v>228</v>
      </c>
      <c r="F28" s="44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68"/>
      <c r="R28" s="16"/>
      <c r="S28" s="16"/>
      <c r="T28" s="16"/>
      <c r="U28" s="16"/>
      <c r="V28" s="16"/>
      <c r="W28" s="16"/>
      <c r="X28" s="16"/>
      <c r="Y28" s="16"/>
      <c r="Z28" s="45"/>
      <c r="AA28" s="63"/>
      <c r="AB28" s="63"/>
    </row>
    <row r="29" spans="1:28" ht="15.75" x14ac:dyDescent="0.25">
      <c r="A29" s="2" t="s">
        <v>185</v>
      </c>
      <c r="B29" s="146"/>
      <c r="C29" s="99"/>
      <c r="D29" s="68"/>
      <c r="E29" s="16" t="s">
        <v>228</v>
      </c>
      <c r="F29" s="44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68"/>
      <c r="R29" s="16"/>
      <c r="S29" s="16"/>
      <c r="T29" s="16"/>
      <c r="U29" s="16"/>
      <c r="V29" s="16"/>
      <c r="W29" s="16"/>
      <c r="X29" s="16"/>
      <c r="Y29" s="16"/>
      <c r="Z29" s="45"/>
      <c r="AA29" s="63"/>
      <c r="AB29" s="63"/>
    </row>
    <row r="30" spans="1:28" ht="15.75" x14ac:dyDescent="0.25">
      <c r="A30" s="46" t="s">
        <v>33</v>
      </c>
      <c r="B30" s="145">
        <f>B31+B32</f>
        <v>0</v>
      </c>
      <c r="C30" s="99"/>
      <c r="D30" s="68"/>
      <c r="E30" s="16" t="s">
        <v>228</v>
      </c>
      <c r="F30" s="44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68"/>
      <c r="R30" s="16"/>
      <c r="S30" s="16"/>
      <c r="T30" s="16"/>
      <c r="U30" s="16"/>
      <c r="V30" s="16"/>
      <c r="W30" s="16"/>
      <c r="X30" s="16"/>
      <c r="Y30" s="16"/>
      <c r="Z30" s="45"/>
      <c r="AA30" s="63"/>
      <c r="AB30" s="63"/>
    </row>
    <row r="31" spans="1:28" ht="15.75" x14ac:dyDescent="0.25">
      <c r="A31" s="2" t="s">
        <v>34</v>
      </c>
      <c r="B31" s="146"/>
      <c r="C31" s="99"/>
      <c r="D31" s="68"/>
      <c r="E31" s="16" t="s">
        <v>228</v>
      </c>
      <c r="F31" s="44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68"/>
      <c r="R31" s="16"/>
      <c r="S31" s="16"/>
      <c r="T31" s="16"/>
      <c r="U31" s="16"/>
      <c r="V31" s="16"/>
      <c r="W31" s="16"/>
      <c r="X31" s="16"/>
      <c r="Y31" s="16"/>
      <c r="Z31" s="45"/>
      <c r="AA31" s="63"/>
      <c r="AB31" s="63"/>
    </row>
    <row r="32" spans="1:28" ht="15.75" x14ac:dyDescent="0.25">
      <c r="A32" s="2" t="s">
        <v>186</v>
      </c>
      <c r="B32" s="146"/>
      <c r="C32" s="99"/>
      <c r="D32" s="68"/>
      <c r="E32" s="16" t="s">
        <v>228</v>
      </c>
      <c r="F32" s="44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68"/>
      <c r="R32" s="16"/>
      <c r="S32" s="16"/>
      <c r="T32" s="16"/>
      <c r="U32" s="16"/>
      <c r="V32" s="16"/>
      <c r="W32" s="16"/>
      <c r="X32" s="16"/>
      <c r="Y32" s="16"/>
      <c r="Z32" s="45"/>
      <c r="AA32" s="63"/>
      <c r="AB32" s="63"/>
    </row>
    <row r="33" spans="1:28" ht="15.75" x14ac:dyDescent="0.25">
      <c r="A33" s="46" t="s">
        <v>35</v>
      </c>
      <c r="B33" s="145">
        <f>B34+B37</f>
        <v>0</v>
      </c>
      <c r="C33" s="99"/>
      <c r="D33" s="68"/>
      <c r="E33" s="16" t="s">
        <v>228</v>
      </c>
      <c r="F33" s="44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68"/>
      <c r="R33" s="16"/>
      <c r="S33" s="16"/>
      <c r="T33" s="16"/>
      <c r="U33" s="16"/>
      <c r="V33" s="16"/>
      <c r="W33" s="16"/>
      <c r="X33" s="16"/>
      <c r="Y33" s="16"/>
      <c r="Z33" s="45"/>
      <c r="AA33" s="63"/>
      <c r="AB33" s="63"/>
    </row>
    <row r="34" spans="1:28" ht="15.75" x14ac:dyDescent="0.25">
      <c r="A34" s="2" t="s">
        <v>36</v>
      </c>
      <c r="B34" s="145">
        <f>B35+B36</f>
        <v>0</v>
      </c>
      <c r="C34" s="99"/>
      <c r="D34" s="68"/>
      <c r="E34" s="16" t="s">
        <v>228</v>
      </c>
      <c r="F34" s="44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68"/>
      <c r="R34" s="16"/>
      <c r="S34" s="16"/>
      <c r="T34" s="16"/>
      <c r="U34" s="16"/>
      <c r="V34" s="16"/>
      <c r="W34" s="16"/>
      <c r="X34" s="16"/>
      <c r="Y34" s="16"/>
      <c r="Z34" s="45"/>
      <c r="AA34" s="63"/>
      <c r="AB34" s="63"/>
    </row>
    <row r="35" spans="1:28" ht="15.75" x14ac:dyDescent="0.25">
      <c r="A35" s="2" t="s">
        <v>37</v>
      </c>
      <c r="B35" s="146"/>
      <c r="C35" s="99"/>
      <c r="D35" s="68"/>
      <c r="E35" s="16" t="s">
        <v>228</v>
      </c>
      <c r="F35" s="44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68"/>
      <c r="R35" s="16"/>
      <c r="S35" s="16"/>
      <c r="T35" s="16"/>
      <c r="U35" s="16"/>
      <c r="V35" s="16"/>
      <c r="W35" s="16"/>
      <c r="X35" s="16"/>
      <c r="Y35" s="16"/>
      <c r="Z35" s="45"/>
      <c r="AA35" s="63"/>
      <c r="AB35" s="63"/>
    </row>
    <row r="36" spans="1:28" ht="15.75" x14ac:dyDescent="0.25">
      <c r="A36" s="2" t="s">
        <v>187</v>
      </c>
      <c r="B36" s="146"/>
      <c r="C36" s="99"/>
      <c r="D36" s="68"/>
      <c r="E36" s="16" t="s">
        <v>228</v>
      </c>
      <c r="F36" s="44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68"/>
      <c r="R36" s="16"/>
      <c r="S36" s="16"/>
      <c r="T36" s="16"/>
      <c r="U36" s="16"/>
      <c r="V36" s="16"/>
      <c r="W36" s="16"/>
      <c r="X36" s="16"/>
      <c r="Y36" s="16"/>
      <c r="Z36" s="45"/>
      <c r="AA36" s="63"/>
      <c r="AB36" s="63"/>
    </row>
    <row r="37" spans="1:28" ht="15.75" x14ac:dyDescent="0.25">
      <c r="A37" s="2" t="s">
        <v>38</v>
      </c>
      <c r="B37" s="145">
        <f>B38+B39</f>
        <v>0</v>
      </c>
      <c r="C37" s="99"/>
      <c r="D37" s="67"/>
      <c r="E37" s="70" t="s">
        <v>228</v>
      </c>
      <c r="F37" s="72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67"/>
      <c r="R37" s="16"/>
      <c r="S37" s="16"/>
      <c r="T37" s="16"/>
      <c r="U37" s="16"/>
      <c r="V37" s="16"/>
      <c r="W37" s="16"/>
      <c r="X37" s="16"/>
      <c r="Y37" s="16"/>
      <c r="Z37" s="45"/>
      <c r="AA37" s="63"/>
      <c r="AB37" s="63"/>
    </row>
    <row r="38" spans="1:28" ht="15.75" x14ac:dyDescent="0.25">
      <c r="A38" s="2" t="s">
        <v>39</v>
      </c>
      <c r="B38" s="146"/>
      <c r="C38" s="99"/>
      <c r="D38" s="68"/>
      <c r="E38" s="71" t="s">
        <v>228</v>
      </c>
      <c r="F38" s="44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68"/>
      <c r="R38" s="16"/>
      <c r="S38" s="16"/>
      <c r="T38" s="16"/>
      <c r="U38" s="16"/>
      <c r="V38" s="16"/>
      <c r="W38" s="16"/>
      <c r="X38" s="16"/>
      <c r="Y38" s="16"/>
      <c r="Z38" s="45"/>
      <c r="AA38" s="63"/>
      <c r="AB38" s="63"/>
    </row>
    <row r="39" spans="1:28" ht="15.75" x14ac:dyDescent="0.25">
      <c r="A39" s="2" t="s">
        <v>188</v>
      </c>
      <c r="B39" s="146"/>
      <c r="C39" s="99"/>
      <c r="D39" s="68"/>
      <c r="E39" s="71" t="s">
        <v>228</v>
      </c>
      <c r="F39" s="44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68"/>
      <c r="R39" s="16"/>
      <c r="S39" s="16"/>
      <c r="T39" s="16"/>
      <c r="U39" s="16"/>
      <c r="V39" s="16"/>
      <c r="W39" s="16"/>
      <c r="X39" s="16"/>
      <c r="Y39" s="16"/>
      <c r="Z39" s="45"/>
      <c r="AA39" s="63"/>
      <c r="AB39" s="63"/>
    </row>
    <row r="40" spans="1:28" ht="15.75" x14ac:dyDescent="0.25">
      <c r="A40" s="46" t="s">
        <v>279</v>
      </c>
      <c r="B40" s="145">
        <f>B41+B42</f>
        <v>0</v>
      </c>
      <c r="C40" s="99"/>
      <c r="D40" s="68"/>
      <c r="E40" s="71" t="s">
        <v>228</v>
      </c>
      <c r="F40" s="44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68"/>
      <c r="R40" s="16"/>
      <c r="S40" s="16"/>
      <c r="T40" s="16"/>
      <c r="U40" s="16"/>
      <c r="V40" s="16"/>
      <c r="W40" s="16"/>
      <c r="X40" s="16"/>
      <c r="Y40" s="16"/>
      <c r="Z40" s="45"/>
      <c r="AA40" s="63"/>
      <c r="AB40" s="63"/>
    </row>
    <row r="41" spans="1:28" ht="15.75" x14ac:dyDescent="0.25">
      <c r="A41" s="2" t="s">
        <v>317</v>
      </c>
      <c r="B41" s="146"/>
      <c r="C41" s="99"/>
      <c r="D41" s="68"/>
      <c r="E41" s="16" t="s">
        <v>228</v>
      </c>
      <c r="F41" s="44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68"/>
      <c r="R41" s="16"/>
      <c r="S41" s="16"/>
      <c r="T41" s="16"/>
      <c r="U41" s="16"/>
      <c r="V41" s="16"/>
      <c r="W41" s="16"/>
      <c r="X41" s="16"/>
      <c r="Y41" s="16"/>
      <c r="Z41" s="45"/>
      <c r="AA41" s="63"/>
      <c r="AB41" s="63"/>
    </row>
    <row r="42" spans="1:28" ht="15.75" x14ac:dyDescent="0.25">
      <c r="A42" s="2" t="s">
        <v>318</v>
      </c>
      <c r="B42" s="146"/>
      <c r="C42" s="99"/>
      <c r="D42" s="68"/>
      <c r="E42" s="16" t="s">
        <v>228</v>
      </c>
      <c r="F42" s="44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68"/>
      <c r="R42" s="16"/>
      <c r="S42" s="16"/>
      <c r="T42" s="16"/>
      <c r="U42" s="16"/>
      <c r="V42" s="16"/>
      <c r="W42" s="16"/>
      <c r="X42" s="16"/>
      <c r="Y42" s="16"/>
      <c r="Z42" s="45"/>
      <c r="AA42" s="63"/>
      <c r="AB42" s="63"/>
    </row>
    <row r="43" spans="1:28" ht="15.75" x14ac:dyDescent="0.25">
      <c r="A43" s="46" t="s">
        <v>314</v>
      </c>
      <c r="B43" s="145">
        <f>B44+B45</f>
        <v>0</v>
      </c>
      <c r="C43" s="99"/>
      <c r="D43" s="68"/>
      <c r="E43" s="16" t="s">
        <v>228</v>
      </c>
      <c r="F43" s="44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68"/>
      <c r="R43" s="16"/>
      <c r="S43" s="16"/>
      <c r="T43" s="16"/>
      <c r="U43" s="16"/>
      <c r="V43" s="16"/>
      <c r="W43" s="16"/>
      <c r="X43" s="16"/>
      <c r="Y43" s="16"/>
      <c r="Z43" s="45"/>
      <c r="AA43" s="63"/>
      <c r="AB43" s="63"/>
    </row>
    <row r="44" spans="1:28" ht="15.75" x14ac:dyDescent="0.25">
      <c r="A44" s="2" t="s">
        <v>315</v>
      </c>
      <c r="B44" s="146"/>
      <c r="C44" s="99"/>
      <c r="D44" s="68"/>
      <c r="E44" s="16" t="s">
        <v>228</v>
      </c>
      <c r="F44" s="44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68"/>
      <c r="R44" s="16"/>
      <c r="S44" s="16"/>
      <c r="T44" s="16"/>
      <c r="U44" s="16"/>
      <c r="V44" s="16"/>
      <c r="W44" s="16"/>
      <c r="X44" s="16"/>
      <c r="Y44" s="16"/>
      <c r="Z44" s="45"/>
      <c r="AA44" s="63"/>
      <c r="AB44" s="63"/>
    </row>
    <row r="45" spans="1:28" ht="15.75" x14ac:dyDescent="0.25">
      <c r="A45" s="2" t="s">
        <v>316</v>
      </c>
      <c r="B45" s="146"/>
      <c r="C45" s="99"/>
      <c r="D45" s="68"/>
      <c r="E45" s="16" t="s">
        <v>228</v>
      </c>
      <c r="F45" s="44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68"/>
      <c r="R45" s="16"/>
      <c r="S45" s="16"/>
      <c r="T45" s="16"/>
      <c r="U45" s="16"/>
      <c r="V45" s="16"/>
      <c r="W45" s="16"/>
      <c r="X45" s="16"/>
      <c r="Y45" s="16"/>
      <c r="Z45" s="45"/>
      <c r="AA45" s="63"/>
      <c r="AB45" s="63"/>
    </row>
    <row r="46" spans="1:28" ht="15.75" x14ac:dyDescent="0.25">
      <c r="A46" s="46" t="s">
        <v>280</v>
      </c>
      <c r="B46" s="146"/>
      <c r="C46" s="99"/>
      <c r="D46" s="68"/>
      <c r="E46" s="16" t="s">
        <v>228</v>
      </c>
      <c r="F46" s="44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68"/>
      <c r="R46" s="16"/>
      <c r="S46" s="16"/>
      <c r="T46" s="16"/>
      <c r="U46" s="16"/>
      <c r="V46" s="16"/>
      <c r="W46" s="16"/>
      <c r="X46" s="16"/>
      <c r="Y46" s="16"/>
      <c r="Z46" s="45"/>
      <c r="AA46" s="63"/>
      <c r="AB46" s="63"/>
    </row>
    <row r="47" spans="1:28" ht="15.75" x14ac:dyDescent="0.25">
      <c r="A47" s="47" t="s">
        <v>40</v>
      </c>
      <c r="B47" s="145">
        <f>B48+B55+B58+B61+B68+B71+B74+B77+B80</f>
        <v>165</v>
      </c>
      <c r="C47" s="99"/>
      <c r="D47" s="68"/>
      <c r="E47" s="16" t="s">
        <v>228</v>
      </c>
      <c r="F47" s="44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68"/>
      <c r="R47" s="16"/>
      <c r="S47" s="16"/>
      <c r="T47" s="16"/>
      <c r="U47" s="16"/>
      <c r="V47" s="16"/>
      <c r="W47" s="16"/>
      <c r="X47" s="16"/>
      <c r="Y47" s="16"/>
      <c r="Z47" s="45"/>
      <c r="AA47" s="63"/>
      <c r="AB47" s="63"/>
    </row>
    <row r="48" spans="1:28" ht="15.75" x14ac:dyDescent="0.25">
      <c r="A48" s="46" t="s">
        <v>5</v>
      </c>
      <c r="B48" s="145">
        <f>B49+B52</f>
        <v>165</v>
      </c>
      <c r="C48" s="99"/>
      <c r="D48" s="68"/>
      <c r="E48" s="16" t="s">
        <v>228</v>
      </c>
      <c r="F48" s="44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68"/>
      <c r="R48" s="16"/>
      <c r="S48" s="16"/>
      <c r="T48" s="16"/>
      <c r="U48" s="16"/>
      <c r="V48" s="16"/>
      <c r="W48" s="16"/>
      <c r="X48" s="16"/>
      <c r="Y48" s="16"/>
      <c r="Z48" s="45"/>
      <c r="AA48" s="63"/>
      <c r="AB48" s="63"/>
    </row>
    <row r="49" spans="1:28" ht="15.75" x14ac:dyDescent="0.25">
      <c r="A49" s="2" t="s">
        <v>274</v>
      </c>
      <c r="B49" s="145">
        <f>B50+B51</f>
        <v>165</v>
      </c>
      <c r="C49" s="99"/>
      <c r="D49" s="68"/>
      <c r="E49" s="16" t="s">
        <v>228</v>
      </c>
      <c r="F49" s="44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68"/>
      <c r="R49" s="16"/>
      <c r="S49" s="16"/>
      <c r="T49" s="16"/>
      <c r="U49" s="16"/>
      <c r="V49" s="16"/>
      <c r="W49" s="16"/>
      <c r="X49" s="16"/>
      <c r="Y49" s="16"/>
      <c r="Z49" s="45"/>
      <c r="AA49" s="63"/>
      <c r="AB49" s="63"/>
    </row>
    <row r="50" spans="1:28" ht="15.75" x14ac:dyDescent="0.25">
      <c r="A50" s="2" t="s">
        <v>277</v>
      </c>
      <c r="B50" s="146">
        <v>82</v>
      </c>
      <c r="C50" s="99"/>
      <c r="D50" s="68"/>
      <c r="E50" s="16" t="s">
        <v>228</v>
      </c>
      <c r="F50" s="44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68"/>
      <c r="R50" s="16"/>
      <c r="S50" s="16"/>
      <c r="T50" s="16"/>
      <c r="U50" s="16"/>
      <c r="V50" s="16"/>
      <c r="W50" s="16"/>
      <c r="X50" s="16"/>
      <c r="Y50" s="16"/>
      <c r="Z50" s="45"/>
      <c r="AA50" s="63"/>
      <c r="AB50" s="63"/>
    </row>
    <row r="51" spans="1:28" ht="15.75" x14ac:dyDescent="0.25">
      <c r="A51" s="2" t="s">
        <v>278</v>
      </c>
      <c r="B51" s="146">
        <v>83</v>
      </c>
      <c r="C51" s="99"/>
      <c r="D51" s="68"/>
      <c r="E51" s="16" t="s">
        <v>228</v>
      </c>
      <c r="F51" s="160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68"/>
      <c r="R51" s="16"/>
      <c r="S51" s="16"/>
      <c r="T51" s="16"/>
      <c r="U51" s="16"/>
      <c r="V51" s="16"/>
      <c r="W51" s="16"/>
      <c r="X51" s="16"/>
      <c r="Y51" s="16"/>
      <c r="Z51" s="45"/>
      <c r="AA51" s="63"/>
      <c r="AB51" s="63"/>
    </row>
    <row r="52" spans="1:28" ht="15.75" x14ac:dyDescent="0.25">
      <c r="A52" s="2" t="s">
        <v>6</v>
      </c>
      <c r="B52" s="145">
        <f>B53+B54</f>
        <v>0</v>
      </c>
      <c r="C52" s="99"/>
      <c r="D52" s="68"/>
      <c r="E52" s="16" t="s">
        <v>228</v>
      </c>
      <c r="F52" s="44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68"/>
      <c r="R52" s="16"/>
      <c r="S52" s="16"/>
      <c r="T52" s="16"/>
      <c r="U52" s="16"/>
      <c r="V52" s="16"/>
      <c r="W52" s="16"/>
      <c r="X52" s="16"/>
      <c r="Y52" s="16"/>
      <c r="Z52" s="45"/>
      <c r="AA52" s="63"/>
      <c r="AB52" s="63"/>
    </row>
    <row r="53" spans="1:28" ht="15.75" x14ac:dyDescent="0.25">
      <c r="A53" s="2" t="s">
        <v>275</v>
      </c>
      <c r="B53" s="146"/>
      <c r="C53" s="99"/>
      <c r="D53" s="68"/>
      <c r="E53" s="16" t="s">
        <v>228</v>
      </c>
      <c r="F53" s="44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68"/>
      <c r="R53" s="16"/>
      <c r="S53" s="16"/>
      <c r="T53" s="16"/>
      <c r="U53" s="16"/>
      <c r="V53" s="16"/>
      <c r="W53" s="16"/>
      <c r="X53" s="16"/>
      <c r="Y53" s="16"/>
      <c r="Z53" s="45"/>
      <c r="AA53" s="63"/>
      <c r="AB53" s="63"/>
    </row>
    <row r="54" spans="1:28" ht="15.75" x14ac:dyDescent="0.25">
      <c r="A54" s="2" t="s">
        <v>276</v>
      </c>
      <c r="B54" s="146"/>
      <c r="C54" s="99"/>
      <c r="D54" s="68"/>
      <c r="E54" s="16" t="s">
        <v>228</v>
      </c>
      <c r="F54" s="44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68"/>
      <c r="R54" s="16"/>
      <c r="S54" s="16"/>
      <c r="T54" s="16"/>
      <c r="U54" s="16"/>
      <c r="V54" s="16"/>
      <c r="W54" s="16"/>
      <c r="X54" s="16"/>
      <c r="Y54" s="16"/>
      <c r="Z54" s="45"/>
      <c r="AA54" s="63"/>
      <c r="AB54" s="63"/>
    </row>
    <row r="55" spans="1:28" ht="15.75" x14ac:dyDescent="0.25">
      <c r="A55" s="46" t="s">
        <v>41</v>
      </c>
      <c r="B55" s="145">
        <f>B56+B57</f>
        <v>0</v>
      </c>
      <c r="C55" s="99"/>
      <c r="D55" s="68"/>
      <c r="E55" s="16" t="s">
        <v>228</v>
      </c>
      <c r="F55" s="44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68"/>
      <c r="R55" s="16"/>
      <c r="S55" s="16"/>
      <c r="T55" s="16"/>
      <c r="U55" s="16"/>
      <c r="V55" s="16"/>
      <c r="W55" s="16"/>
      <c r="X55" s="16"/>
      <c r="Y55" s="16"/>
      <c r="Z55" s="45"/>
      <c r="AA55" s="63"/>
      <c r="AB55" s="63"/>
    </row>
    <row r="56" spans="1:28" ht="15.75" x14ac:dyDescent="0.25">
      <c r="A56" s="2" t="s">
        <v>42</v>
      </c>
      <c r="B56" s="146"/>
      <c r="C56" s="99"/>
      <c r="D56" s="67"/>
      <c r="E56" s="70" t="s">
        <v>228</v>
      </c>
      <c r="F56" s="72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67"/>
      <c r="R56" s="16"/>
      <c r="S56" s="16"/>
      <c r="T56" s="16"/>
      <c r="U56" s="16"/>
      <c r="V56" s="16"/>
      <c r="W56" s="16"/>
      <c r="X56" s="16"/>
      <c r="Y56" s="16"/>
      <c r="Z56" s="45"/>
      <c r="AA56" s="63"/>
      <c r="AB56" s="63"/>
    </row>
    <row r="57" spans="1:28" ht="15.75" x14ac:dyDescent="0.25">
      <c r="A57" s="2" t="s">
        <v>189</v>
      </c>
      <c r="B57" s="146"/>
      <c r="C57" s="99"/>
      <c r="D57" s="68"/>
      <c r="E57" s="71" t="s">
        <v>228</v>
      </c>
      <c r="F57" s="44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68"/>
      <c r="R57" s="16"/>
      <c r="S57" s="16"/>
      <c r="T57" s="16"/>
      <c r="U57" s="16"/>
      <c r="V57" s="16"/>
      <c r="W57" s="16"/>
      <c r="X57" s="16"/>
      <c r="Y57" s="16"/>
      <c r="Z57" s="45"/>
      <c r="AA57" s="63"/>
      <c r="AB57" s="63"/>
    </row>
    <row r="58" spans="1:28" ht="15.75" x14ac:dyDescent="0.25">
      <c r="A58" s="46" t="s">
        <v>43</v>
      </c>
      <c r="B58" s="145">
        <f>B59+B60</f>
        <v>0</v>
      </c>
      <c r="C58" s="99"/>
      <c r="D58" s="68"/>
      <c r="E58" s="71" t="s">
        <v>228</v>
      </c>
      <c r="F58" s="44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68"/>
      <c r="R58" s="16"/>
      <c r="S58" s="16"/>
      <c r="T58" s="16"/>
      <c r="U58" s="16"/>
      <c r="V58" s="16"/>
      <c r="W58" s="16"/>
      <c r="X58" s="16"/>
      <c r="Y58" s="16"/>
      <c r="Z58" s="45"/>
      <c r="AA58" s="63"/>
      <c r="AB58" s="63"/>
    </row>
    <row r="59" spans="1:28" ht="15.75" x14ac:dyDescent="0.25">
      <c r="A59" s="2" t="s">
        <v>44</v>
      </c>
      <c r="B59" s="146"/>
      <c r="C59" s="99"/>
      <c r="D59" s="68"/>
      <c r="E59" s="71" t="s">
        <v>228</v>
      </c>
      <c r="F59" s="44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68"/>
      <c r="R59" s="16"/>
      <c r="S59" s="16"/>
      <c r="T59" s="16"/>
      <c r="U59" s="16"/>
      <c r="V59" s="16"/>
      <c r="W59" s="16"/>
      <c r="X59" s="16"/>
      <c r="Y59" s="16"/>
      <c r="Z59" s="45"/>
      <c r="AA59" s="63"/>
      <c r="AB59" s="63"/>
    </row>
    <row r="60" spans="1:28" ht="15.75" x14ac:dyDescent="0.25">
      <c r="A60" s="2" t="s">
        <v>190</v>
      </c>
      <c r="B60" s="146"/>
      <c r="C60" s="99"/>
      <c r="D60" s="68"/>
      <c r="E60" s="16" t="s">
        <v>228</v>
      </c>
      <c r="F60" s="44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68"/>
      <c r="R60" s="16"/>
      <c r="S60" s="16"/>
      <c r="T60" s="16"/>
      <c r="U60" s="16"/>
      <c r="V60" s="16"/>
      <c r="W60" s="16"/>
      <c r="X60" s="16"/>
      <c r="Y60" s="16"/>
      <c r="Z60" s="45"/>
      <c r="AA60" s="63"/>
      <c r="AB60" s="63"/>
    </row>
    <row r="61" spans="1:28" ht="15.75" x14ac:dyDescent="0.25">
      <c r="A61" s="46" t="s">
        <v>7</v>
      </c>
      <c r="B61" s="145">
        <f>B62+B65</f>
        <v>0</v>
      </c>
      <c r="C61" s="99"/>
      <c r="D61" s="68"/>
      <c r="E61" s="16" t="s">
        <v>228</v>
      </c>
      <c r="F61" s="44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68"/>
      <c r="R61" s="16"/>
      <c r="S61" s="16"/>
      <c r="T61" s="16"/>
      <c r="U61" s="16"/>
      <c r="V61" s="16"/>
      <c r="W61" s="16"/>
      <c r="X61" s="16"/>
      <c r="Y61" s="16"/>
      <c r="Z61" s="45"/>
      <c r="AA61" s="63"/>
      <c r="AB61" s="63"/>
    </row>
    <row r="62" spans="1:28" ht="15.75" x14ac:dyDescent="0.25">
      <c r="A62" s="2" t="s">
        <v>45</v>
      </c>
      <c r="B62" s="145">
        <f>B63+B64</f>
        <v>0</v>
      </c>
      <c r="C62" s="99"/>
      <c r="D62" s="68"/>
      <c r="E62" s="16" t="s">
        <v>228</v>
      </c>
      <c r="F62" s="44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68"/>
      <c r="R62" s="16"/>
      <c r="S62" s="16"/>
      <c r="T62" s="16"/>
      <c r="U62" s="16"/>
      <c r="V62" s="16"/>
      <c r="W62" s="16"/>
      <c r="X62" s="16"/>
      <c r="Y62" s="16"/>
      <c r="Z62" s="45"/>
      <c r="AA62" s="63"/>
      <c r="AB62" s="63"/>
    </row>
    <row r="63" spans="1:28" ht="15.75" x14ac:dyDescent="0.25">
      <c r="A63" s="2" t="s">
        <v>46</v>
      </c>
      <c r="B63" s="146"/>
      <c r="C63" s="99"/>
      <c r="D63" s="68"/>
      <c r="E63" s="16" t="s">
        <v>228</v>
      </c>
      <c r="F63" s="44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68"/>
      <c r="R63" s="16"/>
      <c r="S63" s="16"/>
      <c r="T63" s="16"/>
      <c r="U63" s="16"/>
      <c r="V63" s="16"/>
      <c r="W63" s="16"/>
      <c r="X63" s="16"/>
      <c r="Y63" s="16"/>
      <c r="Z63" s="45"/>
      <c r="AA63" s="63"/>
      <c r="AB63" s="63"/>
    </row>
    <row r="64" spans="1:28" ht="15.75" x14ac:dyDescent="0.25">
      <c r="A64" s="2" t="s">
        <v>191</v>
      </c>
      <c r="B64" s="146"/>
      <c r="C64" s="99"/>
      <c r="D64" s="68"/>
      <c r="E64" s="16" t="s">
        <v>228</v>
      </c>
      <c r="F64" s="44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68"/>
      <c r="R64" s="16"/>
      <c r="S64" s="16"/>
      <c r="T64" s="16"/>
      <c r="U64" s="16"/>
      <c r="V64" s="16"/>
      <c r="W64" s="16"/>
      <c r="X64" s="16"/>
      <c r="Y64" s="16"/>
      <c r="Z64" s="45"/>
      <c r="AA64" s="63"/>
      <c r="AB64" s="63"/>
    </row>
    <row r="65" spans="1:28" ht="15.75" x14ac:dyDescent="0.25">
      <c r="A65" s="2" t="s">
        <v>47</v>
      </c>
      <c r="B65" s="145">
        <f>B66+B67</f>
        <v>0</v>
      </c>
      <c r="C65" s="99"/>
      <c r="D65" s="68"/>
      <c r="E65" s="16" t="s">
        <v>228</v>
      </c>
      <c r="F65" s="44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68"/>
      <c r="R65" s="16"/>
      <c r="S65" s="16"/>
      <c r="T65" s="16"/>
      <c r="U65" s="16"/>
      <c r="V65" s="16"/>
      <c r="W65" s="16"/>
      <c r="X65" s="16"/>
      <c r="Y65" s="16"/>
      <c r="Z65" s="45"/>
      <c r="AA65" s="63"/>
      <c r="AB65" s="63"/>
    </row>
    <row r="66" spans="1:28" ht="15.75" x14ac:dyDescent="0.25">
      <c r="A66" s="2" t="s">
        <v>48</v>
      </c>
      <c r="B66" s="146"/>
      <c r="C66" s="99"/>
      <c r="D66" s="68"/>
      <c r="E66" s="16" t="s">
        <v>228</v>
      </c>
      <c r="F66" s="44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68"/>
      <c r="R66" s="16"/>
      <c r="S66" s="16"/>
      <c r="T66" s="16"/>
      <c r="U66" s="16"/>
      <c r="V66" s="16"/>
      <c r="W66" s="16"/>
      <c r="X66" s="16"/>
      <c r="Y66" s="16"/>
      <c r="Z66" s="45"/>
      <c r="AA66" s="63"/>
      <c r="AB66" s="63"/>
    </row>
    <row r="67" spans="1:28" ht="15.75" x14ac:dyDescent="0.25">
      <c r="A67" s="2" t="s">
        <v>192</v>
      </c>
      <c r="B67" s="146"/>
      <c r="C67" s="99"/>
      <c r="D67" s="68"/>
      <c r="E67" s="16" t="s">
        <v>228</v>
      </c>
      <c r="F67" s="44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68"/>
      <c r="R67" s="16"/>
      <c r="S67" s="16"/>
      <c r="T67" s="16"/>
      <c r="U67" s="16"/>
      <c r="V67" s="16"/>
      <c r="W67" s="16"/>
      <c r="X67" s="16"/>
      <c r="Y67" s="16"/>
      <c r="Z67" s="45"/>
      <c r="AA67" s="63"/>
      <c r="AB67" s="63"/>
    </row>
    <row r="68" spans="1:28" ht="15.75" x14ac:dyDescent="0.25">
      <c r="A68" s="46" t="s">
        <v>49</v>
      </c>
      <c r="B68" s="145">
        <f>B69+B70</f>
        <v>0</v>
      </c>
      <c r="C68" s="99"/>
      <c r="D68" s="68"/>
      <c r="E68" s="16" t="s">
        <v>228</v>
      </c>
      <c r="F68" s="44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68"/>
      <c r="R68" s="16"/>
      <c r="S68" s="16"/>
      <c r="T68" s="16"/>
      <c r="U68" s="16"/>
      <c r="V68" s="16"/>
      <c r="W68" s="16"/>
      <c r="X68" s="16"/>
      <c r="Y68" s="16"/>
      <c r="Z68" s="45"/>
      <c r="AA68" s="63"/>
      <c r="AB68" s="63"/>
    </row>
    <row r="69" spans="1:28" ht="15.75" x14ac:dyDescent="0.25">
      <c r="A69" s="2" t="s">
        <v>50</v>
      </c>
      <c r="B69" s="146"/>
      <c r="C69" s="99"/>
      <c r="D69" s="68"/>
      <c r="E69" s="16" t="s">
        <v>228</v>
      </c>
      <c r="F69" s="44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68"/>
      <c r="R69" s="16"/>
      <c r="S69" s="16"/>
      <c r="T69" s="16"/>
      <c r="U69" s="16"/>
      <c r="V69" s="16"/>
      <c r="W69" s="16"/>
      <c r="X69" s="16"/>
      <c r="Y69" s="16"/>
      <c r="Z69" s="45"/>
      <c r="AA69" s="63"/>
      <c r="AB69" s="63"/>
    </row>
    <row r="70" spans="1:28" ht="15.75" x14ac:dyDescent="0.25">
      <c r="A70" s="2" t="s">
        <v>193</v>
      </c>
      <c r="B70" s="146"/>
      <c r="C70" s="99"/>
      <c r="D70" s="68"/>
      <c r="E70" s="16" t="s">
        <v>228</v>
      </c>
      <c r="F70" s="44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68"/>
      <c r="R70" s="16"/>
      <c r="S70" s="16"/>
      <c r="T70" s="16"/>
      <c r="U70" s="16"/>
      <c r="V70" s="16"/>
      <c r="W70" s="16"/>
      <c r="X70" s="16"/>
      <c r="Y70" s="16"/>
      <c r="Z70" s="45"/>
      <c r="AA70" s="63"/>
      <c r="AB70" s="63"/>
    </row>
    <row r="71" spans="1:28" ht="15.75" x14ac:dyDescent="0.25">
      <c r="A71" s="46" t="s">
        <v>51</v>
      </c>
      <c r="B71" s="145">
        <f>B72+B73</f>
        <v>0</v>
      </c>
      <c r="C71" s="99"/>
      <c r="D71" s="68"/>
      <c r="E71" s="16" t="s">
        <v>228</v>
      </c>
      <c r="F71" s="44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68"/>
      <c r="R71" s="16"/>
      <c r="S71" s="16"/>
      <c r="T71" s="16"/>
      <c r="U71" s="16"/>
      <c r="V71" s="16"/>
      <c r="W71" s="16"/>
      <c r="X71" s="16"/>
      <c r="Y71" s="16"/>
      <c r="Z71" s="45"/>
      <c r="AA71" s="63"/>
      <c r="AB71" s="63"/>
    </row>
    <row r="72" spans="1:28" ht="15.75" x14ac:dyDescent="0.25">
      <c r="A72" s="2" t="s">
        <v>52</v>
      </c>
      <c r="B72" s="146"/>
      <c r="C72" s="99"/>
      <c r="D72" s="68"/>
      <c r="E72" s="16" t="s">
        <v>228</v>
      </c>
      <c r="F72" s="44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68"/>
      <c r="R72" s="16"/>
      <c r="S72" s="16"/>
      <c r="T72" s="16"/>
      <c r="U72" s="16"/>
      <c r="V72" s="16"/>
      <c r="W72" s="16"/>
      <c r="X72" s="16"/>
      <c r="Y72" s="16"/>
      <c r="Z72" s="45"/>
      <c r="AA72" s="63"/>
      <c r="AB72" s="63"/>
    </row>
    <row r="73" spans="1:28" ht="15.75" x14ac:dyDescent="0.25">
      <c r="A73" s="2" t="s">
        <v>194</v>
      </c>
      <c r="B73" s="146"/>
      <c r="C73" s="99"/>
      <c r="D73" s="68"/>
      <c r="E73" s="16" t="s">
        <v>228</v>
      </c>
      <c r="F73" s="44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68"/>
      <c r="R73" s="16"/>
      <c r="S73" s="16"/>
      <c r="T73" s="16"/>
      <c r="U73" s="16"/>
      <c r="V73" s="16"/>
      <c r="W73" s="16"/>
      <c r="X73" s="16"/>
      <c r="Y73" s="16"/>
      <c r="Z73" s="45"/>
      <c r="AA73" s="63"/>
      <c r="AB73" s="63"/>
    </row>
    <row r="74" spans="1:28" ht="15.75" x14ac:dyDescent="0.25">
      <c r="A74" s="46" t="s">
        <v>53</v>
      </c>
      <c r="B74" s="145">
        <f>B75+B76</f>
        <v>0</v>
      </c>
      <c r="C74" s="99"/>
      <c r="D74" s="68"/>
      <c r="E74" s="16" t="s">
        <v>228</v>
      </c>
      <c r="F74" s="160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68"/>
      <c r="R74" s="16"/>
      <c r="S74" s="16"/>
      <c r="T74" s="16"/>
      <c r="U74" s="16"/>
      <c r="V74" s="16"/>
      <c r="W74" s="16"/>
      <c r="X74" s="16"/>
      <c r="Y74" s="16"/>
      <c r="Z74" s="45"/>
      <c r="AA74" s="63"/>
      <c r="AB74" s="63"/>
    </row>
    <row r="75" spans="1:28" ht="15.75" x14ac:dyDescent="0.25">
      <c r="A75" s="2" t="s">
        <v>54</v>
      </c>
      <c r="B75" s="146"/>
      <c r="C75" s="99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16"/>
      <c r="S75" s="16"/>
      <c r="T75" s="16"/>
      <c r="U75" s="16"/>
      <c r="V75" s="16"/>
      <c r="W75" s="16"/>
      <c r="X75" s="16"/>
      <c r="Y75" s="16"/>
      <c r="Z75" s="45"/>
      <c r="AA75" s="63"/>
      <c r="AB75" s="63"/>
    </row>
    <row r="76" spans="1:28" ht="15.75" x14ac:dyDescent="0.25">
      <c r="A76" s="2" t="s">
        <v>195</v>
      </c>
      <c r="B76" s="146"/>
      <c r="C76" s="99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45"/>
      <c r="AA76" s="63"/>
      <c r="AB76" s="63"/>
    </row>
    <row r="77" spans="1:28" ht="15.75" x14ac:dyDescent="0.25">
      <c r="A77" s="46" t="s">
        <v>319</v>
      </c>
      <c r="B77" s="145">
        <f>B78+B79</f>
        <v>0</v>
      </c>
      <c r="C77" s="99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45"/>
      <c r="AA77" s="63"/>
      <c r="AB77" s="63"/>
    </row>
    <row r="78" spans="1:28" ht="15.75" x14ac:dyDescent="0.25">
      <c r="A78" s="2" t="s">
        <v>72</v>
      </c>
      <c r="B78" s="146"/>
      <c r="C78" s="99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45"/>
      <c r="AA78" s="63"/>
      <c r="AB78" s="63"/>
    </row>
    <row r="79" spans="1:28" ht="15.75" x14ac:dyDescent="0.25">
      <c r="A79" s="55" t="s">
        <v>196</v>
      </c>
      <c r="B79" s="146"/>
      <c r="C79" s="99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45"/>
      <c r="AA79" s="63"/>
      <c r="AB79" s="63"/>
    </row>
    <row r="80" spans="1:28" ht="15.75" x14ac:dyDescent="0.25">
      <c r="A80" s="46" t="s">
        <v>271</v>
      </c>
      <c r="B80" s="145">
        <f>B81+B82</f>
        <v>0</v>
      </c>
      <c r="C80" s="99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45"/>
      <c r="AA80" s="63"/>
      <c r="AB80" s="63"/>
    </row>
    <row r="81" spans="1:28" ht="15.75" x14ac:dyDescent="0.25">
      <c r="A81" s="2" t="s">
        <v>272</v>
      </c>
      <c r="B81" s="146"/>
      <c r="C81" s="99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45"/>
      <c r="AA81" s="63"/>
      <c r="AB81" s="63"/>
    </row>
    <row r="82" spans="1:28" ht="15.75" x14ac:dyDescent="0.25">
      <c r="A82" s="55" t="s">
        <v>273</v>
      </c>
      <c r="B82" s="146">
        <v>0</v>
      </c>
      <c r="C82" s="99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45"/>
      <c r="AA82" s="63"/>
      <c r="AB82" s="63"/>
    </row>
    <row r="83" spans="1:28" ht="15.75" x14ac:dyDescent="0.25">
      <c r="A83" s="56" t="s">
        <v>55</v>
      </c>
      <c r="B83" s="145">
        <f>B84+B97+B100+B103+B110+B113+B116+B119</f>
        <v>21</v>
      </c>
      <c r="C83" s="99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45"/>
      <c r="AA83" s="63"/>
      <c r="AB83" s="63"/>
    </row>
    <row r="84" spans="1:28" ht="15.75" x14ac:dyDescent="0.25">
      <c r="A84" s="57" t="s">
        <v>56</v>
      </c>
      <c r="B84" s="145">
        <f>B85+B88+B91+B94</f>
        <v>21</v>
      </c>
      <c r="C84" s="99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45"/>
      <c r="AA84" s="63"/>
      <c r="AB84" s="63"/>
    </row>
    <row r="85" spans="1:28" ht="15.75" x14ac:dyDescent="0.25">
      <c r="A85" s="55" t="s">
        <v>57</v>
      </c>
      <c r="B85" s="145">
        <f>B86+B87</f>
        <v>21</v>
      </c>
      <c r="C85" s="99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45"/>
      <c r="AA85" s="63"/>
      <c r="AB85" s="63"/>
    </row>
    <row r="86" spans="1:28" ht="15.75" x14ac:dyDescent="0.25">
      <c r="A86" s="55" t="s">
        <v>58</v>
      </c>
      <c r="B86" s="146">
        <v>21</v>
      </c>
      <c r="C86" s="99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45"/>
      <c r="AA86" s="63"/>
      <c r="AB86" s="63"/>
    </row>
    <row r="87" spans="1:28" ht="15.75" x14ac:dyDescent="0.25">
      <c r="A87" s="55" t="s">
        <v>197</v>
      </c>
      <c r="B87" s="146"/>
      <c r="C87" s="99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45"/>
      <c r="AA87" s="63"/>
      <c r="AB87" s="63"/>
    </row>
    <row r="88" spans="1:28" ht="15.75" x14ac:dyDescent="0.25">
      <c r="A88" s="55" t="s">
        <v>237</v>
      </c>
      <c r="B88" s="145">
        <f>B89+B90</f>
        <v>0</v>
      </c>
      <c r="C88" s="99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45"/>
      <c r="AA88" s="63"/>
      <c r="AB88" s="63"/>
    </row>
    <row r="89" spans="1:28" ht="15.75" x14ac:dyDescent="0.25">
      <c r="A89" s="55" t="s">
        <v>59</v>
      </c>
      <c r="B89" s="146"/>
      <c r="C89" s="99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45"/>
      <c r="AA89" s="63"/>
      <c r="AB89" s="63"/>
    </row>
    <row r="90" spans="1:28" ht="15.75" x14ac:dyDescent="0.25">
      <c r="A90" s="55" t="s">
        <v>198</v>
      </c>
      <c r="B90" s="146"/>
      <c r="C90" s="99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45"/>
      <c r="AA90" s="63"/>
      <c r="AB90" s="63"/>
    </row>
    <row r="91" spans="1:28" ht="15.75" x14ac:dyDescent="0.25">
      <c r="A91" s="55" t="s">
        <v>60</v>
      </c>
      <c r="B91" s="145">
        <f>B92+B93</f>
        <v>0</v>
      </c>
      <c r="C91" s="99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45"/>
      <c r="AA91" s="63"/>
      <c r="AB91" s="63"/>
    </row>
    <row r="92" spans="1:28" ht="15.75" x14ac:dyDescent="0.25">
      <c r="A92" s="55" t="s">
        <v>61</v>
      </c>
      <c r="B92" s="146"/>
      <c r="C92" s="99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45"/>
      <c r="AA92" s="63"/>
      <c r="AB92" s="63"/>
    </row>
    <row r="93" spans="1:28" ht="15.75" x14ac:dyDescent="0.25">
      <c r="A93" s="55" t="s">
        <v>199</v>
      </c>
      <c r="B93" s="146"/>
      <c r="C93" s="99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45"/>
      <c r="AA93" s="63"/>
      <c r="AB93" s="63"/>
    </row>
    <row r="94" spans="1:28" ht="15.75" x14ac:dyDescent="0.25">
      <c r="A94" s="55" t="s">
        <v>62</v>
      </c>
      <c r="B94" s="145">
        <f>B95+B96</f>
        <v>0</v>
      </c>
      <c r="C94" s="99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45"/>
      <c r="AA94" s="63"/>
      <c r="AB94" s="63"/>
    </row>
    <row r="95" spans="1:28" ht="15.75" x14ac:dyDescent="0.25">
      <c r="A95" s="55" t="s">
        <v>63</v>
      </c>
      <c r="B95" s="146"/>
      <c r="C95" s="99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45"/>
      <c r="AA95" s="63"/>
      <c r="AB95" s="63"/>
    </row>
    <row r="96" spans="1:28" ht="15.75" x14ac:dyDescent="0.25">
      <c r="A96" s="55" t="s">
        <v>200</v>
      </c>
      <c r="B96" s="146"/>
      <c r="C96" s="99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45"/>
      <c r="AA96" s="63"/>
      <c r="AB96" s="63"/>
    </row>
    <row r="97" spans="1:28" ht="15.75" x14ac:dyDescent="0.25">
      <c r="A97" s="57" t="s">
        <v>64</v>
      </c>
      <c r="B97" s="145">
        <f>B98+B99</f>
        <v>0</v>
      </c>
      <c r="C97" s="99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45"/>
      <c r="AA97" s="63"/>
      <c r="AB97" s="63"/>
    </row>
    <row r="98" spans="1:28" ht="15.75" x14ac:dyDescent="0.25">
      <c r="A98" s="55" t="s">
        <v>65</v>
      </c>
      <c r="B98" s="146"/>
      <c r="C98" s="99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45"/>
      <c r="AA98" s="63"/>
      <c r="AB98" s="63"/>
    </row>
    <row r="99" spans="1:28" ht="15.75" x14ac:dyDescent="0.25">
      <c r="A99" s="55" t="s">
        <v>201</v>
      </c>
      <c r="B99" s="146"/>
      <c r="C99" s="99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45"/>
      <c r="AA99" s="63"/>
      <c r="AB99" s="63"/>
    </row>
    <row r="100" spans="1:28" ht="15.75" x14ac:dyDescent="0.25">
      <c r="A100" s="57" t="s">
        <v>66</v>
      </c>
      <c r="B100" s="145">
        <f>B101+B102</f>
        <v>0</v>
      </c>
      <c r="C100" s="99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45"/>
      <c r="AA100" s="63"/>
      <c r="AB100" s="63"/>
    </row>
    <row r="101" spans="1:28" ht="15.75" x14ac:dyDescent="0.25">
      <c r="A101" s="55" t="s">
        <v>67</v>
      </c>
      <c r="B101" s="146"/>
      <c r="C101" s="99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45"/>
      <c r="AA101" s="63"/>
      <c r="AB101" s="63"/>
    </row>
    <row r="102" spans="1:28" ht="15.75" x14ac:dyDescent="0.25">
      <c r="A102" s="55" t="s">
        <v>202</v>
      </c>
      <c r="B102" s="146"/>
      <c r="C102" s="99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45"/>
      <c r="AA102" s="63"/>
      <c r="AB102" s="63"/>
    </row>
    <row r="103" spans="1:28" ht="15.75" x14ac:dyDescent="0.25">
      <c r="A103" s="57" t="s">
        <v>68</v>
      </c>
      <c r="B103" s="145">
        <f>B104+B107</f>
        <v>0</v>
      </c>
      <c r="C103" s="99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45"/>
      <c r="AA103" s="63"/>
      <c r="AB103" s="63"/>
    </row>
    <row r="104" spans="1:28" ht="15.75" x14ac:dyDescent="0.25">
      <c r="A104" s="55" t="s">
        <v>238</v>
      </c>
      <c r="B104" s="145">
        <f>B105+B106</f>
        <v>0</v>
      </c>
      <c r="C104" s="99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45"/>
      <c r="AA104" s="63"/>
      <c r="AB104" s="63"/>
    </row>
    <row r="105" spans="1:28" ht="15.75" x14ac:dyDescent="0.25">
      <c r="A105" s="2" t="s">
        <v>239</v>
      </c>
      <c r="B105" s="146"/>
      <c r="C105" s="99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45"/>
      <c r="AA105" s="63"/>
      <c r="AB105" s="63"/>
    </row>
    <row r="106" spans="1:28" ht="15.75" x14ac:dyDescent="0.25">
      <c r="A106" s="2" t="s">
        <v>240</v>
      </c>
      <c r="B106" s="146"/>
      <c r="C106" s="99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45"/>
      <c r="AA106" s="63"/>
      <c r="AB106" s="63"/>
    </row>
    <row r="107" spans="1:28" ht="15.75" x14ac:dyDescent="0.25">
      <c r="A107" s="2" t="s">
        <v>241</v>
      </c>
      <c r="B107" s="145">
        <f>B108+B109</f>
        <v>0</v>
      </c>
      <c r="C107" s="99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45"/>
      <c r="AA107" s="63"/>
      <c r="AB107" s="63"/>
    </row>
    <row r="108" spans="1:28" ht="15.75" x14ac:dyDescent="0.25">
      <c r="A108" s="2" t="s">
        <v>242</v>
      </c>
      <c r="B108" s="146"/>
      <c r="C108" s="99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45"/>
      <c r="AA108" s="63"/>
      <c r="AB108" s="63"/>
    </row>
    <row r="109" spans="1:28" ht="15.75" x14ac:dyDescent="0.25">
      <c r="A109" s="55" t="s">
        <v>243</v>
      </c>
      <c r="B109" s="146"/>
      <c r="C109" s="99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45"/>
      <c r="AA109" s="63"/>
      <c r="AB109" s="63"/>
    </row>
    <row r="110" spans="1:28" ht="15.75" x14ac:dyDescent="0.25">
      <c r="A110" s="57" t="s">
        <v>69</v>
      </c>
      <c r="B110" s="145">
        <f>B111+B112</f>
        <v>0</v>
      </c>
      <c r="C110" s="99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45"/>
      <c r="AA110" s="63"/>
      <c r="AB110" s="63"/>
    </row>
    <row r="111" spans="1:28" ht="15.75" x14ac:dyDescent="0.25">
      <c r="A111" s="55" t="s">
        <v>244</v>
      </c>
      <c r="B111" s="146"/>
      <c r="C111" s="99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45"/>
      <c r="AA111" s="63"/>
      <c r="AB111" s="63"/>
    </row>
    <row r="112" spans="1:28" ht="15.75" x14ac:dyDescent="0.25">
      <c r="A112" s="55" t="s">
        <v>245</v>
      </c>
      <c r="B112" s="146"/>
      <c r="C112" s="99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45"/>
      <c r="AA112" s="63"/>
      <c r="AB112" s="63"/>
    </row>
    <row r="113" spans="1:28" ht="15.75" x14ac:dyDescent="0.25">
      <c r="A113" s="57" t="s">
        <v>70</v>
      </c>
      <c r="B113" s="145">
        <f>B114+B115</f>
        <v>0</v>
      </c>
      <c r="C113" s="99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45"/>
      <c r="AA113" s="63"/>
      <c r="AB113" s="63"/>
    </row>
    <row r="114" spans="1:28" ht="15.75" x14ac:dyDescent="0.25">
      <c r="A114" s="55" t="s">
        <v>246</v>
      </c>
      <c r="B114" s="146"/>
      <c r="C114" s="99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45"/>
      <c r="AA114" s="63"/>
      <c r="AB114" s="63"/>
    </row>
    <row r="115" spans="1:28" ht="15.75" x14ac:dyDescent="0.25">
      <c r="A115" s="55" t="s">
        <v>247</v>
      </c>
      <c r="B115" s="146"/>
      <c r="C115" s="99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45"/>
      <c r="AA115" s="63"/>
      <c r="AB115" s="63"/>
    </row>
    <row r="116" spans="1:28" ht="15.75" x14ac:dyDescent="0.25">
      <c r="A116" s="57" t="s">
        <v>71</v>
      </c>
      <c r="B116" s="145">
        <f>B117+B118</f>
        <v>0</v>
      </c>
      <c r="C116" s="99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45"/>
      <c r="AA116" s="63"/>
      <c r="AB116" s="63"/>
    </row>
    <row r="117" spans="1:28" ht="15.75" x14ac:dyDescent="0.25">
      <c r="A117" s="55" t="s">
        <v>248</v>
      </c>
      <c r="B117" s="146"/>
      <c r="C117" s="99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45"/>
      <c r="AA117" s="63"/>
      <c r="AB117" s="63"/>
    </row>
    <row r="118" spans="1:28" ht="15.75" x14ac:dyDescent="0.25">
      <c r="A118" s="55" t="s">
        <v>249</v>
      </c>
      <c r="B118" s="146"/>
      <c r="C118" s="99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45"/>
      <c r="AA118" s="63"/>
      <c r="AB118" s="63"/>
    </row>
    <row r="119" spans="1:28" ht="15.75" x14ac:dyDescent="0.25">
      <c r="A119" s="57" t="s">
        <v>320</v>
      </c>
      <c r="B119" s="145">
        <f>B120+B121</f>
        <v>0</v>
      </c>
      <c r="C119" s="99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45"/>
      <c r="AA119" s="63"/>
      <c r="AB119" s="63"/>
    </row>
    <row r="120" spans="1:28" ht="15.75" x14ac:dyDescent="0.25">
      <c r="A120" s="55" t="s">
        <v>250</v>
      </c>
      <c r="B120" s="146"/>
      <c r="C120" s="99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45"/>
      <c r="AA120" s="63"/>
      <c r="AB120" s="63"/>
    </row>
    <row r="121" spans="1:28" ht="15.75" x14ac:dyDescent="0.25">
      <c r="A121" s="55" t="s">
        <v>251</v>
      </c>
      <c r="B121" s="146"/>
      <c r="C121" s="99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45"/>
      <c r="AA121" s="63"/>
      <c r="AB121" s="63"/>
    </row>
    <row r="122" spans="1:28" ht="15.75" x14ac:dyDescent="0.25">
      <c r="A122" s="57" t="s">
        <v>270</v>
      </c>
      <c r="B122" s="146">
        <v>0</v>
      </c>
      <c r="C122" s="99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45"/>
      <c r="AA122" s="63"/>
      <c r="AB122" s="63"/>
    </row>
    <row r="123" spans="1:28" ht="15.75" x14ac:dyDescent="0.25">
      <c r="A123" s="56" t="s">
        <v>73</v>
      </c>
      <c r="B123" s="145">
        <f>B124+B146+B153+B156+B160+B163+B166+B169+B172</f>
        <v>21</v>
      </c>
      <c r="C123" s="99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45"/>
      <c r="AA123" s="63"/>
      <c r="AB123" s="63"/>
    </row>
    <row r="124" spans="1:28" ht="15.75" x14ac:dyDescent="0.25">
      <c r="A124" s="57" t="s">
        <v>8</v>
      </c>
      <c r="B124" s="145">
        <f>B125+B132+B135+B139</f>
        <v>21</v>
      </c>
      <c r="C124" s="99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45"/>
      <c r="AA124" s="63"/>
      <c r="AB124" s="63"/>
    </row>
    <row r="125" spans="1:28" ht="15.75" x14ac:dyDescent="0.25">
      <c r="A125" s="55" t="s">
        <v>9</v>
      </c>
      <c r="B125" s="145">
        <f>B126+B129</f>
        <v>21</v>
      </c>
      <c r="C125" s="99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45"/>
      <c r="AA125" s="63"/>
      <c r="AB125" s="63"/>
    </row>
    <row r="126" spans="1:28" ht="15.75" x14ac:dyDescent="0.25">
      <c r="A126" s="55" t="s">
        <v>264</v>
      </c>
      <c r="B126" s="145">
        <f>B127+B128</f>
        <v>21</v>
      </c>
      <c r="C126" s="99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45"/>
      <c r="AA126" s="63"/>
      <c r="AB126" s="63"/>
    </row>
    <row r="127" spans="1:28" ht="15.75" x14ac:dyDescent="0.25">
      <c r="A127" s="55" t="s">
        <v>265</v>
      </c>
      <c r="B127" s="146">
        <v>21</v>
      </c>
      <c r="C127" s="99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45"/>
      <c r="AA127" s="63"/>
      <c r="AB127" s="63"/>
    </row>
    <row r="128" spans="1:28" ht="15.75" x14ac:dyDescent="0.25">
      <c r="A128" s="55" t="s">
        <v>266</v>
      </c>
      <c r="B128" s="146"/>
      <c r="C128" s="99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45"/>
      <c r="AA128" s="63"/>
      <c r="AB128" s="63"/>
    </row>
    <row r="129" spans="1:28" ht="15.75" x14ac:dyDescent="0.25">
      <c r="A129" s="55" t="s">
        <v>267</v>
      </c>
      <c r="B129" s="145">
        <f>B130+B131</f>
        <v>0</v>
      </c>
      <c r="C129" s="99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45"/>
      <c r="AA129" s="63"/>
      <c r="AB129" s="63"/>
    </row>
    <row r="130" spans="1:28" ht="15.75" x14ac:dyDescent="0.25">
      <c r="A130" s="55" t="s">
        <v>268</v>
      </c>
      <c r="B130" s="146"/>
      <c r="C130" s="99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45"/>
      <c r="AA130" s="63"/>
      <c r="AB130" s="63"/>
    </row>
    <row r="131" spans="1:28" ht="15.75" x14ac:dyDescent="0.25">
      <c r="A131" s="55" t="s">
        <v>269</v>
      </c>
      <c r="B131" s="146"/>
      <c r="C131" s="99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45"/>
      <c r="AA131" s="63"/>
      <c r="AB131" s="63"/>
    </row>
    <row r="132" spans="1:28" ht="15.75" x14ac:dyDescent="0.25">
      <c r="A132" s="55" t="s">
        <v>10</v>
      </c>
      <c r="B132" s="145">
        <f>B133+B134</f>
        <v>0</v>
      </c>
      <c r="C132" s="99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45"/>
      <c r="AA132" s="63"/>
      <c r="AB132" s="63"/>
    </row>
    <row r="133" spans="1:28" ht="15.75" x14ac:dyDescent="0.25">
      <c r="A133" s="55" t="s">
        <v>74</v>
      </c>
      <c r="B133" s="146"/>
      <c r="C133" s="99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45"/>
      <c r="AA133" s="63"/>
      <c r="AB133" s="63"/>
    </row>
    <row r="134" spans="1:28" ht="15.75" x14ac:dyDescent="0.25">
      <c r="A134" s="55" t="s">
        <v>203</v>
      </c>
      <c r="B134" s="146"/>
      <c r="C134" s="99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45"/>
      <c r="AA134" s="63"/>
      <c r="AB134" s="63"/>
    </row>
    <row r="135" spans="1:28" ht="15.75" x14ac:dyDescent="0.25">
      <c r="A135" s="55" t="s">
        <v>11</v>
      </c>
      <c r="B135" s="145">
        <f>B136+B137</f>
        <v>0</v>
      </c>
      <c r="C135" s="99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45"/>
      <c r="AA135" s="63"/>
      <c r="AB135" s="63"/>
    </row>
    <row r="136" spans="1:28" ht="15.75" x14ac:dyDescent="0.25">
      <c r="A136" s="55" t="s">
        <v>75</v>
      </c>
      <c r="B136" s="146"/>
      <c r="C136" s="99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45"/>
      <c r="AA136" s="63"/>
      <c r="AB136" s="63"/>
    </row>
    <row r="137" spans="1:28" ht="15.75" x14ac:dyDescent="0.25">
      <c r="A137" s="55" t="s">
        <v>204</v>
      </c>
      <c r="B137" s="146"/>
      <c r="C137" s="99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45"/>
      <c r="AA137" s="63"/>
      <c r="AB137" s="63"/>
    </row>
    <row r="138" spans="1:28" ht="15.75" x14ac:dyDescent="0.25">
      <c r="A138" s="55" t="s">
        <v>321</v>
      </c>
      <c r="B138" s="148"/>
      <c r="C138" s="99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45"/>
      <c r="AA138" s="63"/>
      <c r="AB138" s="63"/>
    </row>
    <row r="139" spans="1:28" ht="15.75" x14ac:dyDescent="0.25">
      <c r="A139" s="55" t="s">
        <v>322</v>
      </c>
      <c r="B139" s="145">
        <f>B140+B143</f>
        <v>0</v>
      </c>
      <c r="C139" s="99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45"/>
      <c r="AA139" s="63"/>
      <c r="AB139" s="63"/>
    </row>
    <row r="140" spans="1:28" ht="15.75" x14ac:dyDescent="0.25">
      <c r="A140" s="55" t="s">
        <v>150</v>
      </c>
      <c r="B140" s="145">
        <f>B141+B142</f>
        <v>0</v>
      </c>
      <c r="C140" s="99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45"/>
      <c r="AA140" s="63"/>
      <c r="AB140" s="63"/>
    </row>
    <row r="141" spans="1:28" ht="15.75" x14ac:dyDescent="0.25">
      <c r="A141" s="55" t="s">
        <v>151</v>
      </c>
      <c r="B141" s="146"/>
      <c r="C141" s="99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45"/>
      <c r="AA141" s="63"/>
      <c r="AB141" s="63"/>
    </row>
    <row r="142" spans="1:28" ht="15.75" x14ac:dyDescent="0.25">
      <c r="A142" s="55" t="s">
        <v>252</v>
      </c>
      <c r="B142" s="146"/>
      <c r="C142" s="99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45"/>
      <c r="AA142" s="63"/>
      <c r="AB142" s="63"/>
    </row>
    <row r="143" spans="1:28" ht="15.75" x14ac:dyDescent="0.25">
      <c r="A143" s="55" t="s">
        <v>152</v>
      </c>
      <c r="B143" s="145">
        <f>B144+B145</f>
        <v>0</v>
      </c>
      <c r="C143" s="99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45"/>
      <c r="AA143" s="63"/>
      <c r="AB143" s="63"/>
    </row>
    <row r="144" spans="1:28" ht="15.75" x14ac:dyDescent="0.25">
      <c r="A144" s="55" t="s">
        <v>153</v>
      </c>
      <c r="B144" s="146"/>
      <c r="C144" s="99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45"/>
      <c r="AA144" s="63"/>
      <c r="AB144" s="63"/>
    </row>
    <row r="145" spans="1:28" ht="15.75" x14ac:dyDescent="0.25">
      <c r="A145" s="55" t="s">
        <v>205</v>
      </c>
      <c r="B145" s="146"/>
      <c r="C145" s="99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45"/>
      <c r="AA145" s="63"/>
      <c r="AB145" s="63"/>
    </row>
    <row r="146" spans="1:28" ht="15.75" x14ac:dyDescent="0.25">
      <c r="A146" s="57" t="s">
        <v>76</v>
      </c>
      <c r="B146" s="145">
        <f>B147+B150</f>
        <v>0</v>
      </c>
      <c r="C146" s="99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45"/>
      <c r="AA146" s="63"/>
      <c r="AB146" s="63"/>
    </row>
    <row r="147" spans="1:28" ht="15.75" x14ac:dyDescent="0.25">
      <c r="A147" s="2" t="s">
        <v>77</v>
      </c>
      <c r="B147" s="145">
        <f>B148+B149</f>
        <v>0</v>
      </c>
      <c r="C147" s="99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45"/>
      <c r="AA147" s="63"/>
      <c r="AB147" s="63"/>
    </row>
    <row r="148" spans="1:28" ht="15.75" x14ac:dyDescent="0.25">
      <c r="A148" s="2" t="s">
        <v>78</v>
      </c>
      <c r="B148" s="146"/>
      <c r="C148" s="99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45"/>
      <c r="AA148" s="63"/>
      <c r="AB148" s="63"/>
    </row>
    <row r="149" spans="1:28" ht="15.75" x14ac:dyDescent="0.25">
      <c r="A149" s="2" t="s">
        <v>206</v>
      </c>
      <c r="B149" s="146"/>
      <c r="C149" s="99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45"/>
      <c r="AA149" s="63"/>
      <c r="AB149" s="63"/>
    </row>
    <row r="150" spans="1:28" ht="15.75" x14ac:dyDescent="0.25">
      <c r="A150" s="2" t="s">
        <v>79</v>
      </c>
      <c r="B150" s="145">
        <f>B151+B152</f>
        <v>0</v>
      </c>
      <c r="C150" s="99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45"/>
      <c r="AA150" s="63"/>
      <c r="AB150" s="63"/>
    </row>
    <row r="151" spans="1:28" ht="15.75" x14ac:dyDescent="0.25">
      <c r="A151" s="2" t="s">
        <v>80</v>
      </c>
      <c r="B151" s="146"/>
      <c r="C151" s="99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45"/>
      <c r="AA151" s="63"/>
      <c r="AB151" s="63"/>
    </row>
    <row r="152" spans="1:28" ht="15.75" x14ac:dyDescent="0.25">
      <c r="A152" s="55" t="s">
        <v>207</v>
      </c>
      <c r="B152" s="146"/>
      <c r="C152" s="99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45"/>
      <c r="AA152" s="63"/>
      <c r="AB152" s="63"/>
    </row>
    <row r="153" spans="1:28" ht="15.75" x14ac:dyDescent="0.25">
      <c r="A153" s="57" t="s">
        <v>81</v>
      </c>
      <c r="B153" s="145">
        <f>B154+B155</f>
        <v>0</v>
      </c>
      <c r="C153" s="99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45"/>
      <c r="AA153" s="63"/>
      <c r="AB153" s="63"/>
    </row>
    <row r="154" spans="1:28" ht="15.75" x14ac:dyDescent="0.25">
      <c r="A154" s="55" t="s">
        <v>82</v>
      </c>
      <c r="B154" s="146"/>
      <c r="C154" s="99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45"/>
      <c r="AA154" s="63"/>
      <c r="AB154" s="63"/>
    </row>
    <row r="155" spans="1:28" ht="15.75" x14ac:dyDescent="0.25">
      <c r="A155" s="55" t="s">
        <v>208</v>
      </c>
      <c r="B155" s="146"/>
      <c r="C155" s="99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45"/>
      <c r="AA155" s="63"/>
      <c r="AB155" s="63"/>
    </row>
    <row r="156" spans="1:28" ht="15.75" x14ac:dyDescent="0.25">
      <c r="A156" s="57" t="s">
        <v>12</v>
      </c>
      <c r="B156" s="145">
        <f>B157</f>
        <v>0</v>
      </c>
      <c r="C156" s="99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45"/>
      <c r="AA156" s="63"/>
      <c r="AB156" s="63"/>
    </row>
    <row r="157" spans="1:28" ht="15.75" x14ac:dyDescent="0.25">
      <c r="A157" s="55" t="s">
        <v>83</v>
      </c>
      <c r="B157" s="145">
        <f>B158+B159</f>
        <v>0</v>
      </c>
      <c r="C157" s="99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45"/>
      <c r="AA157" s="63"/>
      <c r="AB157" s="63"/>
    </row>
    <row r="158" spans="1:28" ht="15.75" x14ac:dyDescent="0.25">
      <c r="A158" s="2" t="s">
        <v>84</v>
      </c>
      <c r="B158" s="146"/>
      <c r="C158" s="99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45"/>
      <c r="AA158" s="63"/>
      <c r="AB158" s="63"/>
    </row>
    <row r="159" spans="1:28" ht="15.75" x14ac:dyDescent="0.25">
      <c r="A159" s="2" t="s">
        <v>209</v>
      </c>
      <c r="B159" s="146"/>
      <c r="C159" s="99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45"/>
      <c r="AA159" s="63"/>
      <c r="AB159" s="63"/>
    </row>
    <row r="160" spans="1:28" ht="15.75" x14ac:dyDescent="0.25">
      <c r="A160" s="57" t="s">
        <v>233</v>
      </c>
      <c r="B160" s="145">
        <f>B161+B162</f>
        <v>0</v>
      </c>
      <c r="C160" s="99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45"/>
      <c r="AA160" s="63"/>
      <c r="AB160" s="63"/>
    </row>
    <row r="161" spans="1:28" ht="15.75" x14ac:dyDescent="0.25">
      <c r="A161" s="55" t="s">
        <v>281</v>
      </c>
      <c r="B161" s="146"/>
      <c r="C161" s="99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45"/>
      <c r="AA161" s="63"/>
      <c r="AB161" s="63"/>
    </row>
    <row r="162" spans="1:28" ht="15.75" x14ac:dyDescent="0.25">
      <c r="A162" s="55" t="s">
        <v>282</v>
      </c>
      <c r="B162" s="146"/>
      <c r="C162" s="99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45"/>
      <c r="AA162" s="63"/>
      <c r="AB162" s="63"/>
    </row>
    <row r="163" spans="1:28" ht="15.75" x14ac:dyDescent="0.25">
      <c r="A163" s="57" t="s">
        <v>13</v>
      </c>
      <c r="B163" s="145">
        <f>B164+B165</f>
        <v>0</v>
      </c>
      <c r="C163" s="99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45"/>
      <c r="AA163" s="63"/>
      <c r="AB163" s="63"/>
    </row>
    <row r="164" spans="1:28" ht="15.75" x14ac:dyDescent="0.25">
      <c r="A164" s="55" t="s">
        <v>85</v>
      </c>
      <c r="B164" s="146"/>
      <c r="C164" s="99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45"/>
      <c r="AA164" s="63"/>
      <c r="AB164" s="63"/>
    </row>
    <row r="165" spans="1:28" ht="15.75" x14ac:dyDescent="0.25">
      <c r="A165" s="55" t="s">
        <v>210</v>
      </c>
      <c r="B165" s="146"/>
      <c r="C165" s="99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45"/>
      <c r="AA165" s="63"/>
      <c r="AB165" s="63"/>
    </row>
    <row r="166" spans="1:28" ht="15.75" x14ac:dyDescent="0.25">
      <c r="A166" s="57" t="s">
        <v>14</v>
      </c>
      <c r="B166" s="145">
        <f>B167+B168</f>
        <v>0</v>
      </c>
      <c r="C166" s="99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45"/>
      <c r="AA166" s="63"/>
      <c r="AB166" s="63"/>
    </row>
    <row r="167" spans="1:28" ht="15.75" x14ac:dyDescent="0.25">
      <c r="A167" s="55" t="s">
        <v>253</v>
      </c>
      <c r="B167" s="146"/>
      <c r="C167" s="99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45"/>
      <c r="AA167" s="63"/>
      <c r="AB167" s="63"/>
    </row>
    <row r="168" spans="1:28" ht="15.75" x14ac:dyDescent="0.25">
      <c r="A168" s="55" t="s">
        <v>254</v>
      </c>
      <c r="B168" s="146"/>
      <c r="C168" s="99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45"/>
      <c r="AA168" s="63"/>
      <c r="AB168" s="63"/>
    </row>
    <row r="169" spans="1:28" ht="15.75" x14ac:dyDescent="0.25">
      <c r="A169" s="57" t="s">
        <v>323</v>
      </c>
      <c r="B169" s="145">
        <f>B170+B171</f>
        <v>0</v>
      </c>
      <c r="C169" s="99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45"/>
      <c r="AA169" s="63"/>
      <c r="AB169" s="63"/>
    </row>
    <row r="170" spans="1:28" ht="15.75" x14ac:dyDescent="0.25">
      <c r="A170" s="55" t="s">
        <v>255</v>
      </c>
      <c r="B170" s="146"/>
      <c r="C170" s="99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45"/>
      <c r="AA170" s="63"/>
      <c r="AB170" s="63"/>
    </row>
    <row r="171" spans="1:28" ht="15.75" x14ac:dyDescent="0.25">
      <c r="A171" s="55" t="s">
        <v>256</v>
      </c>
      <c r="B171" s="146"/>
      <c r="C171" s="99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45"/>
      <c r="AA171" s="63"/>
      <c r="AB171" s="63"/>
    </row>
    <row r="172" spans="1:28" ht="15.75" x14ac:dyDescent="0.25">
      <c r="A172" s="57" t="s">
        <v>234</v>
      </c>
      <c r="B172" s="145">
        <f>B174+B173</f>
        <v>0</v>
      </c>
      <c r="C172" s="99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45"/>
      <c r="AA172" s="63"/>
      <c r="AB172" s="63"/>
    </row>
    <row r="173" spans="1:28" ht="15.75" x14ac:dyDescent="0.25">
      <c r="A173" s="55" t="s">
        <v>235</v>
      </c>
      <c r="B173" s="147"/>
      <c r="C173" s="99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45"/>
      <c r="AA173" s="63"/>
      <c r="AB173" s="63"/>
    </row>
    <row r="174" spans="1:28" ht="15.75" x14ac:dyDescent="0.25">
      <c r="A174" s="55" t="s">
        <v>236</v>
      </c>
      <c r="B174" s="146"/>
      <c r="C174" s="99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45"/>
      <c r="AA174" s="63"/>
      <c r="AB174" s="63"/>
    </row>
    <row r="175" spans="1:28" ht="15.75" x14ac:dyDescent="0.25">
      <c r="A175" s="62" t="s">
        <v>86</v>
      </c>
      <c r="B175" s="148"/>
      <c r="C175" s="99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45"/>
      <c r="AA175" s="63"/>
      <c r="AB175" s="63"/>
    </row>
    <row r="176" spans="1:28" ht="15.75" x14ac:dyDescent="0.25">
      <c r="A176" s="81" t="s">
        <v>87</v>
      </c>
      <c r="B176" s="145">
        <f>B178+B177</f>
        <v>0</v>
      </c>
      <c r="C176" s="99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45"/>
      <c r="AA176" s="63"/>
      <c r="AB176" s="63"/>
    </row>
    <row r="177" spans="1:28" ht="15.75" x14ac:dyDescent="0.25">
      <c r="A177" s="55" t="s">
        <v>257</v>
      </c>
      <c r="B177" s="146"/>
      <c r="C177" s="99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45"/>
      <c r="AA177" s="63"/>
      <c r="AB177" s="63"/>
    </row>
    <row r="178" spans="1:28" ht="15.75" x14ac:dyDescent="0.25">
      <c r="A178" s="55" t="s">
        <v>258</v>
      </c>
      <c r="B178" s="146"/>
      <c r="C178" s="99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45"/>
      <c r="AA178" s="63"/>
      <c r="AB178" s="63"/>
    </row>
    <row r="179" spans="1:28" ht="15.75" x14ac:dyDescent="0.25">
      <c r="A179" s="62" t="s">
        <v>88</v>
      </c>
      <c r="B179" s="146"/>
      <c r="C179" s="99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45"/>
      <c r="AA179" s="63"/>
      <c r="AB179" s="63"/>
    </row>
    <row r="180" spans="1:28" ht="15.75" x14ac:dyDescent="0.25">
      <c r="A180" s="81" t="s">
        <v>15</v>
      </c>
      <c r="B180" s="145">
        <f>B181+B182</f>
        <v>0</v>
      </c>
      <c r="C180" s="99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45"/>
      <c r="AA180" s="63"/>
      <c r="AB180" s="63"/>
    </row>
    <row r="181" spans="1:28" ht="15.75" x14ac:dyDescent="0.25">
      <c r="A181" s="55" t="s">
        <v>16</v>
      </c>
      <c r="B181" s="146"/>
      <c r="C181" s="99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45"/>
      <c r="AA181" s="63"/>
      <c r="AB181" s="63"/>
    </row>
    <row r="182" spans="1:28" ht="15.75" x14ac:dyDescent="0.25">
      <c r="A182" s="55" t="s">
        <v>211</v>
      </c>
      <c r="B182" s="146"/>
      <c r="C182" s="99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45"/>
      <c r="AA182" s="63"/>
      <c r="AB182" s="63"/>
    </row>
    <row r="183" spans="1:28" ht="15.75" x14ac:dyDescent="0.25">
      <c r="A183" s="62" t="s">
        <v>124</v>
      </c>
      <c r="B183" s="146"/>
      <c r="C183" s="99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45"/>
      <c r="AA183" s="63"/>
      <c r="AB183" s="63"/>
    </row>
    <row r="184" spans="1:28" ht="15.75" x14ac:dyDescent="0.25">
      <c r="A184" s="62" t="s">
        <v>89</v>
      </c>
      <c r="B184" s="146"/>
      <c r="C184" s="99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45"/>
      <c r="AA184" s="63"/>
      <c r="AB184" s="63"/>
    </row>
    <row r="185" spans="1:28" ht="15.75" x14ac:dyDescent="0.25">
      <c r="A185" s="62" t="s">
        <v>285</v>
      </c>
      <c r="B185" s="159"/>
      <c r="C185" s="99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45"/>
      <c r="AA185" s="63"/>
      <c r="AB185" s="63"/>
    </row>
    <row r="186" spans="1:28" ht="15.75" x14ac:dyDescent="0.25">
      <c r="A186" s="81" t="s">
        <v>434</v>
      </c>
      <c r="B186" s="145">
        <f>B187</f>
        <v>0</v>
      </c>
      <c r="C186" s="99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45"/>
      <c r="AA186" s="63"/>
      <c r="AB186" s="63"/>
    </row>
    <row r="187" spans="1:28" ht="15.75" x14ac:dyDescent="0.25">
      <c r="A187" s="55" t="s">
        <v>435</v>
      </c>
      <c r="B187" s="159"/>
      <c r="C187" s="99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45"/>
      <c r="AA187" s="63"/>
      <c r="AB187" s="63"/>
    </row>
    <row r="188" spans="1:28" ht="15.75" x14ac:dyDescent="0.25">
      <c r="A188" s="81" t="s">
        <v>436</v>
      </c>
      <c r="B188" s="145">
        <f>SUM(B189:B191)</f>
        <v>0</v>
      </c>
      <c r="C188" s="99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45"/>
      <c r="AA188" s="63"/>
      <c r="AB188" s="63"/>
    </row>
    <row r="189" spans="1:28" ht="15.75" x14ac:dyDescent="0.25">
      <c r="A189" s="55" t="s">
        <v>324</v>
      </c>
      <c r="B189" s="146"/>
      <c r="C189" s="99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45"/>
      <c r="AA189" s="63"/>
      <c r="AB189" s="63"/>
    </row>
    <row r="190" spans="1:28" ht="15.75" x14ac:dyDescent="0.25">
      <c r="A190" s="55" t="s">
        <v>437</v>
      </c>
      <c r="B190" s="146"/>
      <c r="C190" s="99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45"/>
      <c r="AA190" s="63"/>
      <c r="AB190" s="63"/>
    </row>
    <row r="191" spans="1:28" ht="15.75" x14ac:dyDescent="0.25">
      <c r="A191" s="55" t="s">
        <v>438</v>
      </c>
      <c r="B191" s="146"/>
      <c r="C191" s="99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45"/>
      <c r="AA191" s="63"/>
      <c r="AB191" s="63"/>
    </row>
    <row r="192" spans="1:28" ht="15.75" x14ac:dyDescent="0.25">
      <c r="A192" s="81" t="s">
        <v>439</v>
      </c>
      <c r="B192" s="145">
        <f>SUM(B193:B195)</f>
        <v>0</v>
      </c>
      <c r="C192" s="99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45"/>
      <c r="AA192" s="63"/>
      <c r="AB192" s="63"/>
    </row>
    <row r="193" spans="1:28" ht="15.75" x14ac:dyDescent="0.25">
      <c r="A193" s="55" t="s">
        <v>440</v>
      </c>
      <c r="B193" s="146"/>
      <c r="C193" s="99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45"/>
      <c r="AA193" s="63"/>
      <c r="AB193" s="63"/>
    </row>
    <row r="194" spans="1:28" ht="15.75" x14ac:dyDescent="0.25">
      <c r="A194" s="55" t="s">
        <v>441</v>
      </c>
      <c r="B194" s="146"/>
      <c r="C194" s="99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45"/>
      <c r="AA194" s="63"/>
      <c r="AB194" s="63"/>
    </row>
    <row r="195" spans="1:28" ht="15.75" x14ac:dyDescent="0.25">
      <c r="A195" s="55" t="s">
        <v>442</v>
      </c>
      <c r="B195" s="146"/>
      <c r="C195" s="99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45"/>
      <c r="AA195" s="63"/>
      <c r="AB195" s="63"/>
    </row>
    <row r="196" spans="1:28" ht="15.75" x14ac:dyDescent="0.25">
      <c r="A196" s="62" t="s">
        <v>90</v>
      </c>
      <c r="B196" s="145"/>
      <c r="C196" s="99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45"/>
      <c r="AA196" s="63"/>
      <c r="AB196" s="63"/>
    </row>
    <row r="197" spans="1:28" ht="15.75" x14ac:dyDescent="0.25">
      <c r="A197" s="57" t="s">
        <v>91</v>
      </c>
      <c r="B197" s="145">
        <f>B198+B199+B200</f>
        <v>0</v>
      </c>
      <c r="C197" s="99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45"/>
      <c r="AA197" s="63"/>
      <c r="AB197" s="63"/>
    </row>
    <row r="198" spans="1:28" ht="15.75" x14ac:dyDescent="0.25">
      <c r="A198" s="55" t="s">
        <v>92</v>
      </c>
      <c r="B198" s="146"/>
      <c r="C198" s="99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45"/>
      <c r="AA198" s="63"/>
      <c r="AB198" s="63"/>
    </row>
    <row r="199" spans="1:28" ht="15.75" x14ac:dyDescent="0.25">
      <c r="A199" s="55" t="s">
        <v>93</v>
      </c>
      <c r="B199" s="146"/>
      <c r="C199" s="99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45"/>
      <c r="AA199" s="63"/>
      <c r="AB199" s="63"/>
    </row>
    <row r="200" spans="1:28" ht="15.75" x14ac:dyDescent="0.25">
      <c r="A200" s="55" t="s">
        <v>94</v>
      </c>
      <c r="B200" s="146"/>
      <c r="C200" s="99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45"/>
      <c r="AA200" s="63"/>
      <c r="AB200" s="63"/>
    </row>
    <row r="201" spans="1:28" ht="15.75" x14ac:dyDescent="0.25">
      <c r="A201" s="57" t="s">
        <v>95</v>
      </c>
      <c r="B201" s="145">
        <f>B202+B203+B204+B205</f>
        <v>0</v>
      </c>
      <c r="C201" s="99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45"/>
      <c r="AA201" s="63"/>
      <c r="AB201" s="63"/>
    </row>
    <row r="202" spans="1:28" ht="15.75" x14ac:dyDescent="0.25">
      <c r="A202" s="55" t="s">
        <v>96</v>
      </c>
      <c r="B202" s="146"/>
      <c r="C202" s="99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45"/>
      <c r="AA202" s="63"/>
      <c r="AB202" s="63"/>
    </row>
    <row r="203" spans="1:28" ht="15.75" customHeight="1" x14ac:dyDescent="0.25">
      <c r="A203" s="55" t="s">
        <v>98</v>
      </c>
      <c r="B203" s="146"/>
      <c r="C203" s="99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45"/>
      <c r="AA203" s="63"/>
      <c r="AB203" s="63"/>
    </row>
    <row r="204" spans="1:28" ht="12.75" customHeight="1" x14ac:dyDescent="0.25">
      <c r="A204" s="55" t="s">
        <v>97</v>
      </c>
      <c r="B204" s="146"/>
      <c r="C204" s="99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45"/>
      <c r="AA204" s="63"/>
      <c r="AB204" s="63"/>
    </row>
    <row r="205" spans="1:28" ht="26.25" x14ac:dyDescent="0.25">
      <c r="A205" s="55" t="s">
        <v>99</v>
      </c>
      <c r="B205" s="146"/>
      <c r="C205" s="99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45"/>
      <c r="AA205" s="63"/>
      <c r="AB205" s="63"/>
    </row>
    <row r="206" spans="1:28" ht="15.75" x14ac:dyDescent="0.25">
      <c r="A206" s="57" t="s">
        <v>100</v>
      </c>
      <c r="B206" s="145">
        <f>B207+B208+B209+B210</f>
        <v>0</v>
      </c>
      <c r="C206" s="99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45"/>
      <c r="AA206" s="63"/>
      <c r="AB206" s="63"/>
    </row>
    <row r="207" spans="1:28" ht="18.75" customHeight="1" x14ac:dyDescent="0.25">
      <c r="A207" s="55" t="s">
        <v>101</v>
      </c>
      <c r="B207" s="146"/>
      <c r="C207" s="99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45"/>
      <c r="AA207" s="63"/>
      <c r="AB207" s="63"/>
    </row>
    <row r="208" spans="1:28" ht="15.75" x14ac:dyDescent="0.25">
      <c r="A208" s="55" t="s">
        <v>102</v>
      </c>
      <c r="B208" s="146"/>
      <c r="C208" s="99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45"/>
      <c r="AA208" s="63"/>
      <c r="AB208" s="63"/>
    </row>
    <row r="209" spans="1:28" ht="15.75" customHeight="1" x14ac:dyDescent="0.25">
      <c r="A209" s="55" t="s">
        <v>103</v>
      </c>
      <c r="B209" s="146"/>
      <c r="C209" s="99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45"/>
      <c r="AA209" s="63"/>
      <c r="AB209" s="63"/>
    </row>
    <row r="210" spans="1:28" ht="26.25" x14ac:dyDescent="0.25">
      <c r="A210" s="55" t="s">
        <v>104</v>
      </c>
      <c r="B210" s="146"/>
      <c r="C210" s="99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45"/>
      <c r="AA210" s="63"/>
      <c r="AB210" s="63"/>
    </row>
    <row r="211" spans="1:28" ht="15.75" x14ac:dyDescent="0.25">
      <c r="A211" s="57" t="s">
        <v>105</v>
      </c>
      <c r="B211" s="145">
        <f>B212+B215+B218+B221</f>
        <v>0</v>
      </c>
      <c r="C211" s="99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45"/>
      <c r="AA211" s="63"/>
      <c r="AB211" s="63"/>
    </row>
    <row r="212" spans="1:28" ht="15.75" x14ac:dyDescent="0.25">
      <c r="A212" s="55" t="s">
        <v>106</v>
      </c>
      <c r="B212" s="145">
        <f>B213+B214</f>
        <v>0</v>
      </c>
      <c r="C212" s="99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45"/>
      <c r="AA212" s="63"/>
      <c r="AB212" s="63"/>
    </row>
    <row r="213" spans="1:28" ht="15.75" x14ac:dyDescent="0.25">
      <c r="A213" s="55" t="s">
        <v>107</v>
      </c>
      <c r="B213" s="146"/>
      <c r="C213" s="99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45"/>
      <c r="AA213" s="63"/>
      <c r="AB213" s="63"/>
    </row>
    <row r="214" spans="1:28" ht="15.75" x14ac:dyDescent="0.25">
      <c r="A214" s="55" t="s">
        <v>259</v>
      </c>
      <c r="B214" s="146"/>
      <c r="C214" s="99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45"/>
      <c r="AA214" s="63"/>
      <c r="AB214" s="63"/>
    </row>
    <row r="215" spans="1:28" ht="15.75" x14ac:dyDescent="0.25">
      <c r="A215" s="55" t="s">
        <v>108</v>
      </c>
      <c r="B215" s="145">
        <f>B216+B217</f>
        <v>0</v>
      </c>
      <c r="C215" s="99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45"/>
      <c r="AA215" s="63"/>
      <c r="AB215" s="63"/>
    </row>
    <row r="216" spans="1:28" ht="15.75" x14ac:dyDescent="0.25">
      <c r="A216" s="55" t="s">
        <v>111</v>
      </c>
      <c r="B216" s="146"/>
      <c r="C216" s="99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45"/>
      <c r="AA216" s="63"/>
      <c r="AB216" s="63"/>
    </row>
    <row r="217" spans="1:28" ht="15.75" x14ac:dyDescent="0.25">
      <c r="A217" s="55" t="s">
        <v>212</v>
      </c>
      <c r="B217" s="146"/>
      <c r="C217" s="99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45"/>
      <c r="AA217" s="63"/>
      <c r="AB217" s="63"/>
    </row>
    <row r="218" spans="1:28" ht="15.75" customHeight="1" x14ac:dyDescent="0.25">
      <c r="A218" s="55" t="s">
        <v>109</v>
      </c>
      <c r="B218" s="145">
        <f>B219+B220</f>
        <v>0</v>
      </c>
      <c r="C218" s="99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45"/>
      <c r="AA218" s="63"/>
      <c r="AB218" s="63"/>
    </row>
    <row r="219" spans="1:28" ht="15.75" x14ac:dyDescent="0.25">
      <c r="A219" s="55" t="s">
        <v>110</v>
      </c>
      <c r="B219" s="147"/>
      <c r="C219" s="99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45"/>
      <c r="AA219" s="63"/>
      <c r="AB219" s="63"/>
    </row>
    <row r="220" spans="1:28" ht="15.75" customHeight="1" x14ac:dyDescent="0.25">
      <c r="A220" s="55" t="s">
        <v>213</v>
      </c>
      <c r="B220" s="147"/>
      <c r="C220" s="99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45"/>
      <c r="AA220" s="63"/>
      <c r="AB220" s="63"/>
    </row>
    <row r="221" spans="1:28" ht="26.25" x14ac:dyDescent="0.25">
      <c r="A221" s="55" t="s">
        <v>112</v>
      </c>
      <c r="B221" s="145">
        <f>B222+B223</f>
        <v>0</v>
      </c>
      <c r="C221" s="99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45"/>
      <c r="AA221" s="63"/>
      <c r="AB221" s="63"/>
    </row>
    <row r="222" spans="1:28" ht="15.75" x14ac:dyDescent="0.25">
      <c r="A222" s="55" t="s">
        <v>113</v>
      </c>
      <c r="B222" s="146"/>
      <c r="C222" s="99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45"/>
      <c r="AA222" s="63"/>
      <c r="AB222" s="63"/>
    </row>
    <row r="223" spans="1:28" ht="15.75" x14ac:dyDescent="0.25">
      <c r="A223" s="55" t="s">
        <v>214</v>
      </c>
      <c r="B223" s="146"/>
      <c r="C223" s="99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45"/>
      <c r="AA223" s="63"/>
      <c r="AB223" s="63"/>
    </row>
    <row r="224" spans="1:28" ht="15.75" x14ac:dyDescent="0.25">
      <c r="A224" s="57" t="s">
        <v>114</v>
      </c>
      <c r="B224" s="145">
        <f>B225+B228+B231</f>
        <v>0</v>
      </c>
      <c r="C224" s="99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45"/>
      <c r="AA224" s="63"/>
      <c r="AB224" s="63"/>
    </row>
    <row r="225" spans="1:28" ht="15.75" x14ac:dyDescent="0.25">
      <c r="A225" s="55" t="s">
        <v>115</v>
      </c>
      <c r="B225" s="145">
        <f>B226+B227</f>
        <v>0</v>
      </c>
      <c r="C225" s="99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45"/>
      <c r="AA225" s="63"/>
      <c r="AB225" s="63"/>
    </row>
    <row r="226" spans="1:28" ht="15.75" x14ac:dyDescent="0.25">
      <c r="A226" s="55" t="s">
        <v>116</v>
      </c>
      <c r="B226" s="146"/>
      <c r="C226" s="99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45"/>
      <c r="AA226" s="63"/>
      <c r="AB226" s="63"/>
    </row>
    <row r="227" spans="1:28" ht="15.75" x14ac:dyDescent="0.25">
      <c r="A227" s="55" t="s">
        <v>215</v>
      </c>
      <c r="B227" s="146"/>
      <c r="C227" s="99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45"/>
      <c r="AA227" s="63"/>
      <c r="AB227" s="63"/>
    </row>
    <row r="228" spans="1:28" ht="15.75" x14ac:dyDescent="0.25">
      <c r="A228" s="55" t="s">
        <v>117</v>
      </c>
      <c r="B228" s="145">
        <f>B229+B230</f>
        <v>0</v>
      </c>
      <c r="C228" s="99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45"/>
      <c r="AA228" s="63"/>
      <c r="AB228" s="63"/>
    </row>
    <row r="229" spans="1:28" ht="15.75" x14ac:dyDescent="0.25">
      <c r="A229" s="55" t="s">
        <v>118</v>
      </c>
      <c r="B229" s="146"/>
      <c r="C229" s="99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45"/>
      <c r="AA229" s="63"/>
      <c r="AB229" s="63"/>
    </row>
    <row r="230" spans="1:28" ht="15.75" customHeight="1" x14ac:dyDescent="0.25">
      <c r="A230" s="55" t="s">
        <v>216</v>
      </c>
      <c r="B230" s="146"/>
      <c r="C230" s="99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45"/>
      <c r="AA230" s="63"/>
      <c r="AB230" s="63"/>
    </row>
    <row r="231" spans="1:28" ht="26.25" x14ac:dyDescent="0.25">
      <c r="A231" s="55" t="s">
        <v>119</v>
      </c>
      <c r="B231" s="145">
        <f>B232+B233</f>
        <v>0</v>
      </c>
      <c r="C231" s="99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45"/>
      <c r="AA231" s="63"/>
      <c r="AB231" s="63"/>
    </row>
    <row r="232" spans="1:28" ht="15.75" x14ac:dyDescent="0.25">
      <c r="A232" s="55" t="s">
        <v>120</v>
      </c>
      <c r="B232" s="146"/>
      <c r="C232" s="99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45"/>
      <c r="AA232" s="63"/>
      <c r="AB232" s="63"/>
    </row>
    <row r="233" spans="1:28" ht="15.75" x14ac:dyDescent="0.25">
      <c r="A233" s="55" t="s">
        <v>217</v>
      </c>
      <c r="B233" s="146"/>
      <c r="C233" s="99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45"/>
      <c r="AA233" s="63"/>
      <c r="AB233" s="63"/>
    </row>
    <row r="234" spans="1:28" ht="15.75" x14ac:dyDescent="0.25">
      <c r="A234" s="57" t="s">
        <v>121</v>
      </c>
      <c r="B234" s="145">
        <f>B235+B238+B241</f>
        <v>0</v>
      </c>
      <c r="C234" s="99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45"/>
      <c r="AA234" s="63"/>
      <c r="AB234" s="63"/>
    </row>
    <row r="235" spans="1:28" ht="15.75" x14ac:dyDescent="0.25">
      <c r="A235" s="55" t="s">
        <v>122</v>
      </c>
      <c r="B235" s="145">
        <f>B236+B237</f>
        <v>0</v>
      </c>
      <c r="C235" s="99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45"/>
      <c r="AA235" s="63"/>
      <c r="AB235" s="63"/>
    </row>
    <row r="236" spans="1:28" ht="15.75" x14ac:dyDescent="0.25">
      <c r="A236" s="55" t="s">
        <v>123</v>
      </c>
      <c r="B236" s="146"/>
      <c r="C236" s="99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45"/>
      <c r="AA236" s="63"/>
      <c r="AB236" s="63"/>
    </row>
    <row r="237" spans="1:28" ht="15.75" x14ac:dyDescent="0.25">
      <c r="A237" s="55" t="s">
        <v>218</v>
      </c>
      <c r="B237" s="146"/>
      <c r="C237" s="99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45"/>
      <c r="AA237" s="63"/>
      <c r="AB237" s="63"/>
    </row>
    <row r="238" spans="1:28" ht="15.75" x14ac:dyDescent="0.25">
      <c r="A238" s="55" t="s">
        <v>125</v>
      </c>
      <c r="B238" s="145">
        <f>B239+B240</f>
        <v>0</v>
      </c>
      <c r="C238" s="99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45"/>
      <c r="AA238" s="63"/>
      <c r="AB238" s="63"/>
    </row>
    <row r="239" spans="1:28" ht="15.75" x14ac:dyDescent="0.25">
      <c r="A239" s="55" t="s">
        <v>126</v>
      </c>
      <c r="B239" s="146"/>
      <c r="C239" s="99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45"/>
      <c r="AA239" s="63"/>
      <c r="AB239" s="63"/>
    </row>
    <row r="240" spans="1:28" ht="15.75" customHeight="1" x14ac:dyDescent="0.25">
      <c r="A240" s="55" t="s">
        <v>219</v>
      </c>
      <c r="B240" s="146"/>
      <c r="C240" s="99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45"/>
      <c r="AA240" s="63"/>
      <c r="AB240" s="63"/>
    </row>
    <row r="241" spans="1:28" ht="26.25" x14ac:dyDescent="0.25">
      <c r="A241" s="55" t="s">
        <v>127</v>
      </c>
      <c r="B241" s="145">
        <f>B242+B243</f>
        <v>0</v>
      </c>
      <c r="C241" s="99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45"/>
      <c r="AA241" s="63"/>
      <c r="AB241" s="63"/>
    </row>
    <row r="242" spans="1:28" ht="15.75" x14ac:dyDescent="0.25">
      <c r="A242" s="55" t="s">
        <v>128</v>
      </c>
      <c r="B242" s="146"/>
      <c r="C242" s="99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45"/>
      <c r="AA242" s="63"/>
      <c r="AB242" s="63"/>
    </row>
    <row r="243" spans="1:28" ht="15.75" x14ac:dyDescent="0.25">
      <c r="A243" s="55" t="s">
        <v>220</v>
      </c>
      <c r="B243" s="146"/>
      <c r="C243" s="99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45"/>
      <c r="AA243" s="63"/>
      <c r="AB243" s="63"/>
    </row>
    <row r="244" spans="1:28" ht="15.75" x14ac:dyDescent="0.25">
      <c r="A244" s="57" t="s">
        <v>284</v>
      </c>
      <c r="B244" s="146">
        <v>2</v>
      </c>
      <c r="C244" s="99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45"/>
      <c r="AA244" s="63"/>
      <c r="AB244" s="63"/>
    </row>
    <row r="245" spans="1:28" ht="15.75" x14ac:dyDescent="0.25">
      <c r="A245" s="58" t="s">
        <v>129</v>
      </c>
      <c r="B245" s="145">
        <f>B246+B247</f>
        <v>14</v>
      </c>
      <c r="C245" s="99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45"/>
      <c r="AA245" s="63"/>
      <c r="AB245" s="63"/>
    </row>
    <row r="246" spans="1:28" ht="15.75" x14ac:dyDescent="0.25">
      <c r="A246" s="55" t="s">
        <v>260</v>
      </c>
      <c r="B246" s="146">
        <v>14</v>
      </c>
      <c r="C246" s="99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45"/>
      <c r="AA246" s="63"/>
      <c r="AB246" s="63"/>
    </row>
    <row r="247" spans="1:28" ht="15.75" x14ac:dyDescent="0.25">
      <c r="A247" s="55" t="s">
        <v>261</v>
      </c>
      <c r="B247" s="146"/>
      <c r="C247" s="99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45"/>
      <c r="AA247" s="63"/>
      <c r="AB247" s="63"/>
    </row>
    <row r="248" spans="1:28" ht="15.75" x14ac:dyDescent="0.25">
      <c r="A248" s="55" t="s">
        <v>130</v>
      </c>
      <c r="B248" s="145">
        <f>B249+B250</f>
        <v>0</v>
      </c>
      <c r="C248" s="99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45"/>
      <c r="AA248" s="63"/>
      <c r="AB248" s="63"/>
    </row>
    <row r="249" spans="1:28" ht="15.75" x14ac:dyDescent="0.25">
      <c r="A249" s="55" t="s">
        <v>262</v>
      </c>
      <c r="B249" s="146"/>
      <c r="C249" s="99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45"/>
      <c r="AA249" s="63"/>
      <c r="AB249" s="63"/>
    </row>
    <row r="250" spans="1:28" ht="15.75" x14ac:dyDescent="0.25">
      <c r="A250" s="55" t="s">
        <v>263</v>
      </c>
      <c r="B250" s="146"/>
      <c r="C250" s="99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45"/>
      <c r="AA250" s="63"/>
      <c r="AB250" s="63"/>
    </row>
    <row r="251" spans="1:28" ht="15.75" x14ac:dyDescent="0.25">
      <c r="A251" s="62" t="s">
        <v>325</v>
      </c>
      <c r="B251" s="149"/>
      <c r="C251" s="99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45"/>
      <c r="AA251" s="63"/>
      <c r="AB251" s="63"/>
    </row>
    <row r="252" spans="1:28" ht="15.75" x14ac:dyDescent="0.25">
      <c r="A252" s="62" t="s">
        <v>326</v>
      </c>
      <c r="B252" s="149"/>
      <c r="C252" s="99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45"/>
      <c r="AA252" s="63"/>
      <c r="AB252" s="63"/>
    </row>
    <row r="253" spans="1:28" ht="15.75" x14ac:dyDescent="0.25">
      <c r="A253" s="62" t="s">
        <v>327</v>
      </c>
      <c r="B253" s="145">
        <f>B254+B255+B256+B257+B258+B259+B260+B261+B262</f>
        <v>0</v>
      </c>
      <c r="C253" s="99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45"/>
      <c r="AA253" s="63"/>
      <c r="AB253" s="63"/>
    </row>
    <row r="254" spans="1:28" ht="18.75" customHeight="1" x14ac:dyDescent="0.25">
      <c r="A254" s="55" t="s">
        <v>329</v>
      </c>
      <c r="B254" s="146"/>
      <c r="C254" s="99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45"/>
      <c r="AA254" s="63"/>
      <c r="AB254" s="63"/>
    </row>
    <row r="255" spans="1:28" ht="15.75" x14ac:dyDescent="0.25">
      <c r="A255" s="55" t="s">
        <v>328</v>
      </c>
      <c r="B255" s="146"/>
      <c r="C255" s="99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45"/>
      <c r="AA255" s="63"/>
      <c r="AB255" s="63"/>
    </row>
    <row r="256" spans="1:28" ht="15.75" customHeight="1" x14ac:dyDescent="0.25">
      <c r="A256" s="55" t="s">
        <v>330</v>
      </c>
      <c r="B256" s="146"/>
      <c r="C256" s="99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45"/>
      <c r="AA256" s="63"/>
      <c r="AB256" s="63"/>
    </row>
    <row r="257" spans="1:28" ht="15.75" x14ac:dyDescent="0.25">
      <c r="A257" s="55" t="s">
        <v>331</v>
      </c>
      <c r="B257" s="146"/>
      <c r="C257" s="99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45"/>
      <c r="AA257" s="63"/>
      <c r="AB257" s="63"/>
    </row>
    <row r="258" spans="1:28" ht="15.75" x14ac:dyDescent="0.25">
      <c r="A258" s="55" t="s">
        <v>332</v>
      </c>
      <c r="B258" s="146"/>
      <c r="C258" s="99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45"/>
      <c r="AA258" s="63"/>
      <c r="AB258" s="63"/>
    </row>
    <row r="259" spans="1:28" ht="15.75" x14ac:dyDescent="0.25">
      <c r="A259" s="55" t="s">
        <v>333</v>
      </c>
      <c r="B259" s="146"/>
      <c r="C259" s="99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45"/>
      <c r="AA259" s="63"/>
      <c r="AB259" s="63"/>
    </row>
    <row r="260" spans="1:28" ht="15.75" x14ac:dyDescent="0.25">
      <c r="A260" s="55" t="s">
        <v>334</v>
      </c>
      <c r="B260" s="146"/>
      <c r="C260" s="99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45"/>
      <c r="AA260" s="63"/>
      <c r="AB260" s="63"/>
    </row>
    <row r="261" spans="1:28" ht="15.75" x14ac:dyDescent="0.25">
      <c r="A261" s="55" t="s">
        <v>335</v>
      </c>
      <c r="B261" s="146"/>
      <c r="C261" s="99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45"/>
      <c r="AA261" s="63"/>
      <c r="AB261" s="63"/>
    </row>
    <row r="262" spans="1:28" ht="15.75" x14ac:dyDescent="0.25">
      <c r="A262" s="55" t="s">
        <v>336</v>
      </c>
      <c r="B262" s="146"/>
      <c r="C262" s="99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45"/>
      <c r="AA262" s="63"/>
      <c r="AB262" s="63"/>
    </row>
    <row r="263" spans="1:28" ht="15.75" x14ac:dyDescent="0.25">
      <c r="A263" s="76" t="s">
        <v>337</v>
      </c>
      <c r="B263" s="151"/>
      <c r="C263" s="99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45"/>
      <c r="AA263" s="63"/>
      <c r="AB263" s="63"/>
    </row>
    <row r="264" spans="1:28" ht="15.75" x14ac:dyDescent="0.25">
      <c r="A264" s="57" t="s">
        <v>131</v>
      </c>
      <c r="B264" s="150">
        <f>B265+B266+B267+B268</f>
        <v>0</v>
      </c>
      <c r="C264" s="99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45"/>
      <c r="AA264" s="63"/>
      <c r="AB264" s="63"/>
    </row>
    <row r="265" spans="1:28" ht="15.75" x14ac:dyDescent="0.25">
      <c r="A265" s="55" t="s">
        <v>132</v>
      </c>
      <c r="B265" s="146"/>
      <c r="C265" s="99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45"/>
      <c r="AA265" s="63"/>
      <c r="AB265" s="63"/>
    </row>
    <row r="266" spans="1:28" ht="15.75" x14ac:dyDescent="0.25">
      <c r="A266" s="55" t="s">
        <v>133</v>
      </c>
      <c r="B266" s="146"/>
      <c r="C266" s="99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45"/>
      <c r="AA266" s="63"/>
      <c r="AB266" s="63"/>
    </row>
    <row r="267" spans="1:28" ht="15.75" x14ac:dyDescent="0.25">
      <c r="A267" s="55" t="s">
        <v>134</v>
      </c>
      <c r="B267" s="146"/>
      <c r="C267" s="99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45"/>
      <c r="AA267" s="63"/>
      <c r="AB267" s="63"/>
    </row>
    <row r="268" spans="1:28" ht="26.25" x14ac:dyDescent="0.25">
      <c r="A268" s="58" t="s">
        <v>154</v>
      </c>
      <c r="B268" s="146"/>
      <c r="C268" s="99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45"/>
      <c r="AA268" s="63"/>
      <c r="AB268" s="63"/>
    </row>
    <row r="269" spans="1:28" ht="15.75" x14ac:dyDescent="0.25">
      <c r="A269" s="57" t="s">
        <v>338</v>
      </c>
      <c r="B269" s="146"/>
      <c r="C269" s="99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45"/>
      <c r="AA269" s="63"/>
      <c r="AB269" s="63"/>
    </row>
    <row r="270" spans="1:28" ht="15.75" x14ac:dyDescent="0.25">
      <c r="A270" s="76" t="s">
        <v>17</v>
      </c>
      <c r="B270" s="151"/>
      <c r="C270" s="99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45"/>
      <c r="AA270" s="63"/>
      <c r="AB270" s="63"/>
    </row>
    <row r="271" spans="1:28" ht="15.75" x14ac:dyDescent="0.25">
      <c r="A271" s="59" t="s">
        <v>135</v>
      </c>
      <c r="B271" s="152"/>
      <c r="C271" s="99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45"/>
      <c r="AA271" s="63"/>
      <c r="AB271" s="63"/>
    </row>
    <row r="272" spans="1:28" ht="15.75" x14ac:dyDescent="0.25">
      <c r="A272" s="59" t="s">
        <v>225</v>
      </c>
      <c r="B272" s="146"/>
      <c r="C272" s="99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45"/>
      <c r="AA272" s="63"/>
      <c r="AB272" s="63"/>
    </row>
    <row r="273" spans="1:28" ht="15.75" x14ac:dyDescent="0.25">
      <c r="A273" s="59" t="s">
        <v>226</v>
      </c>
      <c r="B273" s="146"/>
      <c r="C273" s="99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45"/>
      <c r="AA273" s="63"/>
      <c r="AB273" s="63"/>
    </row>
    <row r="274" spans="1:28" ht="15.75" x14ac:dyDescent="0.25">
      <c r="A274" s="59" t="s">
        <v>339</v>
      </c>
      <c r="B274" s="149"/>
      <c r="C274" s="99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45"/>
      <c r="AA274" s="63"/>
      <c r="AB274" s="63"/>
    </row>
    <row r="275" spans="1:28" ht="15.75" x14ac:dyDescent="0.25">
      <c r="A275" s="59" t="s">
        <v>340</v>
      </c>
      <c r="B275" s="149"/>
      <c r="C275" s="99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45"/>
      <c r="AA275" s="63"/>
      <c r="AB275" s="63"/>
    </row>
    <row r="276" spans="1:28" ht="15.75" x14ac:dyDescent="0.25">
      <c r="A276" s="76" t="s">
        <v>341</v>
      </c>
      <c r="B276" s="151"/>
      <c r="C276" s="99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45"/>
      <c r="AA276" s="63"/>
      <c r="AB276" s="63"/>
    </row>
    <row r="277" spans="1:28" ht="15.75" x14ac:dyDescent="0.25">
      <c r="A277" s="57" t="s">
        <v>342</v>
      </c>
      <c r="B277" s="145">
        <f>B278+B281</f>
        <v>0</v>
      </c>
      <c r="C277" s="99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45"/>
      <c r="AA277" s="63"/>
      <c r="AB277" s="63"/>
    </row>
    <row r="278" spans="1:28" ht="15.75" x14ac:dyDescent="0.25">
      <c r="A278" s="55" t="s">
        <v>346</v>
      </c>
      <c r="B278" s="145">
        <f>B279+B280</f>
        <v>0</v>
      </c>
      <c r="C278" s="99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45"/>
      <c r="AA278" s="63"/>
      <c r="AB278" s="63"/>
    </row>
    <row r="279" spans="1:28" ht="15.75" x14ac:dyDescent="0.25">
      <c r="A279" s="55" t="s">
        <v>347</v>
      </c>
      <c r="B279" s="146"/>
      <c r="C279" s="99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45"/>
      <c r="AA279" s="63"/>
      <c r="AB279" s="63"/>
    </row>
    <row r="280" spans="1:28" ht="15.75" x14ac:dyDescent="0.25">
      <c r="A280" s="55" t="s">
        <v>350</v>
      </c>
      <c r="B280" s="146"/>
      <c r="C280" s="99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45"/>
      <c r="AA280" s="63"/>
      <c r="AB280" s="63"/>
    </row>
    <row r="281" spans="1:28" ht="15.75" x14ac:dyDescent="0.25">
      <c r="A281" s="55" t="s">
        <v>348</v>
      </c>
      <c r="B281" s="145">
        <f>B282+B283</f>
        <v>0</v>
      </c>
      <c r="C281" s="99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45"/>
      <c r="AA281" s="63"/>
      <c r="AB281" s="63"/>
    </row>
    <row r="282" spans="1:28" ht="15.75" x14ac:dyDescent="0.25">
      <c r="A282" s="55" t="s">
        <v>349</v>
      </c>
      <c r="B282" s="146"/>
      <c r="C282" s="99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45"/>
      <c r="AA282" s="63"/>
      <c r="AB282" s="63"/>
    </row>
    <row r="283" spans="1:28" ht="15.75" x14ac:dyDescent="0.25">
      <c r="A283" s="55" t="s">
        <v>351</v>
      </c>
      <c r="B283" s="146"/>
      <c r="C283" s="99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45"/>
      <c r="AA283" s="63"/>
      <c r="AB283" s="63"/>
    </row>
    <row r="284" spans="1:28" ht="15.75" x14ac:dyDescent="0.25">
      <c r="A284" s="57" t="s">
        <v>345</v>
      </c>
      <c r="B284" s="145">
        <f>B285+B288</f>
        <v>0</v>
      </c>
      <c r="C284" s="99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45"/>
      <c r="AA284" s="63"/>
      <c r="AB284" s="63"/>
    </row>
    <row r="285" spans="1:28" ht="15.75" x14ac:dyDescent="0.25">
      <c r="A285" s="55" t="s">
        <v>352</v>
      </c>
      <c r="B285" s="145">
        <f>B286+B287</f>
        <v>0</v>
      </c>
      <c r="C285" s="99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45"/>
      <c r="AA285" s="63"/>
      <c r="AB285" s="63"/>
    </row>
    <row r="286" spans="1:28" ht="15.75" x14ac:dyDescent="0.25">
      <c r="A286" s="55" t="s">
        <v>343</v>
      </c>
      <c r="B286" s="146"/>
      <c r="C286" s="99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45"/>
      <c r="AA286" s="63"/>
      <c r="AB286" s="63"/>
    </row>
    <row r="287" spans="1:28" ht="15.75" x14ac:dyDescent="0.25">
      <c r="A287" s="55" t="s">
        <v>353</v>
      </c>
      <c r="B287" s="146"/>
      <c r="C287" s="99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45"/>
      <c r="AA287" s="63"/>
      <c r="AB287" s="63"/>
    </row>
    <row r="288" spans="1:28" ht="15.75" x14ac:dyDescent="0.25">
      <c r="A288" s="55" t="s">
        <v>354</v>
      </c>
      <c r="B288" s="145">
        <f>B289+B290</f>
        <v>0</v>
      </c>
      <c r="C288" s="99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45"/>
      <c r="AA288" s="63"/>
      <c r="AB288" s="63"/>
    </row>
    <row r="289" spans="1:28" ht="15.75" x14ac:dyDescent="0.25">
      <c r="A289" s="55" t="s">
        <v>344</v>
      </c>
      <c r="B289" s="146"/>
      <c r="C289" s="99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45"/>
      <c r="AA289" s="63"/>
      <c r="AB289" s="63"/>
    </row>
    <row r="290" spans="1:28" ht="15.75" x14ac:dyDescent="0.25">
      <c r="A290" s="55" t="s">
        <v>355</v>
      </c>
      <c r="B290" s="146"/>
      <c r="C290" s="99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45"/>
      <c r="AA290" s="63"/>
      <c r="AB290" s="63"/>
    </row>
    <row r="291" spans="1:28" ht="15.75" x14ac:dyDescent="0.25">
      <c r="A291" s="78" t="s">
        <v>18</v>
      </c>
      <c r="B291" s="155"/>
      <c r="C291" s="99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45"/>
      <c r="AA291" s="63"/>
      <c r="AB291" s="63"/>
    </row>
    <row r="292" spans="1:28" ht="15.75" x14ac:dyDescent="0.25">
      <c r="A292" s="79" t="s">
        <v>19</v>
      </c>
      <c r="B292" s="156"/>
      <c r="C292" s="99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45"/>
      <c r="AA292" s="63"/>
      <c r="AB292" s="63"/>
    </row>
    <row r="293" spans="1:28" ht="15.75" x14ac:dyDescent="0.25">
      <c r="A293" s="74" t="s">
        <v>20</v>
      </c>
      <c r="B293" s="153"/>
      <c r="C293" s="99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45"/>
      <c r="AA293" s="63"/>
      <c r="AB293" s="63"/>
    </row>
    <row r="294" spans="1:28" ht="15.75" x14ac:dyDescent="0.25">
      <c r="A294" s="80" t="s">
        <v>21</v>
      </c>
      <c r="B294" s="157"/>
      <c r="C294" s="99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45"/>
      <c r="AA294" s="63"/>
      <c r="AB294" s="63"/>
    </row>
    <row r="295" spans="1:28" ht="15.75" x14ac:dyDescent="0.25">
      <c r="A295" s="75" t="s">
        <v>137</v>
      </c>
      <c r="B295" s="154"/>
      <c r="C295" s="99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45"/>
      <c r="AA295" s="63"/>
      <c r="AB295" s="63"/>
    </row>
    <row r="296" spans="1:28" ht="15.75" x14ac:dyDescent="0.25">
      <c r="A296" s="57" t="s">
        <v>138</v>
      </c>
      <c r="B296" s="152"/>
      <c r="C296" s="99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45"/>
      <c r="AA296" s="63"/>
      <c r="AB296" s="63"/>
    </row>
    <row r="297" spans="1:28" ht="15.75" x14ac:dyDescent="0.25">
      <c r="A297" s="57" t="s">
        <v>136</v>
      </c>
      <c r="B297" s="145">
        <f>B298+B301+B304+B307+B310+B312</f>
        <v>0</v>
      </c>
      <c r="C297" s="99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45"/>
      <c r="AA297" s="63"/>
      <c r="AB297" s="63"/>
    </row>
    <row r="298" spans="1:28" ht="15.75" x14ac:dyDescent="0.25">
      <c r="A298" s="60" t="s">
        <v>155</v>
      </c>
      <c r="B298" s="145">
        <f>B299+B300</f>
        <v>0</v>
      </c>
      <c r="C298" s="99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45"/>
      <c r="AA298" s="63"/>
      <c r="AB298" s="63"/>
    </row>
    <row r="299" spans="1:28" ht="15.75" x14ac:dyDescent="0.25">
      <c r="A299" s="55" t="s">
        <v>139</v>
      </c>
      <c r="B299" s="146"/>
      <c r="C299" s="99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45"/>
      <c r="AA299" s="63"/>
      <c r="AB299" s="63"/>
    </row>
    <row r="300" spans="1:28" ht="15.75" x14ac:dyDescent="0.25">
      <c r="A300" s="55" t="s">
        <v>221</v>
      </c>
      <c r="B300" s="146"/>
      <c r="C300" s="99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45"/>
      <c r="AA300" s="63"/>
      <c r="AB300" s="63"/>
    </row>
    <row r="301" spans="1:28" ht="15.75" x14ac:dyDescent="0.25">
      <c r="A301" s="55" t="s">
        <v>140</v>
      </c>
      <c r="B301" s="145">
        <f>B302+B303</f>
        <v>0</v>
      </c>
      <c r="C301" s="99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45"/>
      <c r="AA301" s="63"/>
      <c r="AB301" s="63"/>
    </row>
    <row r="302" spans="1:28" ht="15.75" x14ac:dyDescent="0.25">
      <c r="A302" s="55" t="s">
        <v>141</v>
      </c>
      <c r="B302" s="146"/>
      <c r="C302" s="99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45"/>
      <c r="AA302" s="63"/>
      <c r="AB302" s="63"/>
    </row>
    <row r="303" spans="1:28" ht="15.75" x14ac:dyDescent="0.25">
      <c r="A303" s="55" t="s">
        <v>222</v>
      </c>
      <c r="B303" s="146"/>
      <c r="C303" s="99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45"/>
      <c r="AA303" s="63"/>
      <c r="AB303" s="63"/>
    </row>
    <row r="304" spans="1:28" ht="15.75" x14ac:dyDescent="0.25">
      <c r="A304" s="55" t="s">
        <v>142</v>
      </c>
      <c r="B304" s="145">
        <f>B305+B306</f>
        <v>0</v>
      </c>
      <c r="C304" s="99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45"/>
      <c r="AA304" s="63"/>
      <c r="AB304" s="63"/>
    </row>
    <row r="305" spans="1:28" ht="15.75" x14ac:dyDescent="0.25">
      <c r="A305" s="55" t="s">
        <v>22</v>
      </c>
      <c r="B305" s="146"/>
      <c r="C305" s="99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45"/>
      <c r="AA305" s="63"/>
      <c r="AB305" s="63"/>
    </row>
    <row r="306" spans="1:28" ht="15.75" x14ac:dyDescent="0.25">
      <c r="A306" s="55" t="s">
        <v>223</v>
      </c>
      <c r="B306" s="146"/>
      <c r="C306" s="99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45"/>
      <c r="AA306" s="63"/>
      <c r="AB306" s="63"/>
    </row>
    <row r="307" spans="1:28" ht="15.75" x14ac:dyDescent="0.25">
      <c r="A307" s="55" t="s">
        <v>143</v>
      </c>
      <c r="B307" s="145">
        <f>B308+B309</f>
        <v>0</v>
      </c>
      <c r="C307" s="99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45"/>
      <c r="AA307" s="63"/>
      <c r="AB307" s="63"/>
    </row>
    <row r="308" spans="1:28" ht="15.75" x14ac:dyDescent="0.25">
      <c r="A308" s="55" t="s">
        <v>144</v>
      </c>
      <c r="B308" s="146"/>
      <c r="C308" s="99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45"/>
      <c r="AA308" s="63"/>
      <c r="AB308" s="63"/>
    </row>
    <row r="309" spans="1:28" ht="15.75" x14ac:dyDescent="0.25">
      <c r="A309" s="55" t="s">
        <v>224</v>
      </c>
      <c r="B309" s="146"/>
      <c r="C309" s="99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45"/>
      <c r="AA309" s="63"/>
      <c r="AB309" s="63"/>
    </row>
    <row r="310" spans="1:28" ht="15.75" x14ac:dyDescent="0.25">
      <c r="A310" s="55" t="s">
        <v>145</v>
      </c>
      <c r="B310" s="148"/>
      <c r="C310" s="99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45"/>
      <c r="AA310" s="63"/>
      <c r="AB310" s="63"/>
    </row>
    <row r="311" spans="1:28" ht="15.75" x14ac:dyDescent="0.25">
      <c r="A311" s="60" t="s">
        <v>146</v>
      </c>
      <c r="B311" s="145"/>
      <c r="C311" s="99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45"/>
      <c r="AA311" s="63"/>
      <c r="AB311" s="63"/>
    </row>
    <row r="312" spans="1:28" ht="15.75" x14ac:dyDescent="0.25">
      <c r="A312" s="55" t="s">
        <v>147</v>
      </c>
      <c r="B312" s="146"/>
      <c r="C312" s="99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45"/>
      <c r="AA312" s="63"/>
      <c r="AB312" s="63"/>
    </row>
    <row r="313" spans="1:28" ht="25.5" x14ac:dyDescent="0.25">
      <c r="A313" s="61" t="s">
        <v>230</v>
      </c>
      <c r="B313" s="147"/>
      <c r="C313" s="99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45"/>
      <c r="AA313" s="63"/>
      <c r="AB313" s="63"/>
    </row>
    <row r="314" spans="1:28" ht="15.75" x14ac:dyDescent="0.25">
      <c r="A314" s="57" t="s">
        <v>148</v>
      </c>
      <c r="B314" s="149"/>
      <c r="C314" s="99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45"/>
      <c r="AA314" s="63"/>
      <c r="AB314" s="63"/>
    </row>
    <row r="315" spans="1:28" ht="26.25" x14ac:dyDescent="0.25">
      <c r="A315" s="76" t="s">
        <v>356</v>
      </c>
      <c r="B315" s="151"/>
      <c r="C315" s="99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45"/>
      <c r="AA315" s="63"/>
      <c r="AB315" s="63"/>
    </row>
    <row r="316" spans="1:28" ht="15.75" x14ac:dyDescent="0.25">
      <c r="A316" s="57" t="s">
        <v>149</v>
      </c>
      <c r="B316" s="148"/>
      <c r="C316" s="99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45"/>
      <c r="AA316" s="63"/>
      <c r="AB316" s="63"/>
    </row>
    <row r="317" spans="1:28" ht="15.75" x14ac:dyDescent="0.25">
      <c r="A317" s="55" t="s">
        <v>357</v>
      </c>
      <c r="B317" s="145">
        <f>B318+B319</f>
        <v>0</v>
      </c>
      <c r="C317" s="99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45"/>
      <c r="AA317" s="63"/>
      <c r="AB317" s="63"/>
    </row>
    <row r="318" spans="1:28" ht="15.75" x14ac:dyDescent="0.25">
      <c r="A318" s="55" t="s">
        <v>22</v>
      </c>
      <c r="B318" s="146"/>
      <c r="C318" s="99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45"/>
      <c r="AA318" s="63"/>
      <c r="AB318" s="63"/>
    </row>
    <row r="319" spans="1:28" ht="15.75" x14ac:dyDescent="0.25">
      <c r="A319" s="55" t="s">
        <v>223</v>
      </c>
      <c r="B319" s="146"/>
      <c r="C319" s="99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45"/>
      <c r="AA319" s="63"/>
      <c r="AB319" s="63"/>
    </row>
    <row r="320" spans="1:28" s="267" customFormat="1" ht="18.75" customHeight="1" x14ac:dyDescent="0.2">
      <c r="A320" s="268" t="s">
        <v>444</v>
      </c>
      <c r="B320" s="270"/>
      <c r="C320" s="263"/>
      <c r="D320" s="264"/>
      <c r="E320" s="264"/>
      <c r="F320" s="264"/>
      <c r="G320" s="264"/>
      <c r="H320" s="264"/>
      <c r="I320" s="264"/>
      <c r="J320" s="264"/>
      <c r="K320" s="264"/>
      <c r="L320" s="264"/>
      <c r="M320" s="264"/>
      <c r="N320" s="264"/>
      <c r="O320" s="264"/>
      <c r="P320" s="264"/>
      <c r="Q320" s="264"/>
      <c r="R320" s="264"/>
      <c r="S320" s="264"/>
      <c r="T320" s="264"/>
      <c r="U320" s="264"/>
      <c r="V320" s="264"/>
      <c r="W320" s="264"/>
      <c r="X320" s="264"/>
      <c r="Y320" s="264"/>
      <c r="Z320" s="265"/>
      <c r="AA320" s="266"/>
      <c r="AB320" s="266"/>
    </row>
    <row r="321" spans="1:28" s="267" customFormat="1" ht="18.75" customHeight="1" x14ac:dyDescent="0.2">
      <c r="A321" s="269" t="s">
        <v>446</v>
      </c>
      <c r="B321" s="152"/>
      <c r="C321" s="263"/>
      <c r="D321" s="264"/>
      <c r="E321" s="264"/>
      <c r="F321" s="264"/>
      <c r="G321" s="264"/>
      <c r="H321" s="264"/>
      <c r="I321" s="264"/>
      <c r="J321" s="264"/>
      <c r="K321" s="264"/>
      <c r="L321" s="264"/>
      <c r="M321" s="264"/>
      <c r="N321" s="264"/>
      <c r="O321" s="264"/>
      <c r="P321" s="264"/>
      <c r="Q321" s="264"/>
      <c r="R321" s="264"/>
      <c r="S321" s="264"/>
      <c r="T321" s="264"/>
      <c r="U321" s="264"/>
      <c r="V321" s="264"/>
      <c r="W321" s="264"/>
      <c r="X321" s="264"/>
      <c r="Y321" s="264"/>
      <c r="Z321" s="265"/>
      <c r="AA321" s="266"/>
      <c r="AB321" s="266"/>
    </row>
    <row r="322" spans="1:28" s="267" customFormat="1" ht="18.75" customHeight="1" x14ac:dyDescent="0.2">
      <c r="A322" s="269" t="s">
        <v>447</v>
      </c>
      <c r="B322" s="148"/>
      <c r="C322" s="263"/>
      <c r="D322" s="264"/>
      <c r="E322" s="264"/>
      <c r="F322" s="264"/>
      <c r="G322" s="264"/>
      <c r="H322" s="264"/>
      <c r="I322" s="264"/>
      <c r="J322" s="264"/>
      <c r="K322" s="264"/>
      <c r="L322" s="264"/>
      <c r="M322" s="264"/>
      <c r="N322" s="264"/>
      <c r="O322" s="264"/>
      <c r="P322" s="264"/>
      <c r="Q322" s="264"/>
      <c r="R322" s="264"/>
      <c r="S322" s="264"/>
      <c r="T322" s="264"/>
      <c r="U322" s="264"/>
      <c r="V322" s="264"/>
      <c r="W322" s="264"/>
      <c r="X322" s="264"/>
      <c r="Y322" s="264"/>
      <c r="Z322" s="265"/>
      <c r="AA322" s="266"/>
      <c r="AB322" s="266"/>
    </row>
    <row r="323" spans="1:28" ht="30" customHeight="1" x14ac:dyDescent="0.25">
      <c r="A323" s="268" t="s">
        <v>445</v>
      </c>
      <c r="B323" s="146"/>
      <c r="C323" s="99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45"/>
      <c r="AA323" s="63"/>
      <c r="AB323" s="63"/>
    </row>
    <row r="324" spans="1:28" ht="15.75" x14ac:dyDescent="0.25">
      <c r="A324" s="52"/>
      <c r="B324" s="50"/>
      <c r="C324" s="99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45"/>
      <c r="AA324" s="63"/>
      <c r="AB324" s="63"/>
    </row>
    <row r="325" spans="1:28" ht="15.75" x14ac:dyDescent="0.25">
      <c r="A325" s="53"/>
      <c r="B325" s="50"/>
      <c r="C325" s="99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45"/>
      <c r="AA325" s="63"/>
      <c r="AB325" s="63"/>
    </row>
    <row r="326" spans="1:28" ht="15.75" x14ac:dyDescent="0.25">
      <c r="A326" s="41"/>
      <c r="B326" s="42"/>
      <c r="C326" s="99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45"/>
      <c r="AA326" s="63"/>
      <c r="AB326" s="63"/>
    </row>
  </sheetData>
  <sheetProtection sheet="1" objects="1" scenarios="1" selectLockedCells="1"/>
  <mergeCells count="2">
    <mergeCell ref="E11:F11"/>
    <mergeCell ref="F15:P15"/>
  </mergeCells>
  <dataValidations count="8">
    <dataValidation type="whole" allowBlank="1" showInputMessage="1" showErrorMessage="1" sqref="B175 D174:Y216 B177:B217 C175:C217 C318:C319">
      <formula1>0</formula1>
      <formula2>100000000000000000000</formula2>
    </dataValidation>
    <dataValidation type="whole" allowBlank="1" showInputMessage="1" showErrorMessage="1" sqref="B277:B319 C278:C317 D300:Y319 D323:Y326 B321:B323">
      <formula1>0</formula1>
      <formula2>1E+24</formula2>
    </dataValidation>
    <dataValidation type="whole" allowBlank="1" showInputMessage="1" showErrorMessage="1" sqref="D264:Y299 C276:C277 B276 D320:Y322">
      <formula1>0</formula1>
      <formula2>100000000000000000</formula2>
    </dataValidation>
    <dataValidation type="whole" allowBlank="1" showInputMessage="1" showErrorMessage="1" sqref="D38:D55 G16:P67 B15:C70 D19:D36 Q19:Q36 R15:Z67 Q38:Q55 D57:D74 Q57:Q74 Z68:Z326">
      <formula1>0</formula1>
      <formula2>1E+22</formula2>
    </dataValidation>
    <dataValidation type="whole" allowBlank="1" showInputMessage="1" showErrorMessage="1" sqref="D217:Y263 D120:Y173 B176 B218:C275 B123:C174 C320:C322">
      <formula1>0</formula1>
      <formula2>1000000000000000000</formula2>
    </dataValidation>
    <dataValidation type="whole" allowBlank="1" showInputMessage="1" showErrorMessage="1" sqref="G68:P119 R68:Y119 D75:F119 Q75:Q119 B71:C122">
      <formula1>0</formula1>
      <formula2>10000000000000000000</formula2>
    </dataValidation>
    <dataValidation allowBlank="1" showInputMessage="1" showErrorMessage="1" prompt="Limit your input in a maximum of 80 characters per bullet." sqref="F13:F14"/>
    <dataValidation allowBlank="1" showInputMessage="1" showErrorMessage="1" prompt="Limit your input in a maximum of 70 characters per bullet." sqref="F17:F74"/>
  </dataValidations>
  <pageMargins left="0.7" right="0.7" top="0.75" bottom="0.75" header="0.3" footer="0.3"/>
  <pageSetup paperSize="768"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326"/>
  <sheetViews>
    <sheetView workbookViewId="0">
      <pane ySplit="13" topLeftCell="A14" activePane="bottomLeft" state="frozen"/>
      <selection pane="bottomLeft" activeCell="F26" sqref="F26"/>
    </sheetView>
  </sheetViews>
  <sheetFormatPr defaultRowHeight="12.75" x14ac:dyDescent="0.2"/>
  <cols>
    <col min="1" max="1" width="39.140625" style="1" customWidth="1"/>
    <col min="2" max="2" width="36.42578125" style="31" customWidth="1"/>
    <col min="3" max="3" width="7.28515625" style="100" customWidth="1"/>
    <col min="4" max="4" width="3.28515625" style="65" customWidth="1"/>
    <col min="5" max="5" width="1.85546875" style="65" customWidth="1"/>
    <col min="6" max="6" width="8.42578125" style="65" customWidth="1"/>
    <col min="7" max="16" width="9.140625" style="65"/>
    <col min="17" max="17" width="2.7109375" style="65" customWidth="1"/>
    <col min="18" max="28" width="9.140625" style="65"/>
  </cols>
  <sheetData>
    <row r="1" spans="1:30" x14ac:dyDescent="0.2">
      <c r="A1" s="13"/>
      <c r="B1" s="29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63"/>
      <c r="AB1" s="63"/>
    </row>
    <row r="2" spans="1:30" x14ac:dyDescent="0.2">
      <c r="A2" s="13"/>
      <c r="B2" s="29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63"/>
      <c r="AB2" s="63"/>
    </row>
    <row r="3" spans="1:30" x14ac:dyDescent="0.2">
      <c r="A3" s="13"/>
      <c r="B3" s="29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63"/>
      <c r="AB3" s="63"/>
    </row>
    <row r="4" spans="1:30" x14ac:dyDescent="0.2">
      <c r="A4" s="13"/>
      <c r="B4" s="29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63"/>
      <c r="AB4" s="63"/>
    </row>
    <row r="5" spans="1:30" x14ac:dyDescent="0.2">
      <c r="A5" s="13"/>
      <c r="B5" s="29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63"/>
      <c r="AB5" s="63"/>
    </row>
    <row r="6" spans="1:30" x14ac:dyDescent="0.2">
      <c r="A6" s="13"/>
      <c r="B6" s="2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63"/>
      <c r="AB6" s="63"/>
    </row>
    <row r="7" spans="1:30" x14ac:dyDescent="0.2">
      <c r="A7" s="13"/>
      <c r="B7" s="29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63"/>
      <c r="AB7" s="63"/>
    </row>
    <row r="8" spans="1:30" x14ac:dyDescent="0.2">
      <c r="A8" s="13"/>
      <c r="B8" s="29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63"/>
      <c r="AB8" s="63"/>
    </row>
    <row r="9" spans="1:30" x14ac:dyDescent="0.2">
      <c r="A9" s="14"/>
      <c r="B9" s="29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63"/>
      <c r="AB9" s="63"/>
    </row>
    <row r="10" spans="1:30" x14ac:dyDescent="0.2">
      <c r="A10" s="15"/>
      <c r="B10" s="29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63"/>
      <c r="AB10" s="63"/>
    </row>
    <row r="11" spans="1:30" ht="15.75" x14ac:dyDescent="0.25">
      <c r="A11" s="5" t="s">
        <v>0</v>
      </c>
      <c r="B11" s="12" t="s">
        <v>176</v>
      </c>
      <c r="C11" s="17"/>
      <c r="D11" s="17"/>
      <c r="E11" s="325"/>
      <c r="F11" s="325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63"/>
      <c r="AB11" s="63"/>
      <c r="AC11" s="3"/>
      <c r="AD11" s="3"/>
    </row>
    <row r="12" spans="1:30" x14ac:dyDescent="0.2">
      <c r="A12" s="48" t="s">
        <v>1</v>
      </c>
      <c r="B12" s="11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25"/>
      <c r="AA12" s="63"/>
      <c r="AB12" s="63"/>
    </row>
    <row r="13" spans="1:30" x14ac:dyDescent="0.2">
      <c r="A13" s="73" t="s">
        <v>3</v>
      </c>
      <c r="B13" s="77"/>
      <c r="C13" s="19"/>
      <c r="D13" s="19"/>
      <c r="E13" s="70"/>
      <c r="F13" s="70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63"/>
      <c r="AB13" s="63"/>
    </row>
    <row r="14" spans="1:30" x14ac:dyDescent="0.2">
      <c r="A14" s="51" t="s">
        <v>4</v>
      </c>
      <c r="B14" s="49"/>
      <c r="C14" s="98"/>
      <c r="D14" s="19"/>
      <c r="E14" s="70"/>
      <c r="F14" s="70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63"/>
      <c r="AB14" s="63"/>
    </row>
    <row r="15" spans="1:30" ht="15.75" x14ac:dyDescent="0.25">
      <c r="A15" s="47" t="s">
        <v>23</v>
      </c>
      <c r="B15" s="145">
        <f>B16+B23+B30+B33+B40+B43</f>
        <v>107</v>
      </c>
      <c r="C15" s="99"/>
      <c r="D15" s="69"/>
      <c r="E15" s="69"/>
      <c r="F15" s="326" t="s">
        <v>227</v>
      </c>
      <c r="G15" s="326"/>
      <c r="H15" s="326"/>
      <c r="I15" s="326"/>
      <c r="J15" s="326"/>
      <c r="K15" s="326"/>
      <c r="L15" s="326"/>
      <c r="M15" s="326"/>
      <c r="N15" s="326"/>
      <c r="O15" s="326"/>
      <c r="P15" s="326"/>
      <c r="Q15" s="69"/>
      <c r="R15" s="16"/>
      <c r="S15" s="16"/>
      <c r="T15" s="16"/>
      <c r="U15" s="16"/>
      <c r="V15" s="16"/>
      <c r="W15" s="16"/>
      <c r="X15" s="16"/>
      <c r="Y15" s="16"/>
      <c r="Z15" s="45"/>
      <c r="AA15" s="63"/>
      <c r="AB15" s="63"/>
    </row>
    <row r="16" spans="1:30" ht="15.75" x14ac:dyDescent="0.25">
      <c r="A16" s="46" t="s">
        <v>24</v>
      </c>
      <c r="B16" s="145">
        <f>B17+B20</f>
        <v>107</v>
      </c>
      <c r="C16" s="99"/>
      <c r="D16" s="66"/>
      <c r="E16" s="18"/>
      <c r="F16" s="18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66"/>
      <c r="R16" s="16"/>
      <c r="S16" s="16"/>
      <c r="T16" s="16"/>
      <c r="U16" s="16"/>
      <c r="V16" s="16"/>
      <c r="W16" s="16"/>
      <c r="X16" s="16"/>
      <c r="Y16" s="16"/>
      <c r="Z16" s="45"/>
      <c r="AA16" s="63"/>
      <c r="AB16" s="63"/>
    </row>
    <row r="17" spans="1:28" ht="15.75" x14ac:dyDescent="0.25">
      <c r="A17" s="2" t="s">
        <v>25</v>
      </c>
      <c r="B17" s="145">
        <f>B18+B19</f>
        <v>0</v>
      </c>
      <c r="C17" s="99"/>
      <c r="D17" s="67"/>
      <c r="E17" s="70" t="s">
        <v>228</v>
      </c>
      <c r="F17" s="161" t="s">
        <v>450</v>
      </c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67"/>
      <c r="R17" s="16"/>
      <c r="S17" s="16"/>
      <c r="T17" s="16"/>
      <c r="U17" s="16"/>
      <c r="V17" s="16"/>
      <c r="W17" s="16"/>
      <c r="X17" s="16"/>
      <c r="Y17" s="16"/>
      <c r="Z17" s="45"/>
      <c r="AA17" s="63"/>
      <c r="AB17" s="63"/>
    </row>
    <row r="18" spans="1:28" ht="15.75" x14ac:dyDescent="0.25">
      <c r="A18" s="2" t="s">
        <v>26</v>
      </c>
      <c r="B18" s="146"/>
      <c r="C18" s="99"/>
      <c r="D18" s="67"/>
      <c r="E18" s="70" t="s">
        <v>228</v>
      </c>
      <c r="F18" s="161" t="s">
        <v>481</v>
      </c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67"/>
      <c r="R18" s="16"/>
      <c r="S18" s="16"/>
      <c r="T18" s="16"/>
      <c r="U18" s="16"/>
      <c r="V18" s="16"/>
      <c r="W18" s="16"/>
      <c r="X18" s="16"/>
      <c r="Y18" s="16"/>
      <c r="Z18" s="45"/>
      <c r="AA18" s="63"/>
      <c r="AB18" s="63"/>
    </row>
    <row r="19" spans="1:28" ht="15.75" x14ac:dyDescent="0.25">
      <c r="A19" s="2" t="s">
        <v>182</v>
      </c>
      <c r="B19" s="146"/>
      <c r="C19" s="99"/>
      <c r="D19" s="68"/>
      <c r="E19" s="71" t="s">
        <v>228</v>
      </c>
      <c r="F19" s="44" t="s">
        <v>482</v>
      </c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68"/>
      <c r="R19" s="16"/>
      <c r="S19" s="16"/>
      <c r="T19" s="16"/>
      <c r="U19" s="16"/>
      <c r="V19" s="16"/>
      <c r="W19" s="16"/>
      <c r="X19" s="16"/>
      <c r="Y19" s="16"/>
      <c r="Z19" s="45"/>
      <c r="AA19" s="63"/>
      <c r="AB19" s="63"/>
    </row>
    <row r="20" spans="1:28" ht="15.75" x14ac:dyDescent="0.25">
      <c r="A20" s="2" t="s">
        <v>6</v>
      </c>
      <c r="B20" s="145">
        <f>B21+B22</f>
        <v>107</v>
      </c>
      <c r="C20" s="99"/>
      <c r="D20" s="68"/>
      <c r="E20" s="71" t="s">
        <v>228</v>
      </c>
      <c r="F20" s="44" t="s">
        <v>483</v>
      </c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68"/>
      <c r="R20" s="16"/>
      <c r="S20" s="16"/>
      <c r="T20" s="16"/>
      <c r="U20" s="16"/>
      <c r="V20" s="16"/>
      <c r="W20" s="16"/>
      <c r="X20" s="16"/>
      <c r="Y20" s="16"/>
      <c r="Z20" s="45"/>
      <c r="AA20" s="63"/>
      <c r="AB20" s="63"/>
    </row>
    <row r="21" spans="1:28" ht="15.75" x14ac:dyDescent="0.25">
      <c r="A21" s="2" t="s">
        <v>27</v>
      </c>
      <c r="B21" s="146">
        <v>107</v>
      </c>
      <c r="C21" s="99"/>
      <c r="D21" s="68"/>
      <c r="E21" s="71" t="s">
        <v>228</v>
      </c>
      <c r="F21" s="44" t="s">
        <v>484</v>
      </c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68"/>
      <c r="R21" s="16"/>
      <c r="S21" s="16"/>
      <c r="T21" s="16"/>
      <c r="U21" s="16"/>
      <c r="V21" s="16"/>
      <c r="W21" s="16"/>
      <c r="X21" s="16"/>
      <c r="Y21" s="16"/>
      <c r="Z21" s="45"/>
      <c r="AA21" s="63"/>
      <c r="AB21" s="63"/>
    </row>
    <row r="22" spans="1:28" ht="15.75" x14ac:dyDescent="0.25">
      <c r="A22" s="2" t="s">
        <v>183</v>
      </c>
      <c r="B22" s="146"/>
      <c r="C22" s="99"/>
      <c r="D22" s="68"/>
      <c r="E22" s="16" t="s">
        <v>228</v>
      </c>
      <c r="F22" s="44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68"/>
      <c r="R22" s="16"/>
      <c r="S22" s="16"/>
      <c r="T22" s="16"/>
      <c r="U22" s="16"/>
      <c r="V22" s="16"/>
      <c r="W22" s="16"/>
      <c r="X22" s="16"/>
      <c r="Y22" s="16"/>
      <c r="Z22" s="45"/>
      <c r="AA22" s="63"/>
      <c r="AB22" s="63"/>
    </row>
    <row r="23" spans="1:28" ht="15.75" x14ac:dyDescent="0.25">
      <c r="A23" s="46" t="s">
        <v>28</v>
      </c>
      <c r="B23" s="145">
        <f>B24+B27</f>
        <v>0</v>
      </c>
      <c r="C23" s="99"/>
      <c r="D23" s="68"/>
      <c r="E23" s="16" t="s">
        <v>228</v>
      </c>
      <c r="F23" s="44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68"/>
      <c r="R23" s="16"/>
      <c r="S23" s="16"/>
      <c r="T23" s="16"/>
      <c r="U23" s="16"/>
      <c r="V23" s="16"/>
      <c r="W23" s="16"/>
      <c r="X23" s="16"/>
      <c r="Y23" s="16"/>
      <c r="Z23" s="45"/>
      <c r="AA23" s="63"/>
      <c r="AB23" s="63"/>
    </row>
    <row r="24" spans="1:28" ht="15.75" x14ac:dyDescent="0.25">
      <c r="A24" s="2" t="s">
        <v>29</v>
      </c>
      <c r="B24" s="145">
        <f>B25+B26</f>
        <v>0</v>
      </c>
      <c r="C24" s="99"/>
      <c r="D24" s="68"/>
      <c r="E24" s="16" t="s">
        <v>228</v>
      </c>
      <c r="F24" s="44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68"/>
      <c r="R24" s="16"/>
      <c r="S24" s="16"/>
      <c r="T24" s="16"/>
      <c r="U24" s="16"/>
      <c r="V24" s="16"/>
      <c r="W24" s="16"/>
      <c r="X24" s="16"/>
      <c r="Y24" s="16"/>
      <c r="Z24" s="45"/>
      <c r="AA24" s="63"/>
      <c r="AB24" s="63"/>
    </row>
    <row r="25" spans="1:28" ht="15.75" x14ac:dyDescent="0.25">
      <c r="A25" s="2" t="s">
        <v>30</v>
      </c>
      <c r="B25" s="146"/>
      <c r="C25" s="99"/>
      <c r="D25" s="68"/>
      <c r="E25" s="16" t="s">
        <v>228</v>
      </c>
      <c r="F25" s="44" t="s">
        <v>459</v>
      </c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68"/>
      <c r="R25" s="16"/>
      <c r="S25" s="16"/>
      <c r="T25" s="16"/>
      <c r="U25" s="16"/>
      <c r="V25" s="16"/>
      <c r="W25" s="16"/>
      <c r="X25" s="16"/>
      <c r="Y25" s="16"/>
      <c r="Z25" s="45"/>
      <c r="AA25" s="63"/>
      <c r="AB25" s="63"/>
    </row>
    <row r="26" spans="1:28" ht="15.75" x14ac:dyDescent="0.25">
      <c r="A26" s="2" t="s">
        <v>184</v>
      </c>
      <c r="B26" s="146"/>
      <c r="C26" s="99"/>
      <c r="D26" s="68"/>
      <c r="E26" s="16" t="s">
        <v>228</v>
      </c>
      <c r="F26" s="44" t="s">
        <v>475</v>
      </c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68"/>
      <c r="R26" s="16"/>
      <c r="S26" s="16"/>
      <c r="T26" s="16"/>
      <c r="U26" s="16"/>
      <c r="V26" s="16"/>
      <c r="W26" s="16"/>
      <c r="X26" s="16"/>
      <c r="Y26" s="16"/>
      <c r="Z26" s="45"/>
      <c r="AA26" s="63"/>
      <c r="AB26" s="63"/>
    </row>
    <row r="27" spans="1:28" ht="15.75" x14ac:dyDescent="0.25">
      <c r="A27" s="2" t="s">
        <v>31</v>
      </c>
      <c r="B27" s="145">
        <f>B28+B29</f>
        <v>0</v>
      </c>
      <c r="C27" s="99"/>
      <c r="D27" s="68"/>
      <c r="E27" s="16" t="s">
        <v>228</v>
      </c>
      <c r="F27" s="44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68"/>
      <c r="R27" s="16"/>
      <c r="S27" s="16"/>
      <c r="T27" s="16"/>
      <c r="U27" s="16"/>
      <c r="V27" s="16"/>
      <c r="W27" s="16"/>
      <c r="X27" s="16"/>
      <c r="Y27" s="16"/>
      <c r="Z27" s="45"/>
      <c r="AA27" s="63"/>
      <c r="AB27" s="63"/>
    </row>
    <row r="28" spans="1:28" ht="15.75" x14ac:dyDescent="0.25">
      <c r="A28" s="2" t="s">
        <v>32</v>
      </c>
      <c r="B28" s="146"/>
      <c r="C28" s="99"/>
      <c r="D28" s="68"/>
      <c r="E28" s="16" t="s">
        <v>228</v>
      </c>
      <c r="F28" s="44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68"/>
      <c r="R28" s="16"/>
      <c r="S28" s="16"/>
      <c r="T28" s="16"/>
      <c r="U28" s="16"/>
      <c r="V28" s="16"/>
      <c r="W28" s="16"/>
      <c r="X28" s="16"/>
      <c r="Y28" s="16"/>
      <c r="Z28" s="45"/>
      <c r="AA28" s="63"/>
      <c r="AB28" s="63"/>
    </row>
    <row r="29" spans="1:28" ht="15.75" x14ac:dyDescent="0.25">
      <c r="A29" s="2" t="s">
        <v>185</v>
      </c>
      <c r="B29" s="146"/>
      <c r="C29" s="99"/>
      <c r="D29" s="68"/>
      <c r="E29" s="16" t="s">
        <v>228</v>
      </c>
      <c r="F29" s="44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68"/>
      <c r="R29" s="16"/>
      <c r="S29" s="16"/>
      <c r="T29" s="16"/>
      <c r="U29" s="16"/>
      <c r="V29" s="16"/>
      <c r="W29" s="16"/>
      <c r="X29" s="16"/>
      <c r="Y29" s="16"/>
      <c r="Z29" s="45"/>
      <c r="AA29" s="63"/>
      <c r="AB29" s="63"/>
    </row>
    <row r="30" spans="1:28" ht="15.75" x14ac:dyDescent="0.25">
      <c r="A30" s="46" t="s">
        <v>33</v>
      </c>
      <c r="B30" s="145">
        <f>B31+B32</f>
        <v>0</v>
      </c>
      <c r="C30" s="99"/>
      <c r="D30" s="68"/>
      <c r="E30" s="16" t="s">
        <v>228</v>
      </c>
      <c r="F30" s="44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68"/>
      <c r="R30" s="16"/>
      <c r="S30" s="16"/>
      <c r="T30" s="16"/>
      <c r="U30" s="16"/>
      <c r="V30" s="16"/>
      <c r="W30" s="16"/>
      <c r="X30" s="16"/>
      <c r="Y30" s="16"/>
      <c r="Z30" s="45"/>
      <c r="AA30" s="63"/>
      <c r="AB30" s="63"/>
    </row>
    <row r="31" spans="1:28" ht="15.75" x14ac:dyDescent="0.25">
      <c r="A31" s="2" t="s">
        <v>34</v>
      </c>
      <c r="B31" s="146"/>
      <c r="C31" s="99"/>
      <c r="D31" s="68"/>
      <c r="E31" s="16" t="s">
        <v>228</v>
      </c>
      <c r="F31" s="44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68"/>
      <c r="R31" s="16"/>
      <c r="S31" s="16"/>
      <c r="T31" s="16"/>
      <c r="U31" s="16"/>
      <c r="V31" s="16"/>
      <c r="W31" s="16"/>
      <c r="X31" s="16"/>
      <c r="Y31" s="16"/>
      <c r="Z31" s="45"/>
      <c r="AA31" s="63"/>
      <c r="AB31" s="63"/>
    </row>
    <row r="32" spans="1:28" ht="15.75" x14ac:dyDescent="0.25">
      <c r="A32" s="2" t="s">
        <v>186</v>
      </c>
      <c r="B32" s="146"/>
      <c r="C32" s="99"/>
      <c r="D32" s="68"/>
      <c r="E32" s="16" t="s">
        <v>228</v>
      </c>
      <c r="F32" s="44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68"/>
      <c r="R32" s="16"/>
      <c r="S32" s="16"/>
      <c r="T32" s="16"/>
      <c r="U32" s="16"/>
      <c r="V32" s="16"/>
      <c r="W32" s="16"/>
      <c r="X32" s="16"/>
      <c r="Y32" s="16"/>
      <c r="Z32" s="45"/>
      <c r="AA32" s="63"/>
      <c r="AB32" s="63"/>
    </row>
    <row r="33" spans="1:28" ht="15.75" x14ac:dyDescent="0.25">
      <c r="A33" s="46" t="s">
        <v>35</v>
      </c>
      <c r="B33" s="145">
        <f>B34+B37</f>
        <v>0</v>
      </c>
      <c r="C33" s="99"/>
      <c r="D33" s="68"/>
      <c r="E33" s="16" t="s">
        <v>228</v>
      </c>
      <c r="F33" s="44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68"/>
      <c r="R33" s="16"/>
      <c r="S33" s="16"/>
      <c r="T33" s="16"/>
      <c r="U33" s="16"/>
      <c r="V33" s="16"/>
      <c r="W33" s="16"/>
      <c r="X33" s="16"/>
      <c r="Y33" s="16"/>
      <c r="Z33" s="45"/>
      <c r="AA33" s="63"/>
      <c r="AB33" s="63"/>
    </row>
    <row r="34" spans="1:28" ht="15.75" x14ac:dyDescent="0.25">
      <c r="A34" s="2" t="s">
        <v>36</v>
      </c>
      <c r="B34" s="145">
        <f>B35+B36</f>
        <v>0</v>
      </c>
      <c r="C34" s="99"/>
      <c r="D34" s="68"/>
      <c r="E34" s="16" t="s">
        <v>228</v>
      </c>
      <c r="F34" s="44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68"/>
      <c r="R34" s="16"/>
      <c r="S34" s="16"/>
      <c r="T34" s="16"/>
      <c r="U34" s="16"/>
      <c r="V34" s="16"/>
      <c r="W34" s="16"/>
      <c r="X34" s="16"/>
      <c r="Y34" s="16"/>
      <c r="Z34" s="45"/>
      <c r="AA34" s="63"/>
      <c r="AB34" s="63"/>
    </row>
    <row r="35" spans="1:28" ht="15.75" x14ac:dyDescent="0.25">
      <c r="A35" s="2" t="s">
        <v>37</v>
      </c>
      <c r="B35" s="146"/>
      <c r="C35" s="99"/>
      <c r="D35" s="68"/>
      <c r="E35" s="16" t="s">
        <v>228</v>
      </c>
      <c r="F35" s="44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68"/>
      <c r="R35" s="16"/>
      <c r="S35" s="16"/>
      <c r="T35" s="16"/>
      <c r="U35" s="16"/>
      <c r="V35" s="16"/>
      <c r="W35" s="16"/>
      <c r="X35" s="16"/>
      <c r="Y35" s="16"/>
      <c r="Z35" s="45"/>
      <c r="AA35" s="63"/>
      <c r="AB35" s="63"/>
    </row>
    <row r="36" spans="1:28" ht="15.75" x14ac:dyDescent="0.25">
      <c r="A36" s="2" t="s">
        <v>187</v>
      </c>
      <c r="B36" s="146"/>
      <c r="C36" s="99"/>
      <c r="D36" s="68"/>
      <c r="E36" s="16" t="s">
        <v>228</v>
      </c>
      <c r="F36" s="44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68"/>
      <c r="R36" s="16"/>
      <c r="S36" s="16"/>
      <c r="T36" s="16"/>
      <c r="U36" s="16"/>
      <c r="V36" s="16"/>
      <c r="W36" s="16"/>
      <c r="X36" s="16"/>
      <c r="Y36" s="16"/>
      <c r="Z36" s="45"/>
      <c r="AA36" s="63"/>
      <c r="AB36" s="63"/>
    </row>
    <row r="37" spans="1:28" ht="15.75" x14ac:dyDescent="0.25">
      <c r="A37" s="2" t="s">
        <v>38</v>
      </c>
      <c r="B37" s="145">
        <f>B38+B39</f>
        <v>0</v>
      </c>
      <c r="C37" s="99"/>
      <c r="D37" s="67"/>
      <c r="E37" s="70" t="s">
        <v>228</v>
      </c>
      <c r="F37" s="72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67"/>
      <c r="R37" s="16"/>
      <c r="S37" s="16"/>
      <c r="T37" s="16"/>
      <c r="U37" s="16"/>
      <c r="V37" s="16"/>
      <c r="W37" s="16"/>
      <c r="X37" s="16"/>
      <c r="Y37" s="16"/>
      <c r="Z37" s="45"/>
      <c r="AA37" s="63"/>
      <c r="AB37" s="63"/>
    </row>
    <row r="38" spans="1:28" ht="15.75" x14ac:dyDescent="0.25">
      <c r="A38" s="2" t="s">
        <v>39</v>
      </c>
      <c r="B38" s="146"/>
      <c r="C38" s="99"/>
      <c r="D38" s="68"/>
      <c r="E38" s="71" t="s">
        <v>228</v>
      </c>
      <c r="F38" s="44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68"/>
      <c r="R38" s="16"/>
      <c r="S38" s="16"/>
      <c r="T38" s="16"/>
      <c r="U38" s="16"/>
      <c r="V38" s="16"/>
      <c r="W38" s="16"/>
      <c r="X38" s="16"/>
      <c r="Y38" s="16"/>
      <c r="Z38" s="45"/>
      <c r="AA38" s="63"/>
      <c r="AB38" s="63"/>
    </row>
    <row r="39" spans="1:28" ht="15.75" x14ac:dyDescent="0.25">
      <c r="A39" s="2" t="s">
        <v>188</v>
      </c>
      <c r="B39" s="146"/>
      <c r="C39" s="99"/>
      <c r="D39" s="68"/>
      <c r="E39" s="71" t="s">
        <v>228</v>
      </c>
      <c r="F39" s="44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68"/>
      <c r="R39" s="16"/>
      <c r="S39" s="16"/>
      <c r="T39" s="16"/>
      <c r="U39" s="16"/>
      <c r="V39" s="16"/>
      <c r="W39" s="16"/>
      <c r="X39" s="16"/>
      <c r="Y39" s="16"/>
      <c r="Z39" s="45"/>
      <c r="AA39" s="63"/>
      <c r="AB39" s="63"/>
    </row>
    <row r="40" spans="1:28" ht="15.75" x14ac:dyDescent="0.25">
      <c r="A40" s="46" t="s">
        <v>279</v>
      </c>
      <c r="B40" s="145">
        <f>B41+B42</f>
        <v>0</v>
      </c>
      <c r="C40" s="99"/>
      <c r="D40" s="68"/>
      <c r="E40" s="71" t="s">
        <v>228</v>
      </c>
      <c r="F40" s="44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68"/>
      <c r="R40" s="16"/>
      <c r="S40" s="16"/>
      <c r="T40" s="16"/>
      <c r="U40" s="16"/>
      <c r="V40" s="16"/>
      <c r="W40" s="16"/>
      <c r="X40" s="16"/>
      <c r="Y40" s="16"/>
      <c r="Z40" s="45"/>
      <c r="AA40" s="63"/>
      <c r="AB40" s="63"/>
    </row>
    <row r="41" spans="1:28" ht="15.75" x14ac:dyDescent="0.25">
      <c r="A41" s="2" t="s">
        <v>317</v>
      </c>
      <c r="B41" s="146"/>
      <c r="C41" s="99"/>
      <c r="D41" s="68"/>
      <c r="E41" s="16" t="s">
        <v>228</v>
      </c>
      <c r="F41" s="44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68"/>
      <c r="R41" s="16"/>
      <c r="S41" s="16"/>
      <c r="T41" s="16"/>
      <c r="U41" s="16"/>
      <c r="V41" s="16"/>
      <c r="W41" s="16"/>
      <c r="X41" s="16"/>
      <c r="Y41" s="16"/>
      <c r="Z41" s="45"/>
      <c r="AA41" s="63"/>
      <c r="AB41" s="63"/>
    </row>
    <row r="42" spans="1:28" ht="15.75" x14ac:dyDescent="0.25">
      <c r="A42" s="2" t="s">
        <v>318</v>
      </c>
      <c r="B42" s="146"/>
      <c r="C42" s="99"/>
      <c r="D42" s="68"/>
      <c r="E42" s="16" t="s">
        <v>228</v>
      </c>
      <c r="F42" s="44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68"/>
      <c r="R42" s="16"/>
      <c r="S42" s="16"/>
      <c r="T42" s="16"/>
      <c r="U42" s="16"/>
      <c r="V42" s="16"/>
      <c r="W42" s="16"/>
      <c r="X42" s="16"/>
      <c r="Y42" s="16"/>
      <c r="Z42" s="45"/>
      <c r="AA42" s="63"/>
      <c r="AB42" s="63"/>
    </row>
    <row r="43" spans="1:28" ht="15.75" x14ac:dyDescent="0.25">
      <c r="A43" s="46" t="s">
        <v>314</v>
      </c>
      <c r="B43" s="145">
        <f>B44+B45</f>
        <v>0</v>
      </c>
      <c r="C43" s="99"/>
      <c r="D43" s="68"/>
      <c r="E43" s="16" t="s">
        <v>228</v>
      </c>
      <c r="F43" s="44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68"/>
      <c r="R43" s="16"/>
      <c r="S43" s="16"/>
      <c r="T43" s="16"/>
      <c r="U43" s="16"/>
      <c r="V43" s="16"/>
      <c r="W43" s="16"/>
      <c r="X43" s="16"/>
      <c r="Y43" s="16"/>
      <c r="Z43" s="45"/>
      <c r="AA43" s="63"/>
      <c r="AB43" s="63"/>
    </row>
    <row r="44" spans="1:28" ht="15.75" x14ac:dyDescent="0.25">
      <c r="A44" s="2" t="s">
        <v>315</v>
      </c>
      <c r="B44" s="146"/>
      <c r="C44" s="99"/>
      <c r="D44" s="68"/>
      <c r="E44" s="16" t="s">
        <v>228</v>
      </c>
      <c r="F44" s="44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68"/>
      <c r="R44" s="16"/>
      <c r="S44" s="16"/>
      <c r="T44" s="16"/>
      <c r="U44" s="16"/>
      <c r="V44" s="16"/>
      <c r="W44" s="16"/>
      <c r="X44" s="16"/>
      <c r="Y44" s="16"/>
      <c r="Z44" s="45"/>
      <c r="AA44" s="63"/>
      <c r="AB44" s="63"/>
    </row>
    <row r="45" spans="1:28" ht="15.75" x14ac:dyDescent="0.25">
      <c r="A45" s="2" t="s">
        <v>316</v>
      </c>
      <c r="B45" s="146"/>
      <c r="C45" s="99"/>
      <c r="D45" s="68"/>
      <c r="E45" s="16" t="s">
        <v>228</v>
      </c>
      <c r="F45" s="44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68"/>
      <c r="R45" s="16"/>
      <c r="S45" s="16"/>
      <c r="T45" s="16"/>
      <c r="U45" s="16"/>
      <c r="V45" s="16"/>
      <c r="W45" s="16"/>
      <c r="X45" s="16"/>
      <c r="Y45" s="16"/>
      <c r="Z45" s="45"/>
      <c r="AA45" s="63"/>
      <c r="AB45" s="63"/>
    </row>
    <row r="46" spans="1:28" ht="15.75" x14ac:dyDescent="0.25">
      <c r="A46" s="46" t="s">
        <v>280</v>
      </c>
      <c r="B46" s="146"/>
      <c r="C46" s="99"/>
      <c r="D46" s="68"/>
      <c r="E46" s="16" t="s">
        <v>228</v>
      </c>
      <c r="F46" s="44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68"/>
      <c r="R46" s="16"/>
      <c r="S46" s="16"/>
      <c r="T46" s="16"/>
      <c r="U46" s="16"/>
      <c r="V46" s="16"/>
      <c r="W46" s="16"/>
      <c r="X46" s="16"/>
      <c r="Y46" s="16"/>
      <c r="Z46" s="45"/>
      <c r="AA46" s="63"/>
      <c r="AB46" s="63"/>
    </row>
    <row r="47" spans="1:28" ht="15.75" x14ac:dyDescent="0.25">
      <c r="A47" s="47" t="s">
        <v>40</v>
      </c>
      <c r="B47" s="145">
        <f>B48+B55+B58+B61+B68+B71+B74+B77+B80</f>
        <v>121</v>
      </c>
      <c r="C47" s="99"/>
      <c r="D47" s="68"/>
      <c r="E47" s="16" t="s">
        <v>228</v>
      </c>
      <c r="F47" s="44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68"/>
      <c r="R47" s="16"/>
      <c r="S47" s="16"/>
      <c r="T47" s="16"/>
      <c r="U47" s="16"/>
      <c r="V47" s="16"/>
      <c r="W47" s="16"/>
      <c r="X47" s="16"/>
      <c r="Y47" s="16"/>
      <c r="Z47" s="45"/>
      <c r="AA47" s="63"/>
      <c r="AB47" s="63"/>
    </row>
    <row r="48" spans="1:28" ht="15.75" x14ac:dyDescent="0.25">
      <c r="A48" s="46" t="s">
        <v>5</v>
      </c>
      <c r="B48" s="145">
        <f>B49+B52</f>
        <v>121</v>
      </c>
      <c r="C48" s="99"/>
      <c r="D48" s="68"/>
      <c r="E48" s="16" t="s">
        <v>228</v>
      </c>
      <c r="F48" s="44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68"/>
      <c r="R48" s="16"/>
      <c r="S48" s="16"/>
      <c r="T48" s="16"/>
      <c r="U48" s="16"/>
      <c r="V48" s="16"/>
      <c r="W48" s="16"/>
      <c r="X48" s="16"/>
      <c r="Y48" s="16"/>
      <c r="Z48" s="45"/>
      <c r="AA48" s="63"/>
      <c r="AB48" s="63"/>
    </row>
    <row r="49" spans="1:28" ht="15.75" x14ac:dyDescent="0.25">
      <c r="A49" s="2" t="s">
        <v>274</v>
      </c>
      <c r="B49" s="145">
        <f>B50+B51</f>
        <v>121</v>
      </c>
      <c r="C49" s="99"/>
      <c r="D49" s="68"/>
      <c r="E49" s="16" t="s">
        <v>228</v>
      </c>
      <c r="F49" s="44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68"/>
      <c r="R49" s="16"/>
      <c r="S49" s="16"/>
      <c r="T49" s="16"/>
      <c r="U49" s="16"/>
      <c r="V49" s="16"/>
      <c r="W49" s="16"/>
      <c r="X49" s="16"/>
      <c r="Y49" s="16"/>
      <c r="Z49" s="45"/>
      <c r="AA49" s="63"/>
      <c r="AB49" s="63"/>
    </row>
    <row r="50" spans="1:28" ht="15.75" x14ac:dyDescent="0.25">
      <c r="A50" s="2" t="s">
        <v>277</v>
      </c>
      <c r="B50" s="146">
        <v>60</v>
      </c>
      <c r="C50" s="99"/>
      <c r="D50" s="68"/>
      <c r="E50" s="16" t="s">
        <v>228</v>
      </c>
      <c r="F50" s="44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68"/>
      <c r="R50" s="16"/>
      <c r="S50" s="16"/>
      <c r="T50" s="16"/>
      <c r="U50" s="16"/>
      <c r="V50" s="16"/>
      <c r="W50" s="16"/>
      <c r="X50" s="16"/>
      <c r="Y50" s="16"/>
      <c r="Z50" s="45"/>
      <c r="AA50" s="63"/>
      <c r="AB50" s="63"/>
    </row>
    <row r="51" spans="1:28" ht="15.75" x14ac:dyDescent="0.25">
      <c r="A51" s="2" t="s">
        <v>278</v>
      </c>
      <c r="B51" s="146">
        <v>61</v>
      </c>
      <c r="C51" s="99"/>
      <c r="D51" s="68"/>
      <c r="E51" s="16" t="s">
        <v>228</v>
      </c>
      <c r="F51" s="160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68"/>
      <c r="R51" s="16"/>
      <c r="S51" s="16"/>
      <c r="T51" s="16"/>
      <c r="U51" s="16"/>
      <c r="V51" s="16"/>
      <c r="W51" s="16"/>
      <c r="X51" s="16"/>
      <c r="Y51" s="16"/>
      <c r="Z51" s="45"/>
      <c r="AA51" s="63"/>
      <c r="AB51" s="63"/>
    </row>
    <row r="52" spans="1:28" ht="15.75" x14ac:dyDescent="0.25">
      <c r="A52" s="2" t="s">
        <v>6</v>
      </c>
      <c r="B52" s="145">
        <f>B53+B54</f>
        <v>0</v>
      </c>
      <c r="C52" s="99"/>
      <c r="D52" s="68"/>
      <c r="E52" s="16" t="s">
        <v>228</v>
      </c>
      <c r="F52" s="44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68"/>
      <c r="R52" s="16"/>
      <c r="S52" s="16"/>
      <c r="T52" s="16"/>
      <c r="U52" s="16"/>
      <c r="V52" s="16"/>
      <c r="W52" s="16"/>
      <c r="X52" s="16"/>
      <c r="Y52" s="16"/>
      <c r="Z52" s="45"/>
      <c r="AA52" s="63"/>
      <c r="AB52" s="63"/>
    </row>
    <row r="53" spans="1:28" ht="15.75" x14ac:dyDescent="0.25">
      <c r="A53" s="2" t="s">
        <v>275</v>
      </c>
      <c r="B53" s="146"/>
      <c r="C53" s="99"/>
      <c r="D53" s="68"/>
      <c r="E53" s="16" t="s">
        <v>228</v>
      </c>
      <c r="F53" s="44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68"/>
      <c r="R53" s="16"/>
      <c r="S53" s="16"/>
      <c r="T53" s="16"/>
      <c r="U53" s="16"/>
      <c r="V53" s="16"/>
      <c r="W53" s="16"/>
      <c r="X53" s="16"/>
      <c r="Y53" s="16"/>
      <c r="Z53" s="45"/>
      <c r="AA53" s="63"/>
      <c r="AB53" s="63"/>
    </row>
    <row r="54" spans="1:28" ht="15.75" x14ac:dyDescent="0.25">
      <c r="A54" s="2" t="s">
        <v>276</v>
      </c>
      <c r="B54" s="146"/>
      <c r="C54" s="99"/>
      <c r="D54" s="68"/>
      <c r="E54" s="16" t="s">
        <v>228</v>
      </c>
      <c r="F54" s="44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68"/>
      <c r="R54" s="16"/>
      <c r="S54" s="16"/>
      <c r="T54" s="16"/>
      <c r="U54" s="16"/>
      <c r="V54" s="16"/>
      <c r="W54" s="16"/>
      <c r="X54" s="16"/>
      <c r="Y54" s="16"/>
      <c r="Z54" s="45"/>
      <c r="AA54" s="63"/>
      <c r="AB54" s="63"/>
    </row>
    <row r="55" spans="1:28" ht="15.75" x14ac:dyDescent="0.25">
      <c r="A55" s="46" t="s">
        <v>41</v>
      </c>
      <c r="B55" s="145">
        <f>B56+B57</f>
        <v>0</v>
      </c>
      <c r="C55" s="99"/>
      <c r="D55" s="68"/>
      <c r="E55" s="16" t="s">
        <v>228</v>
      </c>
      <c r="F55" s="44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68"/>
      <c r="R55" s="16"/>
      <c r="S55" s="16"/>
      <c r="T55" s="16"/>
      <c r="U55" s="16"/>
      <c r="V55" s="16"/>
      <c r="W55" s="16"/>
      <c r="X55" s="16"/>
      <c r="Y55" s="16"/>
      <c r="Z55" s="45"/>
      <c r="AA55" s="63"/>
      <c r="AB55" s="63"/>
    </row>
    <row r="56" spans="1:28" ht="15.75" x14ac:dyDescent="0.25">
      <c r="A56" s="2" t="s">
        <v>42</v>
      </c>
      <c r="B56" s="146"/>
      <c r="C56" s="99"/>
      <c r="D56" s="67"/>
      <c r="E56" s="70" t="s">
        <v>228</v>
      </c>
      <c r="F56" s="72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67"/>
      <c r="R56" s="16"/>
      <c r="S56" s="16"/>
      <c r="T56" s="16"/>
      <c r="U56" s="16"/>
      <c r="V56" s="16"/>
      <c r="W56" s="16"/>
      <c r="X56" s="16"/>
      <c r="Y56" s="16"/>
      <c r="Z56" s="45"/>
      <c r="AA56" s="63"/>
      <c r="AB56" s="63"/>
    </row>
    <row r="57" spans="1:28" ht="15.75" x14ac:dyDescent="0.25">
      <c r="A57" s="2" t="s">
        <v>189</v>
      </c>
      <c r="B57" s="146"/>
      <c r="C57" s="99"/>
      <c r="D57" s="68"/>
      <c r="E57" s="71" t="s">
        <v>228</v>
      </c>
      <c r="F57" s="44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68"/>
      <c r="R57" s="16"/>
      <c r="S57" s="16"/>
      <c r="T57" s="16"/>
      <c r="U57" s="16"/>
      <c r="V57" s="16"/>
      <c r="W57" s="16"/>
      <c r="X57" s="16"/>
      <c r="Y57" s="16"/>
      <c r="Z57" s="45"/>
      <c r="AA57" s="63"/>
      <c r="AB57" s="63"/>
    </row>
    <row r="58" spans="1:28" ht="15.75" x14ac:dyDescent="0.25">
      <c r="A58" s="46" t="s">
        <v>43</v>
      </c>
      <c r="B58" s="145">
        <f>B59+B60</f>
        <v>0</v>
      </c>
      <c r="C58" s="99"/>
      <c r="D58" s="68"/>
      <c r="E58" s="71" t="s">
        <v>228</v>
      </c>
      <c r="F58" s="44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68"/>
      <c r="R58" s="16"/>
      <c r="S58" s="16"/>
      <c r="T58" s="16"/>
      <c r="U58" s="16"/>
      <c r="V58" s="16"/>
      <c r="W58" s="16"/>
      <c r="X58" s="16"/>
      <c r="Y58" s="16"/>
      <c r="Z58" s="45"/>
      <c r="AA58" s="63"/>
      <c r="AB58" s="63"/>
    </row>
    <row r="59" spans="1:28" ht="15.75" x14ac:dyDescent="0.25">
      <c r="A59" s="2" t="s">
        <v>44</v>
      </c>
      <c r="B59" s="146"/>
      <c r="C59" s="99"/>
      <c r="D59" s="68"/>
      <c r="E59" s="71" t="s">
        <v>228</v>
      </c>
      <c r="F59" s="44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68"/>
      <c r="R59" s="16"/>
      <c r="S59" s="16"/>
      <c r="T59" s="16"/>
      <c r="U59" s="16"/>
      <c r="V59" s="16"/>
      <c r="W59" s="16"/>
      <c r="X59" s="16"/>
      <c r="Y59" s="16"/>
      <c r="Z59" s="45"/>
      <c r="AA59" s="63"/>
      <c r="AB59" s="63"/>
    </row>
    <row r="60" spans="1:28" ht="15.75" x14ac:dyDescent="0.25">
      <c r="A60" s="2" t="s">
        <v>190</v>
      </c>
      <c r="B60" s="146"/>
      <c r="C60" s="99"/>
      <c r="D60" s="68"/>
      <c r="E60" s="16" t="s">
        <v>228</v>
      </c>
      <c r="F60" s="44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68"/>
      <c r="R60" s="16"/>
      <c r="S60" s="16"/>
      <c r="T60" s="16"/>
      <c r="U60" s="16"/>
      <c r="V60" s="16"/>
      <c r="W60" s="16"/>
      <c r="X60" s="16"/>
      <c r="Y60" s="16"/>
      <c r="Z60" s="45"/>
      <c r="AA60" s="63"/>
      <c r="AB60" s="63"/>
    </row>
    <row r="61" spans="1:28" ht="15.75" x14ac:dyDescent="0.25">
      <c r="A61" s="46" t="s">
        <v>7</v>
      </c>
      <c r="B61" s="145">
        <f>B62+B65</f>
        <v>0</v>
      </c>
      <c r="C61" s="99"/>
      <c r="D61" s="68"/>
      <c r="E61" s="16" t="s">
        <v>228</v>
      </c>
      <c r="F61" s="44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68"/>
      <c r="R61" s="16"/>
      <c r="S61" s="16"/>
      <c r="T61" s="16"/>
      <c r="U61" s="16"/>
      <c r="V61" s="16"/>
      <c r="W61" s="16"/>
      <c r="X61" s="16"/>
      <c r="Y61" s="16"/>
      <c r="Z61" s="45"/>
      <c r="AA61" s="63"/>
      <c r="AB61" s="63"/>
    </row>
    <row r="62" spans="1:28" ht="15.75" x14ac:dyDescent="0.25">
      <c r="A62" s="2" t="s">
        <v>45</v>
      </c>
      <c r="B62" s="145">
        <f>B63+B64</f>
        <v>0</v>
      </c>
      <c r="C62" s="99"/>
      <c r="D62" s="68"/>
      <c r="E62" s="16" t="s">
        <v>228</v>
      </c>
      <c r="F62" s="44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68"/>
      <c r="R62" s="16"/>
      <c r="S62" s="16"/>
      <c r="T62" s="16"/>
      <c r="U62" s="16"/>
      <c r="V62" s="16"/>
      <c r="W62" s="16"/>
      <c r="X62" s="16"/>
      <c r="Y62" s="16"/>
      <c r="Z62" s="45"/>
      <c r="AA62" s="63"/>
      <c r="AB62" s="63"/>
    </row>
    <row r="63" spans="1:28" ht="15.75" x14ac:dyDescent="0.25">
      <c r="A63" s="2" t="s">
        <v>46</v>
      </c>
      <c r="B63" s="146"/>
      <c r="C63" s="99"/>
      <c r="D63" s="68"/>
      <c r="E63" s="16" t="s">
        <v>228</v>
      </c>
      <c r="F63" s="44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68"/>
      <c r="R63" s="16"/>
      <c r="S63" s="16"/>
      <c r="T63" s="16"/>
      <c r="U63" s="16"/>
      <c r="V63" s="16"/>
      <c r="W63" s="16"/>
      <c r="X63" s="16"/>
      <c r="Y63" s="16"/>
      <c r="Z63" s="45"/>
      <c r="AA63" s="63"/>
      <c r="AB63" s="63"/>
    </row>
    <row r="64" spans="1:28" ht="15.75" x14ac:dyDescent="0.25">
      <c r="A64" s="2" t="s">
        <v>191</v>
      </c>
      <c r="B64" s="146"/>
      <c r="C64" s="99"/>
      <c r="D64" s="68"/>
      <c r="E64" s="16" t="s">
        <v>228</v>
      </c>
      <c r="F64" s="44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68"/>
      <c r="R64" s="16"/>
      <c r="S64" s="16"/>
      <c r="T64" s="16"/>
      <c r="U64" s="16"/>
      <c r="V64" s="16"/>
      <c r="W64" s="16"/>
      <c r="X64" s="16"/>
      <c r="Y64" s="16"/>
      <c r="Z64" s="45"/>
      <c r="AA64" s="63"/>
      <c r="AB64" s="63"/>
    </row>
    <row r="65" spans="1:28" ht="15.75" x14ac:dyDescent="0.25">
      <c r="A65" s="2" t="s">
        <v>47</v>
      </c>
      <c r="B65" s="145">
        <f>B66+B67</f>
        <v>0</v>
      </c>
      <c r="C65" s="99"/>
      <c r="D65" s="68"/>
      <c r="E65" s="16" t="s">
        <v>228</v>
      </c>
      <c r="F65" s="44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68"/>
      <c r="R65" s="16"/>
      <c r="S65" s="16"/>
      <c r="T65" s="16"/>
      <c r="U65" s="16"/>
      <c r="V65" s="16"/>
      <c r="W65" s="16"/>
      <c r="X65" s="16"/>
      <c r="Y65" s="16"/>
      <c r="Z65" s="45"/>
      <c r="AA65" s="63"/>
      <c r="AB65" s="63"/>
    </row>
    <row r="66" spans="1:28" ht="15.75" x14ac:dyDescent="0.25">
      <c r="A66" s="2" t="s">
        <v>48</v>
      </c>
      <c r="B66" s="146"/>
      <c r="C66" s="99"/>
      <c r="D66" s="68"/>
      <c r="E66" s="16" t="s">
        <v>228</v>
      </c>
      <c r="F66" s="44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68"/>
      <c r="R66" s="16"/>
      <c r="S66" s="16"/>
      <c r="T66" s="16"/>
      <c r="U66" s="16"/>
      <c r="V66" s="16"/>
      <c r="W66" s="16"/>
      <c r="X66" s="16"/>
      <c r="Y66" s="16"/>
      <c r="Z66" s="45"/>
      <c r="AA66" s="63"/>
      <c r="AB66" s="63"/>
    </row>
    <row r="67" spans="1:28" ht="15.75" x14ac:dyDescent="0.25">
      <c r="A67" s="2" t="s">
        <v>192</v>
      </c>
      <c r="B67" s="146"/>
      <c r="C67" s="99"/>
      <c r="D67" s="68"/>
      <c r="E67" s="16" t="s">
        <v>228</v>
      </c>
      <c r="F67" s="44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68"/>
      <c r="R67" s="16"/>
      <c r="S67" s="16"/>
      <c r="T67" s="16"/>
      <c r="U67" s="16"/>
      <c r="V67" s="16"/>
      <c r="W67" s="16"/>
      <c r="X67" s="16"/>
      <c r="Y67" s="16"/>
      <c r="Z67" s="45"/>
      <c r="AA67" s="63"/>
      <c r="AB67" s="63"/>
    </row>
    <row r="68" spans="1:28" ht="15.75" x14ac:dyDescent="0.25">
      <c r="A68" s="46" t="s">
        <v>49</v>
      </c>
      <c r="B68" s="145">
        <f>B69+B70</f>
        <v>0</v>
      </c>
      <c r="C68" s="99"/>
      <c r="D68" s="68"/>
      <c r="E68" s="16" t="s">
        <v>228</v>
      </c>
      <c r="F68" s="44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68"/>
      <c r="R68" s="16"/>
      <c r="S68" s="16"/>
      <c r="T68" s="16"/>
      <c r="U68" s="16"/>
      <c r="V68" s="16"/>
      <c r="W68" s="16"/>
      <c r="X68" s="16"/>
      <c r="Y68" s="16"/>
      <c r="Z68" s="45"/>
      <c r="AA68" s="63"/>
      <c r="AB68" s="63"/>
    </row>
    <row r="69" spans="1:28" ht="15.75" x14ac:dyDescent="0.25">
      <c r="A69" s="2" t="s">
        <v>50</v>
      </c>
      <c r="B69" s="146"/>
      <c r="C69" s="99"/>
      <c r="D69" s="68"/>
      <c r="E69" s="16" t="s">
        <v>228</v>
      </c>
      <c r="F69" s="44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68"/>
      <c r="R69" s="16"/>
      <c r="S69" s="16"/>
      <c r="T69" s="16"/>
      <c r="U69" s="16"/>
      <c r="V69" s="16"/>
      <c r="W69" s="16"/>
      <c r="X69" s="16"/>
      <c r="Y69" s="16"/>
      <c r="Z69" s="45"/>
      <c r="AA69" s="63"/>
      <c r="AB69" s="63"/>
    </row>
    <row r="70" spans="1:28" ht="15.75" x14ac:dyDescent="0.25">
      <c r="A70" s="2" t="s">
        <v>193</v>
      </c>
      <c r="B70" s="146"/>
      <c r="C70" s="99"/>
      <c r="D70" s="68"/>
      <c r="E70" s="16" t="s">
        <v>228</v>
      </c>
      <c r="F70" s="44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68"/>
      <c r="R70" s="16"/>
      <c r="S70" s="16"/>
      <c r="T70" s="16"/>
      <c r="U70" s="16"/>
      <c r="V70" s="16"/>
      <c r="W70" s="16"/>
      <c r="X70" s="16"/>
      <c r="Y70" s="16"/>
      <c r="Z70" s="45"/>
      <c r="AA70" s="63"/>
      <c r="AB70" s="63"/>
    </row>
    <row r="71" spans="1:28" ht="15.75" x14ac:dyDescent="0.25">
      <c r="A71" s="46" t="s">
        <v>51</v>
      </c>
      <c r="B71" s="145">
        <f>B72+B73</f>
        <v>0</v>
      </c>
      <c r="C71" s="99"/>
      <c r="D71" s="68"/>
      <c r="E71" s="16" t="s">
        <v>228</v>
      </c>
      <c r="F71" s="44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68"/>
      <c r="R71" s="16"/>
      <c r="S71" s="16"/>
      <c r="T71" s="16"/>
      <c r="U71" s="16"/>
      <c r="V71" s="16"/>
      <c r="W71" s="16"/>
      <c r="X71" s="16"/>
      <c r="Y71" s="16"/>
      <c r="Z71" s="45"/>
      <c r="AA71" s="63"/>
      <c r="AB71" s="63"/>
    </row>
    <row r="72" spans="1:28" ht="15.75" x14ac:dyDescent="0.25">
      <c r="A72" s="2" t="s">
        <v>52</v>
      </c>
      <c r="B72" s="146"/>
      <c r="C72" s="99"/>
      <c r="D72" s="68"/>
      <c r="E72" s="16" t="s">
        <v>228</v>
      </c>
      <c r="F72" s="44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68"/>
      <c r="R72" s="16"/>
      <c r="S72" s="16"/>
      <c r="T72" s="16"/>
      <c r="U72" s="16"/>
      <c r="V72" s="16"/>
      <c r="W72" s="16"/>
      <c r="X72" s="16"/>
      <c r="Y72" s="16"/>
      <c r="Z72" s="45"/>
      <c r="AA72" s="63"/>
      <c r="AB72" s="63"/>
    </row>
    <row r="73" spans="1:28" ht="15.75" x14ac:dyDescent="0.25">
      <c r="A73" s="2" t="s">
        <v>194</v>
      </c>
      <c r="B73" s="146"/>
      <c r="C73" s="99"/>
      <c r="D73" s="68"/>
      <c r="E73" s="16" t="s">
        <v>228</v>
      </c>
      <c r="F73" s="44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68"/>
      <c r="R73" s="16"/>
      <c r="S73" s="16"/>
      <c r="T73" s="16"/>
      <c r="U73" s="16"/>
      <c r="V73" s="16"/>
      <c r="W73" s="16"/>
      <c r="X73" s="16"/>
      <c r="Y73" s="16"/>
      <c r="Z73" s="45"/>
      <c r="AA73" s="63"/>
      <c r="AB73" s="63"/>
    </row>
    <row r="74" spans="1:28" ht="15.75" x14ac:dyDescent="0.25">
      <c r="A74" s="46" t="s">
        <v>53</v>
      </c>
      <c r="B74" s="145">
        <f>B75+B76</f>
        <v>0</v>
      </c>
      <c r="C74" s="99"/>
      <c r="D74" s="68"/>
      <c r="E74" s="16" t="s">
        <v>228</v>
      </c>
      <c r="F74" s="160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68"/>
      <c r="R74" s="16"/>
      <c r="S74" s="16"/>
      <c r="T74" s="16"/>
      <c r="U74" s="16"/>
      <c r="V74" s="16"/>
      <c r="W74" s="16"/>
      <c r="X74" s="16"/>
      <c r="Y74" s="16"/>
      <c r="Z74" s="45"/>
      <c r="AA74" s="63"/>
      <c r="AB74" s="63"/>
    </row>
    <row r="75" spans="1:28" ht="15.75" x14ac:dyDescent="0.25">
      <c r="A75" s="2" t="s">
        <v>54</v>
      </c>
      <c r="B75" s="146"/>
      <c r="C75" s="99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16"/>
      <c r="S75" s="16"/>
      <c r="T75" s="16"/>
      <c r="U75" s="16"/>
      <c r="V75" s="16"/>
      <c r="W75" s="16"/>
      <c r="X75" s="16"/>
      <c r="Y75" s="16"/>
      <c r="Z75" s="45"/>
      <c r="AA75" s="63"/>
      <c r="AB75" s="63"/>
    </row>
    <row r="76" spans="1:28" ht="15.75" x14ac:dyDescent="0.25">
      <c r="A76" s="2" t="s">
        <v>195</v>
      </c>
      <c r="B76" s="146"/>
      <c r="C76" s="99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45"/>
      <c r="AA76" s="63"/>
      <c r="AB76" s="63"/>
    </row>
    <row r="77" spans="1:28" ht="15.75" x14ac:dyDescent="0.25">
      <c r="A77" s="46" t="s">
        <v>319</v>
      </c>
      <c r="B77" s="145">
        <f>B78+B79</f>
        <v>0</v>
      </c>
      <c r="C77" s="99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45"/>
      <c r="AA77" s="63"/>
      <c r="AB77" s="63"/>
    </row>
    <row r="78" spans="1:28" ht="15.75" x14ac:dyDescent="0.25">
      <c r="A78" s="2" t="s">
        <v>72</v>
      </c>
      <c r="B78" s="146"/>
      <c r="C78" s="99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45"/>
      <c r="AA78" s="63"/>
      <c r="AB78" s="63"/>
    </row>
    <row r="79" spans="1:28" ht="15.75" x14ac:dyDescent="0.25">
      <c r="A79" s="55" t="s">
        <v>196</v>
      </c>
      <c r="B79" s="146"/>
      <c r="C79" s="99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45"/>
      <c r="AA79" s="63"/>
      <c r="AB79" s="63"/>
    </row>
    <row r="80" spans="1:28" ht="15.75" x14ac:dyDescent="0.25">
      <c r="A80" s="46" t="s">
        <v>271</v>
      </c>
      <c r="B80" s="145">
        <f>B81+B82</f>
        <v>0</v>
      </c>
      <c r="C80" s="99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45"/>
      <c r="AA80" s="63"/>
      <c r="AB80" s="63"/>
    </row>
    <row r="81" spans="1:28" ht="15.75" x14ac:dyDescent="0.25">
      <c r="A81" s="2" t="s">
        <v>272</v>
      </c>
      <c r="B81" s="146"/>
      <c r="C81" s="99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45"/>
      <c r="AA81" s="63"/>
      <c r="AB81" s="63"/>
    </row>
    <row r="82" spans="1:28" ht="15.75" x14ac:dyDescent="0.25">
      <c r="A82" s="55" t="s">
        <v>273</v>
      </c>
      <c r="B82" s="146">
        <v>0</v>
      </c>
      <c r="C82" s="99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45"/>
      <c r="AA82" s="63"/>
      <c r="AB82" s="63"/>
    </row>
    <row r="83" spans="1:28" ht="15.75" x14ac:dyDescent="0.25">
      <c r="A83" s="56" t="s">
        <v>55</v>
      </c>
      <c r="B83" s="145">
        <f>B84+B97+B100+B103+B110+B113+B116+B119</f>
        <v>22</v>
      </c>
      <c r="C83" s="99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45"/>
      <c r="AA83" s="63"/>
      <c r="AB83" s="63"/>
    </row>
    <row r="84" spans="1:28" ht="15.75" x14ac:dyDescent="0.25">
      <c r="A84" s="57" t="s">
        <v>56</v>
      </c>
      <c r="B84" s="145">
        <f>B85+B88+B91+B94</f>
        <v>22</v>
      </c>
      <c r="C84" s="99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45"/>
      <c r="AA84" s="63"/>
      <c r="AB84" s="63"/>
    </row>
    <row r="85" spans="1:28" ht="15.75" x14ac:dyDescent="0.25">
      <c r="A85" s="55" t="s">
        <v>57</v>
      </c>
      <c r="B85" s="145">
        <f>B86+B87</f>
        <v>22</v>
      </c>
      <c r="C85" s="99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45"/>
      <c r="AA85" s="63"/>
      <c r="AB85" s="63"/>
    </row>
    <row r="86" spans="1:28" ht="15.75" x14ac:dyDescent="0.25">
      <c r="A86" s="55" t="s">
        <v>58</v>
      </c>
      <c r="B86" s="146">
        <v>20</v>
      </c>
      <c r="C86" s="99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45"/>
      <c r="AA86" s="63"/>
      <c r="AB86" s="63"/>
    </row>
    <row r="87" spans="1:28" ht="15.75" x14ac:dyDescent="0.25">
      <c r="A87" s="55" t="s">
        <v>197</v>
      </c>
      <c r="B87" s="146">
        <v>2</v>
      </c>
      <c r="C87" s="99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45"/>
      <c r="AA87" s="63"/>
      <c r="AB87" s="63"/>
    </row>
    <row r="88" spans="1:28" ht="15.75" x14ac:dyDescent="0.25">
      <c r="A88" s="55" t="s">
        <v>237</v>
      </c>
      <c r="B88" s="145">
        <f>B89+B90</f>
        <v>0</v>
      </c>
      <c r="C88" s="99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45"/>
      <c r="AA88" s="63"/>
      <c r="AB88" s="63"/>
    </row>
    <row r="89" spans="1:28" ht="15.75" x14ac:dyDescent="0.25">
      <c r="A89" s="55" t="s">
        <v>59</v>
      </c>
      <c r="B89" s="146"/>
      <c r="C89" s="99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45"/>
      <c r="AA89" s="63"/>
      <c r="AB89" s="63"/>
    </row>
    <row r="90" spans="1:28" ht="15.75" x14ac:dyDescent="0.25">
      <c r="A90" s="55" t="s">
        <v>198</v>
      </c>
      <c r="B90" s="146"/>
      <c r="C90" s="99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45"/>
      <c r="AA90" s="63"/>
      <c r="AB90" s="63"/>
    </row>
    <row r="91" spans="1:28" ht="15.75" x14ac:dyDescent="0.25">
      <c r="A91" s="55" t="s">
        <v>60</v>
      </c>
      <c r="B91" s="145">
        <f>B92+B93</f>
        <v>0</v>
      </c>
      <c r="C91" s="99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45"/>
      <c r="AA91" s="63"/>
      <c r="AB91" s="63"/>
    </row>
    <row r="92" spans="1:28" ht="15.75" x14ac:dyDescent="0.25">
      <c r="A92" s="55" t="s">
        <v>61</v>
      </c>
      <c r="B92" s="146"/>
      <c r="C92" s="99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45"/>
      <c r="AA92" s="63"/>
      <c r="AB92" s="63"/>
    </row>
    <row r="93" spans="1:28" ht="15.75" x14ac:dyDescent="0.25">
      <c r="A93" s="55" t="s">
        <v>199</v>
      </c>
      <c r="B93" s="146"/>
      <c r="C93" s="99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45"/>
      <c r="AA93" s="63"/>
      <c r="AB93" s="63"/>
    </row>
    <row r="94" spans="1:28" ht="15.75" x14ac:dyDescent="0.25">
      <c r="A94" s="55" t="s">
        <v>62</v>
      </c>
      <c r="B94" s="145">
        <f>B95+B96</f>
        <v>0</v>
      </c>
      <c r="C94" s="99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45"/>
      <c r="AA94" s="63"/>
      <c r="AB94" s="63"/>
    </row>
    <row r="95" spans="1:28" ht="15.75" x14ac:dyDescent="0.25">
      <c r="A95" s="55" t="s">
        <v>63</v>
      </c>
      <c r="B95" s="146"/>
      <c r="C95" s="99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45"/>
      <c r="AA95" s="63"/>
      <c r="AB95" s="63"/>
    </row>
    <row r="96" spans="1:28" ht="15.75" x14ac:dyDescent="0.25">
      <c r="A96" s="55" t="s">
        <v>200</v>
      </c>
      <c r="B96" s="146"/>
      <c r="C96" s="99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45"/>
      <c r="AA96" s="63"/>
      <c r="AB96" s="63"/>
    </row>
    <row r="97" spans="1:28" ht="15.75" x14ac:dyDescent="0.25">
      <c r="A97" s="57" t="s">
        <v>64</v>
      </c>
      <c r="B97" s="145">
        <f>B98+B99</f>
        <v>0</v>
      </c>
      <c r="C97" s="99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45"/>
      <c r="AA97" s="63"/>
      <c r="AB97" s="63"/>
    </row>
    <row r="98" spans="1:28" ht="15.75" x14ac:dyDescent="0.25">
      <c r="A98" s="55" t="s">
        <v>65</v>
      </c>
      <c r="B98" s="146"/>
      <c r="C98" s="99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45"/>
      <c r="AA98" s="63"/>
      <c r="AB98" s="63"/>
    </row>
    <row r="99" spans="1:28" ht="15.75" x14ac:dyDescent="0.25">
      <c r="A99" s="55" t="s">
        <v>201</v>
      </c>
      <c r="B99" s="146"/>
      <c r="C99" s="99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45"/>
      <c r="AA99" s="63"/>
      <c r="AB99" s="63"/>
    </row>
    <row r="100" spans="1:28" ht="15.75" x14ac:dyDescent="0.25">
      <c r="A100" s="57" t="s">
        <v>66</v>
      </c>
      <c r="B100" s="145">
        <f>B101+B102</f>
        <v>0</v>
      </c>
      <c r="C100" s="99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45"/>
      <c r="AA100" s="63"/>
      <c r="AB100" s="63"/>
    </row>
    <row r="101" spans="1:28" ht="15.75" x14ac:dyDescent="0.25">
      <c r="A101" s="55" t="s">
        <v>67</v>
      </c>
      <c r="B101" s="146"/>
      <c r="C101" s="99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45"/>
      <c r="AA101" s="63"/>
      <c r="AB101" s="63"/>
    </row>
    <row r="102" spans="1:28" ht="15.75" x14ac:dyDescent="0.25">
      <c r="A102" s="55" t="s">
        <v>202</v>
      </c>
      <c r="B102" s="146"/>
      <c r="C102" s="99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45"/>
      <c r="AA102" s="63"/>
      <c r="AB102" s="63"/>
    </row>
    <row r="103" spans="1:28" ht="15.75" x14ac:dyDescent="0.25">
      <c r="A103" s="57" t="s">
        <v>68</v>
      </c>
      <c r="B103" s="145">
        <f>B104+B107</f>
        <v>0</v>
      </c>
      <c r="C103" s="99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45"/>
      <c r="AA103" s="63"/>
      <c r="AB103" s="63"/>
    </row>
    <row r="104" spans="1:28" ht="15.75" x14ac:dyDescent="0.25">
      <c r="A104" s="55" t="s">
        <v>238</v>
      </c>
      <c r="B104" s="145">
        <f>B105+B106</f>
        <v>0</v>
      </c>
      <c r="C104" s="99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45"/>
      <c r="AA104" s="63"/>
      <c r="AB104" s="63"/>
    </row>
    <row r="105" spans="1:28" ht="15.75" x14ac:dyDescent="0.25">
      <c r="A105" s="2" t="s">
        <v>239</v>
      </c>
      <c r="B105" s="146"/>
      <c r="C105" s="99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45"/>
      <c r="AA105" s="63"/>
      <c r="AB105" s="63"/>
    </row>
    <row r="106" spans="1:28" ht="15.75" x14ac:dyDescent="0.25">
      <c r="A106" s="2" t="s">
        <v>240</v>
      </c>
      <c r="B106" s="146"/>
      <c r="C106" s="99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45"/>
      <c r="AA106" s="63"/>
      <c r="AB106" s="63"/>
    </row>
    <row r="107" spans="1:28" ht="15.75" x14ac:dyDescent="0.25">
      <c r="A107" s="2" t="s">
        <v>241</v>
      </c>
      <c r="B107" s="145">
        <f>B108+B109</f>
        <v>0</v>
      </c>
      <c r="C107" s="99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45"/>
      <c r="AA107" s="63"/>
      <c r="AB107" s="63"/>
    </row>
    <row r="108" spans="1:28" ht="15.75" x14ac:dyDescent="0.25">
      <c r="A108" s="2" t="s">
        <v>242</v>
      </c>
      <c r="B108" s="146"/>
      <c r="C108" s="99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45"/>
      <c r="AA108" s="63"/>
      <c r="AB108" s="63"/>
    </row>
    <row r="109" spans="1:28" ht="15.75" x14ac:dyDescent="0.25">
      <c r="A109" s="55" t="s">
        <v>243</v>
      </c>
      <c r="B109" s="146"/>
      <c r="C109" s="99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45"/>
      <c r="AA109" s="63"/>
      <c r="AB109" s="63"/>
    </row>
    <row r="110" spans="1:28" ht="15.75" x14ac:dyDescent="0.25">
      <c r="A110" s="57" t="s">
        <v>69</v>
      </c>
      <c r="B110" s="145">
        <f>B111+B112</f>
        <v>0</v>
      </c>
      <c r="C110" s="99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45"/>
      <c r="AA110" s="63"/>
      <c r="AB110" s="63"/>
    </row>
    <row r="111" spans="1:28" ht="15.75" x14ac:dyDescent="0.25">
      <c r="A111" s="55" t="s">
        <v>244</v>
      </c>
      <c r="B111" s="146"/>
      <c r="C111" s="99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45"/>
      <c r="AA111" s="63"/>
      <c r="AB111" s="63"/>
    </row>
    <row r="112" spans="1:28" ht="15.75" x14ac:dyDescent="0.25">
      <c r="A112" s="55" t="s">
        <v>245</v>
      </c>
      <c r="B112" s="146"/>
      <c r="C112" s="99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45"/>
      <c r="AA112" s="63"/>
      <c r="AB112" s="63"/>
    </row>
    <row r="113" spans="1:28" ht="15.75" x14ac:dyDescent="0.25">
      <c r="A113" s="57" t="s">
        <v>70</v>
      </c>
      <c r="B113" s="145">
        <f>B114+B115</f>
        <v>0</v>
      </c>
      <c r="C113" s="99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45"/>
      <c r="AA113" s="63"/>
      <c r="AB113" s="63"/>
    </row>
    <row r="114" spans="1:28" ht="15.75" x14ac:dyDescent="0.25">
      <c r="A114" s="55" t="s">
        <v>246</v>
      </c>
      <c r="B114" s="146"/>
      <c r="C114" s="99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45"/>
      <c r="AA114" s="63"/>
      <c r="AB114" s="63"/>
    </row>
    <row r="115" spans="1:28" ht="15.75" x14ac:dyDescent="0.25">
      <c r="A115" s="55" t="s">
        <v>247</v>
      </c>
      <c r="B115" s="146"/>
      <c r="C115" s="99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45"/>
      <c r="AA115" s="63"/>
      <c r="AB115" s="63"/>
    </row>
    <row r="116" spans="1:28" ht="15.75" x14ac:dyDescent="0.25">
      <c r="A116" s="57" t="s">
        <v>71</v>
      </c>
      <c r="B116" s="145">
        <f>B117+B118</f>
        <v>0</v>
      </c>
      <c r="C116" s="99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45"/>
      <c r="AA116" s="63"/>
      <c r="AB116" s="63"/>
    </row>
    <row r="117" spans="1:28" ht="15.75" x14ac:dyDescent="0.25">
      <c r="A117" s="55" t="s">
        <v>248</v>
      </c>
      <c r="B117" s="146"/>
      <c r="C117" s="99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45"/>
      <c r="AA117" s="63"/>
      <c r="AB117" s="63"/>
    </row>
    <row r="118" spans="1:28" ht="15.75" x14ac:dyDescent="0.25">
      <c r="A118" s="55" t="s">
        <v>249</v>
      </c>
      <c r="B118" s="146"/>
      <c r="C118" s="99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45"/>
      <c r="AA118" s="63"/>
      <c r="AB118" s="63"/>
    </row>
    <row r="119" spans="1:28" ht="15.75" x14ac:dyDescent="0.25">
      <c r="A119" s="57" t="s">
        <v>320</v>
      </c>
      <c r="B119" s="145">
        <f>B120+B121</f>
        <v>0</v>
      </c>
      <c r="C119" s="99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45"/>
      <c r="AA119" s="63"/>
      <c r="AB119" s="63"/>
    </row>
    <row r="120" spans="1:28" ht="15.75" x14ac:dyDescent="0.25">
      <c r="A120" s="55" t="s">
        <v>250</v>
      </c>
      <c r="B120" s="146"/>
      <c r="C120" s="99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45"/>
      <c r="AA120" s="63"/>
      <c r="AB120" s="63"/>
    </row>
    <row r="121" spans="1:28" ht="15.75" x14ac:dyDescent="0.25">
      <c r="A121" s="55" t="s">
        <v>251</v>
      </c>
      <c r="B121" s="146"/>
      <c r="C121" s="99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45"/>
      <c r="AA121" s="63"/>
      <c r="AB121" s="63"/>
    </row>
    <row r="122" spans="1:28" ht="15.75" x14ac:dyDescent="0.25">
      <c r="A122" s="57" t="s">
        <v>270</v>
      </c>
      <c r="B122" s="146">
        <v>0</v>
      </c>
      <c r="C122" s="99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45"/>
      <c r="AA122" s="63"/>
      <c r="AB122" s="63"/>
    </row>
    <row r="123" spans="1:28" ht="15.75" x14ac:dyDescent="0.25">
      <c r="A123" s="56" t="s">
        <v>73</v>
      </c>
      <c r="B123" s="145">
        <f>B124+B146+B153+B156+B160+B163+B166+B169+B172</f>
        <v>22</v>
      </c>
      <c r="C123" s="99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45"/>
      <c r="AA123" s="63"/>
      <c r="AB123" s="63"/>
    </row>
    <row r="124" spans="1:28" ht="15.75" x14ac:dyDescent="0.25">
      <c r="A124" s="57" t="s">
        <v>8</v>
      </c>
      <c r="B124" s="145">
        <f>B125+B132+B135+B139</f>
        <v>22</v>
      </c>
      <c r="C124" s="99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45"/>
      <c r="AA124" s="63"/>
      <c r="AB124" s="63"/>
    </row>
    <row r="125" spans="1:28" ht="15.75" x14ac:dyDescent="0.25">
      <c r="A125" s="55" t="s">
        <v>9</v>
      </c>
      <c r="B125" s="145">
        <f>B126+B129</f>
        <v>22</v>
      </c>
      <c r="C125" s="99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45"/>
      <c r="AA125" s="63"/>
      <c r="AB125" s="63"/>
    </row>
    <row r="126" spans="1:28" ht="15.75" x14ac:dyDescent="0.25">
      <c r="A126" s="55" t="s">
        <v>264</v>
      </c>
      <c r="B126" s="145">
        <f>B127+B128</f>
        <v>21</v>
      </c>
      <c r="C126" s="99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45"/>
      <c r="AA126" s="63"/>
      <c r="AB126" s="63"/>
    </row>
    <row r="127" spans="1:28" ht="15.75" x14ac:dyDescent="0.25">
      <c r="A127" s="55" t="s">
        <v>265</v>
      </c>
      <c r="B127" s="146">
        <v>19</v>
      </c>
      <c r="C127" s="99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45"/>
      <c r="AA127" s="63"/>
      <c r="AB127" s="63"/>
    </row>
    <row r="128" spans="1:28" ht="15.75" x14ac:dyDescent="0.25">
      <c r="A128" s="55" t="s">
        <v>266</v>
      </c>
      <c r="B128" s="146">
        <v>2</v>
      </c>
      <c r="C128" s="99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45"/>
      <c r="AA128" s="63"/>
      <c r="AB128" s="63"/>
    </row>
    <row r="129" spans="1:28" ht="15.75" x14ac:dyDescent="0.25">
      <c r="A129" s="55" t="s">
        <v>267</v>
      </c>
      <c r="B129" s="145">
        <f>B130+B131</f>
        <v>1</v>
      </c>
      <c r="C129" s="99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45"/>
      <c r="AA129" s="63"/>
      <c r="AB129" s="63"/>
    </row>
    <row r="130" spans="1:28" ht="15.75" x14ac:dyDescent="0.25">
      <c r="A130" s="55" t="s">
        <v>268</v>
      </c>
      <c r="B130" s="146">
        <v>1</v>
      </c>
      <c r="C130" s="99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45"/>
      <c r="AA130" s="63"/>
      <c r="AB130" s="63"/>
    </row>
    <row r="131" spans="1:28" ht="15.75" x14ac:dyDescent="0.25">
      <c r="A131" s="55" t="s">
        <v>269</v>
      </c>
      <c r="B131" s="146"/>
      <c r="C131" s="99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45"/>
      <c r="AA131" s="63"/>
      <c r="AB131" s="63"/>
    </row>
    <row r="132" spans="1:28" ht="15.75" x14ac:dyDescent="0.25">
      <c r="A132" s="55" t="s">
        <v>10</v>
      </c>
      <c r="B132" s="145">
        <f>B133+B134</f>
        <v>0</v>
      </c>
      <c r="C132" s="99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45"/>
      <c r="AA132" s="63"/>
      <c r="AB132" s="63"/>
    </row>
    <row r="133" spans="1:28" ht="15.75" x14ac:dyDescent="0.25">
      <c r="A133" s="55" t="s">
        <v>74</v>
      </c>
      <c r="B133" s="146"/>
      <c r="C133" s="99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45"/>
      <c r="AA133" s="63"/>
      <c r="AB133" s="63"/>
    </row>
    <row r="134" spans="1:28" ht="15.75" x14ac:dyDescent="0.25">
      <c r="A134" s="55" t="s">
        <v>203</v>
      </c>
      <c r="B134" s="146"/>
      <c r="C134" s="99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45"/>
      <c r="AA134" s="63"/>
      <c r="AB134" s="63"/>
    </row>
    <row r="135" spans="1:28" ht="15.75" x14ac:dyDescent="0.25">
      <c r="A135" s="55" t="s">
        <v>11</v>
      </c>
      <c r="B135" s="145">
        <f>B136+B137</f>
        <v>0</v>
      </c>
      <c r="C135" s="99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45"/>
      <c r="AA135" s="63"/>
      <c r="AB135" s="63"/>
    </row>
    <row r="136" spans="1:28" ht="15.75" x14ac:dyDescent="0.25">
      <c r="A136" s="55" t="s">
        <v>75</v>
      </c>
      <c r="B136" s="146"/>
      <c r="C136" s="99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45"/>
      <c r="AA136" s="63"/>
      <c r="AB136" s="63"/>
    </row>
    <row r="137" spans="1:28" ht="15.75" x14ac:dyDescent="0.25">
      <c r="A137" s="55" t="s">
        <v>204</v>
      </c>
      <c r="B137" s="146"/>
      <c r="C137" s="99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45"/>
      <c r="AA137" s="63"/>
      <c r="AB137" s="63"/>
    </row>
    <row r="138" spans="1:28" ht="15.75" x14ac:dyDescent="0.25">
      <c r="A138" s="55" t="s">
        <v>321</v>
      </c>
      <c r="B138" s="148"/>
      <c r="C138" s="99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45"/>
      <c r="AA138" s="63"/>
      <c r="AB138" s="63"/>
    </row>
    <row r="139" spans="1:28" ht="15.75" x14ac:dyDescent="0.25">
      <c r="A139" s="55" t="s">
        <v>322</v>
      </c>
      <c r="B139" s="145">
        <f>B140+B143</f>
        <v>0</v>
      </c>
      <c r="C139" s="99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45"/>
      <c r="AA139" s="63"/>
      <c r="AB139" s="63"/>
    </row>
    <row r="140" spans="1:28" ht="15.75" x14ac:dyDescent="0.25">
      <c r="A140" s="55" t="s">
        <v>150</v>
      </c>
      <c r="B140" s="145">
        <f>B141+B142</f>
        <v>0</v>
      </c>
      <c r="C140" s="99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45"/>
      <c r="AA140" s="63"/>
      <c r="AB140" s="63"/>
    </row>
    <row r="141" spans="1:28" ht="15.75" x14ac:dyDescent="0.25">
      <c r="A141" s="55" t="s">
        <v>151</v>
      </c>
      <c r="B141" s="146"/>
      <c r="C141" s="99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45"/>
      <c r="AA141" s="63"/>
      <c r="AB141" s="63"/>
    </row>
    <row r="142" spans="1:28" ht="15.75" x14ac:dyDescent="0.25">
      <c r="A142" s="55" t="s">
        <v>252</v>
      </c>
      <c r="B142" s="146"/>
      <c r="C142" s="99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45"/>
      <c r="AA142" s="63"/>
      <c r="AB142" s="63"/>
    </row>
    <row r="143" spans="1:28" ht="15.75" x14ac:dyDescent="0.25">
      <c r="A143" s="55" t="s">
        <v>152</v>
      </c>
      <c r="B143" s="145">
        <f>B144+B145</f>
        <v>0</v>
      </c>
      <c r="C143" s="99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45"/>
      <c r="AA143" s="63"/>
      <c r="AB143" s="63"/>
    </row>
    <row r="144" spans="1:28" ht="15.75" x14ac:dyDescent="0.25">
      <c r="A144" s="55" t="s">
        <v>153</v>
      </c>
      <c r="B144" s="146"/>
      <c r="C144" s="99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45"/>
      <c r="AA144" s="63"/>
      <c r="AB144" s="63"/>
    </row>
    <row r="145" spans="1:28" ht="15.75" x14ac:dyDescent="0.25">
      <c r="A145" s="55" t="s">
        <v>205</v>
      </c>
      <c r="B145" s="146"/>
      <c r="C145" s="99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45"/>
      <c r="AA145" s="63"/>
      <c r="AB145" s="63"/>
    </row>
    <row r="146" spans="1:28" ht="15.75" x14ac:dyDescent="0.25">
      <c r="A146" s="57" t="s">
        <v>76</v>
      </c>
      <c r="B146" s="145">
        <f>B147+B150</f>
        <v>0</v>
      </c>
      <c r="C146" s="99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45"/>
      <c r="AA146" s="63"/>
      <c r="AB146" s="63"/>
    </row>
    <row r="147" spans="1:28" ht="15.75" x14ac:dyDescent="0.25">
      <c r="A147" s="2" t="s">
        <v>77</v>
      </c>
      <c r="B147" s="145">
        <f>B148+B149</f>
        <v>0</v>
      </c>
      <c r="C147" s="99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45"/>
      <c r="AA147" s="63"/>
      <c r="AB147" s="63"/>
    </row>
    <row r="148" spans="1:28" ht="15.75" x14ac:dyDescent="0.25">
      <c r="A148" s="2" t="s">
        <v>78</v>
      </c>
      <c r="B148" s="146"/>
      <c r="C148" s="99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45"/>
      <c r="AA148" s="63"/>
      <c r="AB148" s="63"/>
    </row>
    <row r="149" spans="1:28" ht="15.75" x14ac:dyDescent="0.25">
      <c r="A149" s="2" t="s">
        <v>206</v>
      </c>
      <c r="B149" s="146"/>
      <c r="C149" s="99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45"/>
      <c r="AA149" s="63"/>
      <c r="AB149" s="63"/>
    </row>
    <row r="150" spans="1:28" ht="15.75" x14ac:dyDescent="0.25">
      <c r="A150" s="2" t="s">
        <v>79</v>
      </c>
      <c r="B150" s="145">
        <f>B151+B152</f>
        <v>0</v>
      </c>
      <c r="C150" s="99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45"/>
      <c r="AA150" s="63"/>
      <c r="AB150" s="63"/>
    </row>
    <row r="151" spans="1:28" ht="15.75" x14ac:dyDescent="0.25">
      <c r="A151" s="2" t="s">
        <v>80</v>
      </c>
      <c r="B151" s="146"/>
      <c r="C151" s="99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45"/>
      <c r="AA151" s="63"/>
      <c r="AB151" s="63"/>
    </row>
    <row r="152" spans="1:28" ht="15.75" x14ac:dyDescent="0.25">
      <c r="A152" s="55" t="s">
        <v>207</v>
      </c>
      <c r="B152" s="146"/>
      <c r="C152" s="99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45"/>
      <c r="AA152" s="63"/>
      <c r="AB152" s="63"/>
    </row>
    <row r="153" spans="1:28" ht="15.75" x14ac:dyDescent="0.25">
      <c r="A153" s="57" t="s">
        <v>81</v>
      </c>
      <c r="B153" s="145">
        <f>B154+B155</f>
        <v>0</v>
      </c>
      <c r="C153" s="99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45"/>
      <c r="AA153" s="63"/>
      <c r="AB153" s="63"/>
    </row>
    <row r="154" spans="1:28" ht="15.75" x14ac:dyDescent="0.25">
      <c r="A154" s="55" t="s">
        <v>82</v>
      </c>
      <c r="B154" s="146"/>
      <c r="C154" s="99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45"/>
      <c r="AA154" s="63"/>
      <c r="AB154" s="63"/>
    </row>
    <row r="155" spans="1:28" ht="15.75" x14ac:dyDescent="0.25">
      <c r="A155" s="55" t="s">
        <v>208</v>
      </c>
      <c r="B155" s="146"/>
      <c r="C155" s="99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45"/>
      <c r="AA155" s="63"/>
      <c r="AB155" s="63"/>
    </row>
    <row r="156" spans="1:28" ht="15.75" x14ac:dyDescent="0.25">
      <c r="A156" s="57" t="s">
        <v>12</v>
      </c>
      <c r="B156" s="145">
        <f>B157</f>
        <v>0</v>
      </c>
      <c r="C156" s="99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45"/>
      <c r="AA156" s="63"/>
      <c r="AB156" s="63"/>
    </row>
    <row r="157" spans="1:28" ht="15.75" x14ac:dyDescent="0.25">
      <c r="A157" s="55" t="s">
        <v>83</v>
      </c>
      <c r="B157" s="145">
        <f>B158+B159</f>
        <v>0</v>
      </c>
      <c r="C157" s="99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45"/>
      <c r="AA157" s="63"/>
      <c r="AB157" s="63"/>
    </row>
    <row r="158" spans="1:28" ht="15.75" x14ac:dyDescent="0.25">
      <c r="A158" s="2" t="s">
        <v>84</v>
      </c>
      <c r="B158" s="146"/>
      <c r="C158" s="99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45"/>
      <c r="AA158" s="63"/>
      <c r="AB158" s="63"/>
    </row>
    <row r="159" spans="1:28" ht="15.75" x14ac:dyDescent="0.25">
      <c r="A159" s="2" t="s">
        <v>209</v>
      </c>
      <c r="B159" s="146"/>
      <c r="C159" s="99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45"/>
      <c r="AA159" s="63"/>
      <c r="AB159" s="63"/>
    </row>
    <row r="160" spans="1:28" ht="15.75" x14ac:dyDescent="0.25">
      <c r="A160" s="57" t="s">
        <v>233</v>
      </c>
      <c r="B160" s="145">
        <f>B161+B162</f>
        <v>0</v>
      </c>
      <c r="C160" s="99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45"/>
      <c r="AA160" s="63"/>
      <c r="AB160" s="63"/>
    </row>
    <row r="161" spans="1:28" ht="15.75" x14ac:dyDescent="0.25">
      <c r="A161" s="55" t="s">
        <v>281</v>
      </c>
      <c r="B161" s="146"/>
      <c r="C161" s="99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45"/>
      <c r="AA161" s="63"/>
      <c r="AB161" s="63"/>
    </row>
    <row r="162" spans="1:28" ht="15.75" x14ac:dyDescent="0.25">
      <c r="A162" s="55" t="s">
        <v>282</v>
      </c>
      <c r="B162" s="146"/>
      <c r="C162" s="99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45"/>
      <c r="AA162" s="63"/>
      <c r="AB162" s="63"/>
    </row>
    <row r="163" spans="1:28" ht="15.75" x14ac:dyDescent="0.25">
      <c r="A163" s="57" t="s">
        <v>13</v>
      </c>
      <c r="B163" s="145">
        <f>B164+B165</f>
        <v>0</v>
      </c>
      <c r="C163" s="99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45"/>
      <c r="AA163" s="63"/>
      <c r="AB163" s="63"/>
    </row>
    <row r="164" spans="1:28" ht="15.75" x14ac:dyDescent="0.25">
      <c r="A164" s="55" t="s">
        <v>85</v>
      </c>
      <c r="B164" s="146"/>
      <c r="C164" s="99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45"/>
      <c r="AA164" s="63"/>
      <c r="AB164" s="63"/>
    </row>
    <row r="165" spans="1:28" ht="15.75" x14ac:dyDescent="0.25">
      <c r="A165" s="55" t="s">
        <v>210</v>
      </c>
      <c r="B165" s="146"/>
      <c r="C165" s="99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45"/>
      <c r="AA165" s="63"/>
      <c r="AB165" s="63"/>
    </row>
    <row r="166" spans="1:28" ht="15.75" x14ac:dyDescent="0.25">
      <c r="A166" s="57" t="s">
        <v>14</v>
      </c>
      <c r="B166" s="145">
        <f>B167+B168</f>
        <v>0</v>
      </c>
      <c r="C166" s="99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45"/>
      <c r="AA166" s="63"/>
      <c r="AB166" s="63"/>
    </row>
    <row r="167" spans="1:28" ht="15.75" x14ac:dyDescent="0.25">
      <c r="A167" s="55" t="s">
        <v>253</v>
      </c>
      <c r="B167" s="146"/>
      <c r="C167" s="99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45"/>
      <c r="AA167" s="63"/>
      <c r="AB167" s="63"/>
    </row>
    <row r="168" spans="1:28" ht="15.75" x14ac:dyDescent="0.25">
      <c r="A168" s="55" t="s">
        <v>254</v>
      </c>
      <c r="B168" s="146"/>
      <c r="C168" s="99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45"/>
      <c r="AA168" s="63"/>
      <c r="AB168" s="63"/>
    </row>
    <row r="169" spans="1:28" ht="15.75" x14ac:dyDescent="0.25">
      <c r="A169" s="57" t="s">
        <v>323</v>
      </c>
      <c r="B169" s="145">
        <f>B170+B171</f>
        <v>0</v>
      </c>
      <c r="C169" s="99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45"/>
      <c r="AA169" s="63"/>
      <c r="AB169" s="63"/>
    </row>
    <row r="170" spans="1:28" ht="15.75" x14ac:dyDescent="0.25">
      <c r="A170" s="55" t="s">
        <v>255</v>
      </c>
      <c r="B170" s="146"/>
      <c r="C170" s="99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45"/>
      <c r="AA170" s="63"/>
      <c r="AB170" s="63"/>
    </row>
    <row r="171" spans="1:28" ht="15.75" x14ac:dyDescent="0.25">
      <c r="A171" s="55" t="s">
        <v>256</v>
      </c>
      <c r="B171" s="146"/>
      <c r="C171" s="99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45"/>
      <c r="AA171" s="63"/>
      <c r="AB171" s="63"/>
    </row>
    <row r="172" spans="1:28" ht="15.75" x14ac:dyDescent="0.25">
      <c r="A172" s="57" t="s">
        <v>234</v>
      </c>
      <c r="B172" s="145">
        <f>B174+B173</f>
        <v>0</v>
      </c>
      <c r="C172" s="99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45"/>
      <c r="AA172" s="63"/>
      <c r="AB172" s="63"/>
    </row>
    <row r="173" spans="1:28" ht="15.75" x14ac:dyDescent="0.25">
      <c r="A173" s="55" t="s">
        <v>235</v>
      </c>
      <c r="B173" s="147"/>
      <c r="C173" s="99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45"/>
      <c r="AA173" s="63"/>
      <c r="AB173" s="63"/>
    </row>
    <row r="174" spans="1:28" ht="15.75" x14ac:dyDescent="0.25">
      <c r="A174" s="55" t="s">
        <v>236</v>
      </c>
      <c r="B174" s="146"/>
      <c r="C174" s="99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45"/>
      <c r="AA174" s="63"/>
      <c r="AB174" s="63"/>
    </row>
    <row r="175" spans="1:28" ht="15.75" x14ac:dyDescent="0.25">
      <c r="A175" s="62" t="s">
        <v>86</v>
      </c>
      <c r="B175" s="148"/>
      <c r="C175" s="99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45"/>
      <c r="AA175" s="63"/>
      <c r="AB175" s="63"/>
    </row>
    <row r="176" spans="1:28" ht="15.75" x14ac:dyDescent="0.25">
      <c r="A176" s="81" t="s">
        <v>87</v>
      </c>
      <c r="B176" s="145">
        <f>B178+B177</f>
        <v>0</v>
      </c>
      <c r="C176" s="99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45"/>
      <c r="AA176" s="63"/>
      <c r="AB176" s="63"/>
    </row>
    <row r="177" spans="1:28" ht="15.75" x14ac:dyDescent="0.25">
      <c r="A177" s="55" t="s">
        <v>257</v>
      </c>
      <c r="B177" s="146"/>
      <c r="C177" s="99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45"/>
      <c r="AA177" s="63"/>
      <c r="AB177" s="63"/>
    </row>
    <row r="178" spans="1:28" ht="15.75" x14ac:dyDescent="0.25">
      <c r="A178" s="55" t="s">
        <v>258</v>
      </c>
      <c r="B178" s="146"/>
      <c r="C178" s="99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45"/>
      <c r="AA178" s="63"/>
      <c r="AB178" s="63"/>
    </row>
    <row r="179" spans="1:28" ht="15.75" x14ac:dyDescent="0.25">
      <c r="A179" s="62" t="s">
        <v>88</v>
      </c>
      <c r="B179" s="146"/>
      <c r="C179" s="99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45"/>
      <c r="AA179" s="63"/>
      <c r="AB179" s="63"/>
    </row>
    <row r="180" spans="1:28" ht="15.75" x14ac:dyDescent="0.25">
      <c r="A180" s="81" t="s">
        <v>15</v>
      </c>
      <c r="B180" s="145">
        <f>B181+B182</f>
        <v>0</v>
      </c>
      <c r="C180" s="99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45"/>
      <c r="AA180" s="63"/>
      <c r="AB180" s="63"/>
    </row>
    <row r="181" spans="1:28" ht="15.75" x14ac:dyDescent="0.25">
      <c r="A181" s="55" t="s">
        <v>16</v>
      </c>
      <c r="B181" s="146"/>
      <c r="C181" s="99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45"/>
      <c r="AA181" s="63"/>
      <c r="AB181" s="63"/>
    </row>
    <row r="182" spans="1:28" ht="15.75" x14ac:dyDescent="0.25">
      <c r="A182" s="55" t="s">
        <v>211</v>
      </c>
      <c r="B182" s="146"/>
      <c r="C182" s="99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45"/>
      <c r="AA182" s="63"/>
      <c r="AB182" s="63"/>
    </row>
    <row r="183" spans="1:28" ht="15.75" x14ac:dyDescent="0.25">
      <c r="A183" s="62" t="s">
        <v>124</v>
      </c>
      <c r="B183" s="146"/>
      <c r="C183" s="99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45"/>
      <c r="AA183" s="63"/>
      <c r="AB183" s="63"/>
    </row>
    <row r="184" spans="1:28" ht="15.75" x14ac:dyDescent="0.25">
      <c r="A184" s="62" t="s">
        <v>89</v>
      </c>
      <c r="B184" s="146"/>
      <c r="C184" s="99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45"/>
      <c r="AA184" s="63"/>
      <c r="AB184" s="63"/>
    </row>
    <row r="185" spans="1:28" ht="15.75" x14ac:dyDescent="0.25">
      <c r="A185" s="62" t="s">
        <v>285</v>
      </c>
      <c r="B185" s="159"/>
      <c r="C185" s="99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45"/>
      <c r="AA185" s="63"/>
      <c r="AB185" s="63"/>
    </row>
    <row r="186" spans="1:28" ht="15.75" x14ac:dyDescent="0.25">
      <c r="A186" s="81" t="s">
        <v>434</v>
      </c>
      <c r="B186" s="145">
        <f>B187</f>
        <v>0</v>
      </c>
      <c r="C186" s="99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45"/>
      <c r="AA186" s="63"/>
      <c r="AB186" s="63"/>
    </row>
    <row r="187" spans="1:28" ht="15.75" x14ac:dyDescent="0.25">
      <c r="A187" s="55" t="s">
        <v>435</v>
      </c>
      <c r="B187" s="159"/>
      <c r="C187" s="99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45"/>
      <c r="AA187" s="63"/>
      <c r="AB187" s="63"/>
    </row>
    <row r="188" spans="1:28" ht="15.75" x14ac:dyDescent="0.25">
      <c r="A188" s="81" t="s">
        <v>436</v>
      </c>
      <c r="B188" s="145">
        <f>SUM(B189:B191)</f>
        <v>0</v>
      </c>
      <c r="C188" s="99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45"/>
      <c r="AA188" s="63"/>
      <c r="AB188" s="63"/>
    </row>
    <row r="189" spans="1:28" ht="15.75" x14ac:dyDescent="0.25">
      <c r="A189" s="55" t="s">
        <v>324</v>
      </c>
      <c r="B189" s="146"/>
      <c r="C189" s="99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45"/>
      <c r="AA189" s="63"/>
      <c r="AB189" s="63"/>
    </row>
    <row r="190" spans="1:28" ht="15.75" x14ac:dyDescent="0.25">
      <c r="A190" s="55" t="s">
        <v>437</v>
      </c>
      <c r="B190" s="146"/>
      <c r="C190" s="99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45"/>
      <c r="AA190" s="63"/>
      <c r="AB190" s="63"/>
    </row>
    <row r="191" spans="1:28" ht="15.75" x14ac:dyDescent="0.25">
      <c r="A191" s="55" t="s">
        <v>438</v>
      </c>
      <c r="B191" s="146"/>
      <c r="C191" s="99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45"/>
      <c r="AA191" s="63"/>
      <c r="AB191" s="63"/>
    </row>
    <row r="192" spans="1:28" ht="15.75" x14ac:dyDescent="0.25">
      <c r="A192" s="81" t="s">
        <v>439</v>
      </c>
      <c r="B192" s="145">
        <f>SUM(B193:B195)</f>
        <v>0</v>
      </c>
      <c r="C192" s="99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45"/>
      <c r="AA192" s="63"/>
      <c r="AB192" s="63"/>
    </row>
    <row r="193" spans="1:28" ht="15.75" x14ac:dyDescent="0.25">
      <c r="A193" s="55" t="s">
        <v>440</v>
      </c>
      <c r="B193" s="146"/>
      <c r="C193" s="99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45"/>
      <c r="AA193" s="63"/>
      <c r="AB193" s="63"/>
    </row>
    <row r="194" spans="1:28" ht="15.75" x14ac:dyDescent="0.25">
      <c r="A194" s="55" t="s">
        <v>441</v>
      </c>
      <c r="B194" s="146"/>
      <c r="C194" s="99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45"/>
      <c r="AA194" s="63"/>
      <c r="AB194" s="63"/>
    </row>
    <row r="195" spans="1:28" ht="15.75" x14ac:dyDescent="0.25">
      <c r="A195" s="55" t="s">
        <v>442</v>
      </c>
      <c r="B195" s="146"/>
      <c r="C195" s="99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45"/>
      <c r="AA195" s="63"/>
      <c r="AB195" s="63"/>
    </row>
    <row r="196" spans="1:28" ht="15.75" x14ac:dyDescent="0.25">
      <c r="A196" s="62" t="s">
        <v>90</v>
      </c>
      <c r="B196" s="145"/>
      <c r="C196" s="99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45"/>
      <c r="AA196" s="63"/>
      <c r="AB196" s="63"/>
    </row>
    <row r="197" spans="1:28" ht="15.75" x14ac:dyDescent="0.25">
      <c r="A197" s="57" t="s">
        <v>91</v>
      </c>
      <c r="B197" s="145">
        <f>B198+B199+B200</f>
        <v>0</v>
      </c>
      <c r="C197" s="99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45"/>
      <c r="AA197" s="63"/>
      <c r="AB197" s="63"/>
    </row>
    <row r="198" spans="1:28" ht="15.75" x14ac:dyDescent="0.25">
      <c r="A198" s="55" t="s">
        <v>92</v>
      </c>
      <c r="B198" s="146"/>
      <c r="C198" s="99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45"/>
      <c r="AA198" s="63"/>
      <c r="AB198" s="63"/>
    </row>
    <row r="199" spans="1:28" ht="15.75" x14ac:dyDescent="0.25">
      <c r="A199" s="55" t="s">
        <v>93</v>
      </c>
      <c r="B199" s="146"/>
      <c r="C199" s="99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45"/>
      <c r="AA199" s="63"/>
      <c r="AB199" s="63"/>
    </row>
    <row r="200" spans="1:28" ht="15.75" x14ac:dyDescent="0.25">
      <c r="A200" s="55" t="s">
        <v>94</v>
      </c>
      <c r="B200" s="146"/>
      <c r="C200" s="99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45"/>
      <c r="AA200" s="63"/>
      <c r="AB200" s="63"/>
    </row>
    <row r="201" spans="1:28" ht="15.75" x14ac:dyDescent="0.25">
      <c r="A201" s="57" t="s">
        <v>95</v>
      </c>
      <c r="B201" s="145">
        <f>B202+B203+B204+B205</f>
        <v>0</v>
      </c>
      <c r="C201" s="99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45"/>
      <c r="AA201" s="63"/>
      <c r="AB201" s="63"/>
    </row>
    <row r="202" spans="1:28" ht="15.75" x14ac:dyDescent="0.25">
      <c r="A202" s="55" t="s">
        <v>96</v>
      </c>
      <c r="B202" s="146"/>
      <c r="C202" s="99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45"/>
      <c r="AA202" s="63"/>
      <c r="AB202" s="63"/>
    </row>
    <row r="203" spans="1:28" ht="15.75" customHeight="1" x14ac:dyDescent="0.25">
      <c r="A203" s="55" t="s">
        <v>98</v>
      </c>
      <c r="B203" s="146"/>
      <c r="C203" s="99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45"/>
      <c r="AA203" s="63"/>
      <c r="AB203" s="63"/>
    </row>
    <row r="204" spans="1:28" ht="12.75" customHeight="1" x14ac:dyDescent="0.25">
      <c r="A204" s="55" t="s">
        <v>97</v>
      </c>
      <c r="B204" s="146"/>
      <c r="C204" s="99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45"/>
      <c r="AA204" s="63"/>
      <c r="AB204" s="63"/>
    </row>
    <row r="205" spans="1:28" ht="26.25" x14ac:dyDescent="0.25">
      <c r="A205" s="55" t="s">
        <v>99</v>
      </c>
      <c r="B205" s="146"/>
      <c r="C205" s="99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45"/>
      <c r="AA205" s="63"/>
      <c r="AB205" s="63"/>
    </row>
    <row r="206" spans="1:28" ht="15.75" x14ac:dyDescent="0.25">
      <c r="A206" s="57" t="s">
        <v>100</v>
      </c>
      <c r="B206" s="145">
        <f>B207+B208+B209+B210</f>
        <v>0</v>
      </c>
      <c r="C206" s="99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45"/>
      <c r="AA206" s="63"/>
      <c r="AB206" s="63"/>
    </row>
    <row r="207" spans="1:28" ht="18.75" customHeight="1" x14ac:dyDescent="0.25">
      <c r="A207" s="55" t="s">
        <v>101</v>
      </c>
      <c r="B207" s="146"/>
      <c r="C207" s="99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45"/>
      <c r="AA207" s="63"/>
      <c r="AB207" s="63"/>
    </row>
    <row r="208" spans="1:28" ht="15.75" x14ac:dyDescent="0.25">
      <c r="A208" s="55" t="s">
        <v>102</v>
      </c>
      <c r="B208" s="146"/>
      <c r="C208" s="99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45"/>
      <c r="AA208" s="63"/>
      <c r="AB208" s="63"/>
    </row>
    <row r="209" spans="1:28" ht="15.75" customHeight="1" x14ac:dyDescent="0.25">
      <c r="A209" s="55" t="s">
        <v>103</v>
      </c>
      <c r="B209" s="146"/>
      <c r="C209" s="99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45"/>
      <c r="AA209" s="63"/>
      <c r="AB209" s="63"/>
    </row>
    <row r="210" spans="1:28" ht="26.25" x14ac:dyDescent="0.25">
      <c r="A210" s="55" t="s">
        <v>104</v>
      </c>
      <c r="B210" s="146"/>
      <c r="C210" s="99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45"/>
      <c r="AA210" s="63"/>
      <c r="AB210" s="63"/>
    </row>
    <row r="211" spans="1:28" ht="15.75" x14ac:dyDescent="0.25">
      <c r="A211" s="57" t="s">
        <v>105</v>
      </c>
      <c r="B211" s="145">
        <f>B212+B215+B218+B221</f>
        <v>0</v>
      </c>
      <c r="C211" s="99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45"/>
      <c r="AA211" s="63"/>
      <c r="AB211" s="63"/>
    </row>
    <row r="212" spans="1:28" ht="15.75" x14ac:dyDescent="0.25">
      <c r="A212" s="55" t="s">
        <v>106</v>
      </c>
      <c r="B212" s="145">
        <f>B213+B214</f>
        <v>0</v>
      </c>
      <c r="C212" s="99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45"/>
      <c r="AA212" s="63"/>
      <c r="AB212" s="63"/>
    </row>
    <row r="213" spans="1:28" ht="15.75" x14ac:dyDescent="0.25">
      <c r="A213" s="55" t="s">
        <v>107</v>
      </c>
      <c r="B213" s="146"/>
      <c r="C213" s="99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45"/>
      <c r="AA213" s="63"/>
      <c r="AB213" s="63"/>
    </row>
    <row r="214" spans="1:28" ht="15.75" x14ac:dyDescent="0.25">
      <c r="A214" s="55" t="s">
        <v>259</v>
      </c>
      <c r="B214" s="146"/>
      <c r="C214" s="99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45"/>
      <c r="AA214" s="63"/>
      <c r="AB214" s="63"/>
    </row>
    <row r="215" spans="1:28" ht="15.75" x14ac:dyDescent="0.25">
      <c r="A215" s="55" t="s">
        <v>108</v>
      </c>
      <c r="B215" s="145">
        <f>B216+B217</f>
        <v>0</v>
      </c>
      <c r="C215" s="99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45"/>
      <c r="AA215" s="63"/>
      <c r="AB215" s="63"/>
    </row>
    <row r="216" spans="1:28" ht="15.75" x14ac:dyDescent="0.25">
      <c r="A216" s="55" t="s">
        <v>111</v>
      </c>
      <c r="B216" s="146"/>
      <c r="C216" s="99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45"/>
      <c r="AA216" s="63"/>
      <c r="AB216" s="63"/>
    </row>
    <row r="217" spans="1:28" ht="15.75" x14ac:dyDescent="0.25">
      <c r="A217" s="55" t="s">
        <v>212</v>
      </c>
      <c r="B217" s="146"/>
      <c r="C217" s="99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45"/>
      <c r="AA217" s="63"/>
      <c r="AB217" s="63"/>
    </row>
    <row r="218" spans="1:28" ht="15.75" customHeight="1" x14ac:dyDescent="0.25">
      <c r="A218" s="55" t="s">
        <v>109</v>
      </c>
      <c r="B218" s="145">
        <f>B219+B220</f>
        <v>0</v>
      </c>
      <c r="C218" s="99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45"/>
      <c r="AA218" s="63"/>
      <c r="AB218" s="63"/>
    </row>
    <row r="219" spans="1:28" ht="15.75" x14ac:dyDescent="0.25">
      <c r="A219" s="55" t="s">
        <v>110</v>
      </c>
      <c r="B219" s="147"/>
      <c r="C219" s="99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45"/>
      <c r="AA219" s="63"/>
      <c r="AB219" s="63"/>
    </row>
    <row r="220" spans="1:28" ht="15.75" customHeight="1" x14ac:dyDescent="0.25">
      <c r="A220" s="55" t="s">
        <v>213</v>
      </c>
      <c r="B220" s="147"/>
      <c r="C220" s="99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45"/>
      <c r="AA220" s="63"/>
      <c r="AB220" s="63"/>
    </row>
    <row r="221" spans="1:28" ht="26.25" x14ac:dyDescent="0.25">
      <c r="A221" s="55" t="s">
        <v>112</v>
      </c>
      <c r="B221" s="145">
        <f>B222+B223</f>
        <v>0</v>
      </c>
      <c r="C221" s="99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45"/>
      <c r="AA221" s="63"/>
      <c r="AB221" s="63"/>
    </row>
    <row r="222" spans="1:28" ht="15.75" x14ac:dyDescent="0.25">
      <c r="A222" s="55" t="s">
        <v>113</v>
      </c>
      <c r="B222" s="146"/>
      <c r="C222" s="99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45"/>
      <c r="AA222" s="63"/>
      <c r="AB222" s="63"/>
    </row>
    <row r="223" spans="1:28" ht="15.75" x14ac:dyDescent="0.25">
      <c r="A223" s="55" t="s">
        <v>214</v>
      </c>
      <c r="B223" s="146"/>
      <c r="C223" s="99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45"/>
      <c r="AA223" s="63"/>
      <c r="AB223" s="63"/>
    </row>
    <row r="224" spans="1:28" ht="15.75" x14ac:dyDescent="0.25">
      <c r="A224" s="57" t="s">
        <v>114</v>
      </c>
      <c r="B224" s="145">
        <f>B225+B228+B231</f>
        <v>0</v>
      </c>
      <c r="C224" s="99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45"/>
      <c r="AA224" s="63"/>
      <c r="AB224" s="63"/>
    </row>
    <row r="225" spans="1:28" ht="15.75" x14ac:dyDescent="0.25">
      <c r="A225" s="55" t="s">
        <v>115</v>
      </c>
      <c r="B225" s="145">
        <f>B226+B227</f>
        <v>0</v>
      </c>
      <c r="C225" s="99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45"/>
      <c r="AA225" s="63"/>
      <c r="AB225" s="63"/>
    </row>
    <row r="226" spans="1:28" ht="15.75" x14ac:dyDescent="0.25">
      <c r="A226" s="55" t="s">
        <v>116</v>
      </c>
      <c r="B226" s="146"/>
      <c r="C226" s="99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45"/>
      <c r="AA226" s="63"/>
      <c r="AB226" s="63"/>
    </row>
    <row r="227" spans="1:28" ht="15.75" x14ac:dyDescent="0.25">
      <c r="A227" s="55" t="s">
        <v>215</v>
      </c>
      <c r="B227" s="146"/>
      <c r="C227" s="99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45"/>
      <c r="AA227" s="63"/>
      <c r="AB227" s="63"/>
    </row>
    <row r="228" spans="1:28" ht="15.75" x14ac:dyDescent="0.25">
      <c r="A228" s="55" t="s">
        <v>117</v>
      </c>
      <c r="B228" s="145">
        <f>B229+B230</f>
        <v>0</v>
      </c>
      <c r="C228" s="99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45"/>
      <c r="AA228" s="63"/>
      <c r="AB228" s="63"/>
    </row>
    <row r="229" spans="1:28" ht="15.75" x14ac:dyDescent="0.25">
      <c r="A229" s="55" t="s">
        <v>118</v>
      </c>
      <c r="B229" s="146"/>
      <c r="C229" s="99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45"/>
      <c r="AA229" s="63"/>
      <c r="AB229" s="63"/>
    </row>
    <row r="230" spans="1:28" ht="15.75" customHeight="1" x14ac:dyDescent="0.25">
      <c r="A230" s="55" t="s">
        <v>216</v>
      </c>
      <c r="B230" s="146"/>
      <c r="C230" s="99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45"/>
      <c r="AA230" s="63"/>
      <c r="AB230" s="63"/>
    </row>
    <row r="231" spans="1:28" ht="26.25" x14ac:dyDescent="0.25">
      <c r="A231" s="55" t="s">
        <v>119</v>
      </c>
      <c r="B231" s="145">
        <f>B232+B233</f>
        <v>0</v>
      </c>
      <c r="C231" s="99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45"/>
      <c r="AA231" s="63"/>
      <c r="AB231" s="63"/>
    </row>
    <row r="232" spans="1:28" ht="15.75" x14ac:dyDescent="0.25">
      <c r="A232" s="55" t="s">
        <v>120</v>
      </c>
      <c r="B232" s="146"/>
      <c r="C232" s="99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45"/>
      <c r="AA232" s="63"/>
      <c r="AB232" s="63"/>
    </row>
    <row r="233" spans="1:28" ht="15.75" x14ac:dyDescent="0.25">
      <c r="A233" s="55" t="s">
        <v>217</v>
      </c>
      <c r="B233" s="146"/>
      <c r="C233" s="99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45"/>
      <c r="AA233" s="63"/>
      <c r="AB233" s="63"/>
    </row>
    <row r="234" spans="1:28" ht="15.75" x14ac:dyDescent="0.25">
      <c r="A234" s="57" t="s">
        <v>121</v>
      </c>
      <c r="B234" s="145">
        <f>B235+B238+B241</f>
        <v>0</v>
      </c>
      <c r="C234" s="99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45"/>
      <c r="AA234" s="63"/>
      <c r="AB234" s="63"/>
    </row>
    <row r="235" spans="1:28" ht="15.75" x14ac:dyDescent="0.25">
      <c r="A235" s="55" t="s">
        <v>122</v>
      </c>
      <c r="B235" s="145">
        <f>B236+B237</f>
        <v>0</v>
      </c>
      <c r="C235" s="99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45"/>
      <c r="AA235" s="63"/>
      <c r="AB235" s="63"/>
    </row>
    <row r="236" spans="1:28" ht="15.75" x14ac:dyDescent="0.25">
      <c r="A236" s="55" t="s">
        <v>123</v>
      </c>
      <c r="B236" s="146"/>
      <c r="C236" s="99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45"/>
      <c r="AA236" s="63"/>
      <c r="AB236" s="63"/>
    </row>
    <row r="237" spans="1:28" ht="15.75" x14ac:dyDescent="0.25">
      <c r="A237" s="55" t="s">
        <v>218</v>
      </c>
      <c r="B237" s="146"/>
      <c r="C237" s="99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45"/>
      <c r="AA237" s="63"/>
      <c r="AB237" s="63"/>
    </row>
    <row r="238" spans="1:28" ht="15.75" x14ac:dyDescent="0.25">
      <c r="A238" s="55" t="s">
        <v>125</v>
      </c>
      <c r="B238" s="145">
        <f>B239+B240</f>
        <v>0</v>
      </c>
      <c r="C238" s="99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45"/>
      <c r="AA238" s="63"/>
      <c r="AB238" s="63"/>
    </row>
    <row r="239" spans="1:28" ht="15.75" x14ac:dyDescent="0.25">
      <c r="A239" s="55" t="s">
        <v>126</v>
      </c>
      <c r="B239" s="146"/>
      <c r="C239" s="99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45"/>
      <c r="AA239" s="63"/>
      <c r="AB239" s="63"/>
    </row>
    <row r="240" spans="1:28" ht="15.75" customHeight="1" x14ac:dyDescent="0.25">
      <c r="A240" s="55" t="s">
        <v>219</v>
      </c>
      <c r="B240" s="146"/>
      <c r="C240" s="99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45"/>
      <c r="AA240" s="63"/>
      <c r="AB240" s="63"/>
    </row>
    <row r="241" spans="1:28" ht="26.25" x14ac:dyDescent="0.25">
      <c r="A241" s="55" t="s">
        <v>127</v>
      </c>
      <c r="B241" s="145">
        <f>B242+B243</f>
        <v>0</v>
      </c>
      <c r="C241" s="99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45"/>
      <c r="AA241" s="63"/>
      <c r="AB241" s="63"/>
    </row>
    <row r="242" spans="1:28" ht="15.75" x14ac:dyDescent="0.25">
      <c r="A242" s="55" t="s">
        <v>128</v>
      </c>
      <c r="B242" s="146"/>
      <c r="C242" s="99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45"/>
      <c r="AA242" s="63"/>
      <c r="AB242" s="63"/>
    </row>
    <row r="243" spans="1:28" ht="15.75" x14ac:dyDescent="0.25">
      <c r="A243" s="55" t="s">
        <v>220</v>
      </c>
      <c r="B243" s="146"/>
      <c r="C243" s="99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45"/>
      <c r="AA243" s="63"/>
      <c r="AB243" s="63"/>
    </row>
    <row r="244" spans="1:28" ht="15.75" x14ac:dyDescent="0.25">
      <c r="A244" s="57" t="s">
        <v>284</v>
      </c>
      <c r="B244" s="146">
        <v>1</v>
      </c>
      <c r="C244" s="99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45"/>
      <c r="AA244" s="63"/>
      <c r="AB244" s="63"/>
    </row>
    <row r="245" spans="1:28" ht="15.75" x14ac:dyDescent="0.25">
      <c r="A245" s="58" t="s">
        <v>129</v>
      </c>
      <c r="B245" s="145">
        <f>B246+B247</f>
        <v>5</v>
      </c>
      <c r="C245" s="99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45"/>
      <c r="AA245" s="63"/>
      <c r="AB245" s="63"/>
    </row>
    <row r="246" spans="1:28" ht="15.75" x14ac:dyDescent="0.25">
      <c r="A246" s="55" t="s">
        <v>260</v>
      </c>
      <c r="B246" s="146">
        <v>5</v>
      </c>
      <c r="C246" s="99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45"/>
      <c r="AA246" s="63"/>
      <c r="AB246" s="63"/>
    </row>
    <row r="247" spans="1:28" ht="15.75" x14ac:dyDescent="0.25">
      <c r="A247" s="55" t="s">
        <v>261</v>
      </c>
      <c r="B247" s="146"/>
      <c r="C247" s="99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45"/>
      <c r="AA247" s="63"/>
      <c r="AB247" s="63"/>
    </row>
    <row r="248" spans="1:28" ht="15.75" x14ac:dyDescent="0.25">
      <c r="A248" s="55" t="s">
        <v>130</v>
      </c>
      <c r="B248" s="145">
        <f>B249+B250</f>
        <v>0</v>
      </c>
      <c r="C248" s="99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45"/>
      <c r="AA248" s="63"/>
      <c r="AB248" s="63"/>
    </row>
    <row r="249" spans="1:28" ht="15.75" x14ac:dyDescent="0.25">
      <c r="A249" s="55" t="s">
        <v>262</v>
      </c>
      <c r="B249" s="146"/>
      <c r="C249" s="99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45"/>
      <c r="AA249" s="63"/>
      <c r="AB249" s="63"/>
    </row>
    <row r="250" spans="1:28" ht="15.75" x14ac:dyDescent="0.25">
      <c r="A250" s="55" t="s">
        <v>263</v>
      </c>
      <c r="B250" s="146"/>
      <c r="C250" s="99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45"/>
      <c r="AA250" s="63"/>
      <c r="AB250" s="63"/>
    </row>
    <row r="251" spans="1:28" ht="15.75" x14ac:dyDescent="0.25">
      <c r="A251" s="62" t="s">
        <v>325</v>
      </c>
      <c r="B251" s="149"/>
      <c r="C251" s="99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45"/>
      <c r="AA251" s="63"/>
      <c r="AB251" s="63"/>
    </row>
    <row r="252" spans="1:28" ht="15.75" x14ac:dyDescent="0.25">
      <c r="A252" s="62" t="s">
        <v>326</v>
      </c>
      <c r="B252" s="149"/>
      <c r="C252" s="99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45"/>
      <c r="AA252" s="63"/>
      <c r="AB252" s="63"/>
    </row>
    <row r="253" spans="1:28" ht="15.75" x14ac:dyDescent="0.25">
      <c r="A253" s="62" t="s">
        <v>327</v>
      </c>
      <c r="B253" s="145">
        <f>B254+B255+B256+B257+B258+B259+B260+B261+B262</f>
        <v>0</v>
      </c>
      <c r="C253" s="99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45"/>
      <c r="AA253" s="63"/>
      <c r="AB253" s="63"/>
    </row>
    <row r="254" spans="1:28" ht="18.75" customHeight="1" x14ac:dyDescent="0.25">
      <c r="A254" s="55" t="s">
        <v>329</v>
      </c>
      <c r="B254" s="146"/>
      <c r="C254" s="99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45"/>
      <c r="AA254" s="63"/>
      <c r="AB254" s="63"/>
    </row>
    <row r="255" spans="1:28" ht="15.75" x14ac:dyDescent="0.25">
      <c r="A255" s="55" t="s">
        <v>328</v>
      </c>
      <c r="B255" s="146"/>
      <c r="C255" s="99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45"/>
      <c r="AA255" s="63"/>
      <c r="AB255" s="63"/>
    </row>
    <row r="256" spans="1:28" ht="15.75" customHeight="1" x14ac:dyDescent="0.25">
      <c r="A256" s="55" t="s">
        <v>330</v>
      </c>
      <c r="B256" s="146"/>
      <c r="C256" s="99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45"/>
      <c r="AA256" s="63"/>
      <c r="AB256" s="63"/>
    </row>
    <row r="257" spans="1:28" ht="15.75" x14ac:dyDescent="0.25">
      <c r="A257" s="55" t="s">
        <v>331</v>
      </c>
      <c r="B257" s="146"/>
      <c r="C257" s="99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45"/>
      <c r="AA257" s="63"/>
      <c r="AB257" s="63"/>
    </row>
    <row r="258" spans="1:28" ht="15.75" x14ac:dyDescent="0.25">
      <c r="A258" s="55" t="s">
        <v>332</v>
      </c>
      <c r="B258" s="146"/>
      <c r="C258" s="99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45"/>
      <c r="AA258" s="63"/>
      <c r="AB258" s="63"/>
    </row>
    <row r="259" spans="1:28" ht="15.75" x14ac:dyDescent="0.25">
      <c r="A259" s="55" t="s">
        <v>333</v>
      </c>
      <c r="B259" s="146"/>
      <c r="C259" s="99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45"/>
      <c r="AA259" s="63"/>
      <c r="AB259" s="63"/>
    </row>
    <row r="260" spans="1:28" ht="15.75" x14ac:dyDescent="0.25">
      <c r="A260" s="55" t="s">
        <v>334</v>
      </c>
      <c r="B260" s="146"/>
      <c r="C260" s="99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45"/>
      <c r="AA260" s="63"/>
      <c r="AB260" s="63"/>
    </row>
    <row r="261" spans="1:28" ht="15.75" x14ac:dyDescent="0.25">
      <c r="A261" s="55" t="s">
        <v>335</v>
      </c>
      <c r="B261" s="146"/>
      <c r="C261" s="99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45"/>
      <c r="AA261" s="63"/>
      <c r="AB261" s="63"/>
    </row>
    <row r="262" spans="1:28" ht="15.75" x14ac:dyDescent="0.25">
      <c r="A262" s="55" t="s">
        <v>336</v>
      </c>
      <c r="B262" s="146"/>
      <c r="C262" s="99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45"/>
      <c r="AA262" s="63"/>
      <c r="AB262" s="63"/>
    </row>
    <row r="263" spans="1:28" ht="15.75" x14ac:dyDescent="0.25">
      <c r="A263" s="76" t="s">
        <v>337</v>
      </c>
      <c r="B263" s="151"/>
      <c r="C263" s="99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45"/>
      <c r="AA263" s="63"/>
      <c r="AB263" s="63"/>
    </row>
    <row r="264" spans="1:28" ht="15.75" x14ac:dyDescent="0.25">
      <c r="A264" s="57" t="s">
        <v>131</v>
      </c>
      <c r="B264" s="150">
        <f>B265+B266+B267+B268</f>
        <v>0</v>
      </c>
      <c r="C264" s="99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45"/>
      <c r="AA264" s="63"/>
      <c r="AB264" s="63"/>
    </row>
    <row r="265" spans="1:28" ht="15.75" x14ac:dyDescent="0.25">
      <c r="A265" s="55" t="s">
        <v>132</v>
      </c>
      <c r="B265" s="146"/>
      <c r="C265" s="99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45"/>
      <c r="AA265" s="63"/>
      <c r="AB265" s="63"/>
    </row>
    <row r="266" spans="1:28" ht="15.75" x14ac:dyDescent="0.25">
      <c r="A266" s="55" t="s">
        <v>133</v>
      </c>
      <c r="B266" s="146"/>
      <c r="C266" s="99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45"/>
      <c r="AA266" s="63"/>
      <c r="AB266" s="63"/>
    </row>
    <row r="267" spans="1:28" ht="15.75" x14ac:dyDescent="0.25">
      <c r="A267" s="55" t="s">
        <v>134</v>
      </c>
      <c r="B267" s="146"/>
      <c r="C267" s="99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45"/>
      <c r="AA267" s="63"/>
      <c r="AB267" s="63"/>
    </row>
    <row r="268" spans="1:28" ht="26.25" x14ac:dyDescent="0.25">
      <c r="A268" s="58" t="s">
        <v>154</v>
      </c>
      <c r="B268" s="146"/>
      <c r="C268" s="99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45"/>
      <c r="AA268" s="63"/>
      <c r="AB268" s="63"/>
    </row>
    <row r="269" spans="1:28" ht="15.75" x14ac:dyDescent="0.25">
      <c r="A269" s="57" t="s">
        <v>338</v>
      </c>
      <c r="B269" s="146"/>
      <c r="C269" s="99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45"/>
      <c r="AA269" s="63"/>
      <c r="AB269" s="63"/>
    </row>
    <row r="270" spans="1:28" ht="15.75" x14ac:dyDescent="0.25">
      <c r="A270" s="76" t="s">
        <v>17</v>
      </c>
      <c r="B270" s="151"/>
      <c r="C270" s="99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45"/>
      <c r="AA270" s="63"/>
      <c r="AB270" s="63"/>
    </row>
    <row r="271" spans="1:28" ht="15.75" x14ac:dyDescent="0.25">
      <c r="A271" s="59" t="s">
        <v>135</v>
      </c>
      <c r="B271" s="152"/>
      <c r="C271" s="99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45"/>
      <c r="AA271" s="63"/>
      <c r="AB271" s="63"/>
    </row>
    <row r="272" spans="1:28" ht="15.75" x14ac:dyDescent="0.25">
      <c r="A272" s="59" t="s">
        <v>225</v>
      </c>
      <c r="B272" s="146"/>
      <c r="C272" s="99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45"/>
      <c r="AA272" s="63"/>
      <c r="AB272" s="63"/>
    </row>
    <row r="273" spans="1:28" ht="15.75" x14ac:dyDescent="0.25">
      <c r="A273" s="59" t="s">
        <v>226</v>
      </c>
      <c r="B273" s="146"/>
      <c r="C273" s="99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45"/>
      <c r="AA273" s="63"/>
      <c r="AB273" s="63"/>
    </row>
    <row r="274" spans="1:28" ht="15.75" x14ac:dyDescent="0.25">
      <c r="A274" s="59" t="s">
        <v>339</v>
      </c>
      <c r="B274" s="149"/>
      <c r="C274" s="99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45"/>
      <c r="AA274" s="63"/>
      <c r="AB274" s="63"/>
    </row>
    <row r="275" spans="1:28" ht="15.75" x14ac:dyDescent="0.25">
      <c r="A275" s="59" t="s">
        <v>340</v>
      </c>
      <c r="B275" s="149"/>
      <c r="C275" s="99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45"/>
      <c r="AA275" s="63"/>
      <c r="AB275" s="63"/>
    </row>
    <row r="276" spans="1:28" ht="15.75" x14ac:dyDescent="0.25">
      <c r="A276" s="76" t="s">
        <v>341</v>
      </c>
      <c r="B276" s="151"/>
      <c r="C276" s="99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45"/>
      <c r="AA276" s="63"/>
      <c r="AB276" s="63"/>
    </row>
    <row r="277" spans="1:28" ht="15.75" x14ac:dyDescent="0.25">
      <c r="A277" s="57" t="s">
        <v>342</v>
      </c>
      <c r="B277" s="145">
        <f>B278+B281</f>
        <v>0</v>
      </c>
      <c r="C277" s="99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45"/>
      <c r="AA277" s="63"/>
      <c r="AB277" s="63"/>
    </row>
    <row r="278" spans="1:28" ht="15.75" x14ac:dyDescent="0.25">
      <c r="A278" s="55" t="s">
        <v>346</v>
      </c>
      <c r="B278" s="145">
        <f>B279+B280</f>
        <v>0</v>
      </c>
      <c r="C278" s="99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45"/>
      <c r="AA278" s="63"/>
      <c r="AB278" s="63"/>
    </row>
    <row r="279" spans="1:28" ht="15.75" x14ac:dyDescent="0.25">
      <c r="A279" s="55" t="s">
        <v>347</v>
      </c>
      <c r="B279" s="146"/>
      <c r="C279" s="99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45"/>
      <c r="AA279" s="63"/>
      <c r="AB279" s="63"/>
    </row>
    <row r="280" spans="1:28" ht="15.75" x14ac:dyDescent="0.25">
      <c r="A280" s="55" t="s">
        <v>350</v>
      </c>
      <c r="B280" s="146"/>
      <c r="C280" s="99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45"/>
      <c r="AA280" s="63"/>
      <c r="AB280" s="63"/>
    </row>
    <row r="281" spans="1:28" ht="15.75" x14ac:dyDescent="0.25">
      <c r="A281" s="55" t="s">
        <v>348</v>
      </c>
      <c r="B281" s="145">
        <f>B282+B283</f>
        <v>0</v>
      </c>
      <c r="C281" s="99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45"/>
      <c r="AA281" s="63"/>
      <c r="AB281" s="63"/>
    </row>
    <row r="282" spans="1:28" ht="15.75" x14ac:dyDescent="0.25">
      <c r="A282" s="55" t="s">
        <v>349</v>
      </c>
      <c r="B282" s="146"/>
      <c r="C282" s="99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45"/>
      <c r="AA282" s="63"/>
      <c r="AB282" s="63"/>
    </row>
    <row r="283" spans="1:28" ht="15.75" x14ac:dyDescent="0.25">
      <c r="A283" s="55" t="s">
        <v>351</v>
      </c>
      <c r="B283" s="146"/>
      <c r="C283" s="99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45"/>
      <c r="AA283" s="63"/>
      <c r="AB283" s="63"/>
    </row>
    <row r="284" spans="1:28" ht="15.75" x14ac:dyDescent="0.25">
      <c r="A284" s="57" t="s">
        <v>345</v>
      </c>
      <c r="B284" s="145">
        <f>B285+B288</f>
        <v>1</v>
      </c>
      <c r="C284" s="99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45"/>
      <c r="AA284" s="63"/>
      <c r="AB284" s="63"/>
    </row>
    <row r="285" spans="1:28" ht="15.75" x14ac:dyDescent="0.25">
      <c r="A285" s="55" t="s">
        <v>352</v>
      </c>
      <c r="B285" s="145">
        <f>B286+B287</f>
        <v>1</v>
      </c>
      <c r="C285" s="99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45"/>
      <c r="AA285" s="63"/>
      <c r="AB285" s="63"/>
    </row>
    <row r="286" spans="1:28" ht="15.75" x14ac:dyDescent="0.25">
      <c r="A286" s="55" t="s">
        <v>343</v>
      </c>
      <c r="B286" s="146">
        <v>1</v>
      </c>
      <c r="C286" s="99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45"/>
      <c r="AA286" s="63"/>
      <c r="AB286" s="63"/>
    </row>
    <row r="287" spans="1:28" ht="15.75" x14ac:dyDescent="0.25">
      <c r="A287" s="55" t="s">
        <v>353</v>
      </c>
      <c r="B287" s="146"/>
      <c r="C287" s="99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45"/>
      <c r="AA287" s="63"/>
      <c r="AB287" s="63"/>
    </row>
    <row r="288" spans="1:28" ht="15.75" x14ac:dyDescent="0.25">
      <c r="A288" s="55" t="s">
        <v>354</v>
      </c>
      <c r="B288" s="145">
        <f>B289+B290</f>
        <v>0</v>
      </c>
      <c r="C288" s="99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45"/>
      <c r="AA288" s="63"/>
      <c r="AB288" s="63"/>
    </row>
    <row r="289" spans="1:28" ht="15.75" x14ac:dyDescent="0.25">
      <c r="A289" s="55" t="s">
        <v>344</v>
      </c>
      <c r="B289" s="146"/>
      <c r="C289" s="99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45"/>
      <c r="AA289" s="63"/>
      <c r="AB289" s="63"/>
    </row>
    <row r="290" spans="1:28" ht="15.75" x14ac:dyDescent="0.25">
      <c r="A290" s="55" t="s">
        <v>355</v>
      </c>
      <c r="B290" s="146"/>
      <c r="C290" s="99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45"/>
      <c r="AA290" s="63"/>
      <c r="AB290" s="63"/>
    </row>
    <row r="291" spans="1:28" ht="15.75" x14ac:dyDescent="0.25">
      <c r="A291" s="78" t="s">
        <v>18</v>
      </c>
      <c r="B291" s="155"/>
      <c r="C291" s="99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45"/>
      <c r="AA291" s="63"/>
      <c r="AB291" s="63"/>
    </row>
    <row r="292" spans="1:28" ht="15.75" x14ac:dyDescent="0.25">
      <c r="A292" s="79" t="s">
        <v>19</v>
      </c>
      <c r="B292" s="156"/>
      <c r="C292" s="99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45"/>
      <c r="AA292" s="63"/>
      <c r="AB292" s="63"/>
    </row>
    <row r="293" spans="1:28" ht="15.75" x14ac:dyDescent="0.25">
      <c r="A293" s="74" t="s">
        <v>20</v>
      </c>
      <c r="B293" s="153"/>
      <c r="C293" s="99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45"/>
      <c r="AA293" s="63"/>
      <c r="AB293" s="63"/>
    </row>
    <row r="294" spans="1:28" ht="15.75" x14ac:dyDescent="0.25">
      <c r="A294" s="80" t="s">
        <v>21</v>
      </c>
      <c r="B294" s="157"/>
      <c r="C294" s="99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45"/>
      <c r="AA294" s="63"/>
      <c r="AB294" s="63"/>
    </row>
    <row r="295" spans="1:28" ht="15.75" x14ac:dyDescent="0.25">
      <c r="A295" s="75" t="s">
        <v>137</v>
      </c>
      <c r="B295" s="154"/>
      <c r="C295" s="99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45"/>
      <c r="AA295" s="63"/>
      <c r="AB295" s="63"/>
    </row>
    <row r="296" spans="1:28" ht="15.75" x14ac:dyDescent="0.25">
      <c r="A296" s="57" t="s">
        <v>138</v>
      </c>
      <c r="B296" s="152"/>
      <c r="C296" s="99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45"/>
      <c r="AA296" s="63"/>
      <c r="AB296" s="63"/>
    </row>
    <row r="297" spans="1:28" ht="15.75" x14ac:dyDescent="0.25">
      <c r="A297" s="57" t="s">
        <v>136</v>
      </c>
      <c r="B297" s="145">
        <f>B298+B301+B304+B307+B310+B312</f>
        <v>0</v>
      </c>
      <c r="C297" s="99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45"/>
      <c r="AA297" s="63"/>
      <c r="AB297" s="63"/>
    </row>
    <row r="298" spans="1:28" ht="15.75" x14ac:dyDescent="0.25">
      <c r="A298" s="60" t="s">
        <v>155</v>
      </c>
      <c r="B298" s="145">
        <f>B299+B300</f>
        <v>0</v>
      </c>
      <c r="C298" s="99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45"/>
      <c r="AA298" s="63"/>
      <c r="AB298" s="63"/>
    </row>
    <row r="299" spans="1:28" ht="15.75" x14ac:dyDescent="0.25">
      <c r="A299" s="55" t="s">
        <v>139</v>
      </c>
      <c r="B299" s="146"/>
      <c r="C299" s="99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45"/>
      <c r="AA299" s="63"/>
      <c r="AB299" s="63"/>
    </row>
    <row r="300" spans="1:28" ht="15.75" x14ac:dyDescent="0.25">
      <c r="A300" s="55" t="s">
        <v>221</v>
      </c>
      <c r="B300" s="146"/>
      <c r="C300" s="99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45"/>
      <c r="AA300" s="63"/>
      <c r="AB300" s="63"/>
    </row>
    <row r="301" spans="1:28" ht="15.75" x14ac:dyDescent="0.25">
      <c r="A301" s="55" t="s">
        <v>140</v>
      </c>
      <c r="B301" s="145">
        <f>B302+B303</f>
        <v>0</v>
      </c>
      <c r="C301" s="99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45"/>
      <c r="AA301" s="63"/>
      <c r="AB301" s="63"/>
    </row>
    <row r="302" spans="1:28" ht="15.75" x14ac:dyDescent="0.25">
      <c r="A302" s="55" t="s">
        <v>141</v>
      </c>
      <c r="B302" s="146"/>
      <c r="C302" s="99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45"/>
      <c r="AA302" s="63"/>
      <c r="AB302" s="63"/>
    </row>
    <row r="303" spans="1:28" ht="15.75" x14ac:dyDescent="0.25">
      <c r="A303" s="55" t="s">
        <v>222</v>
      </c>
      <c r="B303" s="146"/>
      <c r="C303" s="99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45"/>
      <c r="AA303" s="63"/>
      <c r="AB303" s="63"/>
    </row>
    <row r="304" spans="1:28" ht="15.75" x14ac:dyDescent="0.25">
      <c r="A304" s="55" t="s">
        <v>142</v>
      </c>
      <c r="B304" s="145">
        <f>B305+B306</f>
        <v>0</v>
      </c>
      <c r="C304" s="99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45"/>
      <c r="AA304" s="63"/>
      <c r="AB304" s="63"/>
    </row>
    <row r="305" spans="1:28" ht="15.75" x14ac:dyDescent="0.25">
      <c r="A305" s="55" t="s">
        <v>22</v>
      </c>
      <c r="B305" s="146"/>
      <c r="C305" s="99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45"/>
      <c r="AA305" s="63"/>
      <c r="AB305" s="63"/>
    </row>
    <row r="306" spans="1:28" ht="15.75" x14ac:dyDescent="0.25">
      <c r="A306" s="55" t="s">
        <v>223</v>
      </c>
      <c r="B306" s="146"/>
      <c r="C306" s="99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45"/>
      <c r="AA306" s="63"/>
      <c r="AB306" s="63"/>
    </row>
    <row r="307" spans="1:28" ht="15.75" x14ac:dyDescent="0.25">
      <c r="A307" s="55" t="s">
        <v>143</v>
      </c>
      <c r="B307" s="145">
        <f>B308+B309</f>
        <v>0</v>
      </c>
      <c r="C307" s="99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45"/>
      <c r="AA307" s="63"/>
      <c r="AB307" s="63"/>
    </row>
    <row r="308" spans="1:28" ht="15.75" x14ac:dyDescent="0.25">
      <c r="A308" s="55" t="s">
        <v>144</v>
      </c>
      <c r="B308" s="146"/>
      <c r="C308" s="99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45"/>
      <c r="AA308" s="63"/>
      <c r="AB308" s="63"/>
    </row>
    <row r="309" spans="1:28" ht="15.75" x14ac:dyDescent="0.25">
      <c r="A309" s="55" t="s">
        <v>224</v>
      </c>
      <c r="B309" s="146"/>
      <c r="C309" s="99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45"/>
      <c r="AA309" s="63"/>
      <c r="AB309" s="63"/>
    </row>
    <row r="310" spans="1:28" ht="15.75" x14ac:dyDescent="0.25">
      <c r="A310" s="55" t="s">
        <v>145</v>
      </c>
      <c r="B310" s="148"/>
      <c r="C310" s="99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45"/>
      <c r="AA310" s="63"/>
      <c r="AB310" s="63"/>
    </row>
    <row r="311" spans="1:28" ht="15.75" x14ac:dyDescent="0.25">
      <c r="A311" s="60" t="s">
        <v>146</v>
      </c>
      <c r="B311" s="145"/>
      <c r="C311" s="99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45"/>
      <c r="AA311" s="63"/>
      <c r="AB311" s="63"/>
    </row>
    <row r="312" spans="1:28" ht="15.75" x14ac:dyDescent="0.25">
      <c r="A312" s="55" t="s">
        <v>147</v>
      </c>
      <c r="B312" s="146"/>
      <c r="C312" s="99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45"/>
      <c r="AA312" s="63"/>
      <c r="AB312" s="63"/>
    </row>
    <row r="313" spans="1:28" ht="25.5" x14ac:dyDescent="0.25">
      <c r="A313" s="61" t="s">
        <v>230</v>
      </c>
      <c r="B313" s="147"/>
      <c r="C313" s="99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45"/>
      <c r="AA313" s="63"/>
      <c r="AB313" s="63"/>
    </row>
    <row r="314" spans="1:28" ht="15.75" x14ac:dyDescent="0.25">
      <c r="A314" s="57" t="s">
        <v>148</v>
      </c>
      <c r="B314" s="149"/>
      <c r="C314" s="99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45"/>
      <c r="AA314" s="63"/>
      <c r="AB314" s="63"/>
    </row>
    <row r="315" spans="1:28" ht="26.25" x14ac:dyDescent="0.25">
      <c r="A315" s="76" t="s">
        <v>356</v>
      </c>
      <c r="B315" s="151"/>
      <c r="C315" s="99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45"/>
      <c r="AA315" s="63"/>
      <c r="AB315" s="63"/>
    </row>
    <row r="316" spans="1:28" ht="15.75" x14ac:dyDescent="0.25">
      <c r="A316" s="57" t="s">
        <v>149</v>
      </c>
      <c r="B316" s="148"/>
      <c r="C316" s="99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45"/>
      <c r="AA316" s="63"/>
      <c r="AB316" s="63"/>
    </row>
    <row r="317" spans="1:28" ht="15.75" x14ac:dyDescent="0.25">
      <c r="A317" s="55" t="s">
        <v>357</v>
      </c>
      <c r="B317" s="145">
        <f>B318+B319</f>
        <v>0</v>
      </c>
      <c r="C317" s="99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45"/>
      <c r="AA317" s="63"/>
      <c r="AB317" s="63"/>
    </row>
    <row r="318" spans="1:28" ht="15.75" x14ac:dyDescent="0.25">
      <c r="A318" s="55" t="s">
        <v>22</v>
      </c>
      <c r="B318" s="146"/>
      <c r="C318" s="99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45"/>
      <c r="AA318" s="63"/>
      <c r="AB318" s="63"/>
    </row>
    <row r="319" spans="1:28" ht="15.75" x14ac:dyDescent="0.25">
      <c r="A319" s="55" t="s">
        <v>223</v>
      </c>
      <c r="B319" s="146"/>
      <c r="C319" s="99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45"/>
      <c r="AA319" s="63"/>
      <c r="AB319" s="63"/>
    </row>
    <row r="320" spans="1:28" s="267" customFormat="1" ht="18.75" customHeight="1" x14ac:dyDescent="0.2">
      <c r="A320" s="268" t="s">
        <v>444</v>
      </c>
      <c r="B320" s="270"/>
      <c r="C320" s="263"/>
      <c r="D320" s="264"/>
      <c r="E320" s="264"/>
      <c r="F320" s="264"/>
      <c r="G320" s="264"/>
      <c r="H320" s="264"/>
      <c r="I320" s="264"/>
      <c r="J320" s="264"/>
      <c r="K320" s="264"/>
      <c r="L320" s="264"/>
      <c r="M320" s="264"/>
      <c r="N320" s="264"/>
      <c r="O320" s="264"/>
      <c r="P320" s="264"/>
      <c r="Q320" s="264"/>
      <c r="R320" s="264"/>
      <c r="S320" s="264"/>
      <c r="T320" s="264"/>
      <c r="U320" s="264"/>
      <c r="V320" s="264"/>
      <c r="W320" s="264"/>
      <c r="X320" s="264"/>
      <c r="Y320" s="264"/>
      <c r="Z320" s="265"/>
      <c r="AA320" s="266"/>
      <c r="AB320" s="266"/>
    </row>
    <row r="321" spans="1:28" s="267" customFormat="1" ht="18.75" customHeight="1" x14ac:dyDescent="0.2">
      <c r="A321" s="269" t="s">
        <v>446</v>
      </c>
      <c r="B321" s="152"/>
      <c r="C321" s="263"/>
      <c r="D321" s="264"/>
      <c r="E321" s="264"/>
      <c r="F321" s="264"/>
      <c r="G321" s="264"/>
      <c r="H321" s="264"/>
      <c r="I321" s="264"/>
      <c r="J321" s="264"/>
      <c r="K321" s="264"/>
      <c r="L321" s="264"/>
      <c r="M321" s="264"/>
      <c r="N321" s="264"/>
      <c r="O321" s="264"/>
      <c r="P321" s="264"/>
      <c r="Q321" s="264"/>
      <c r="R321" s="264"/>
      <c r="S321" s="264"/>
      <c r="T321" s="264"/>
      <c r="U321" s="264"/>
      <c r="V321" s="264"/>
      <c r="W321" s="264"/>
      <c r="X321" s="264"/>
      <c r="Y321" s="264"/>
      <c r="Z321" s="265"/>
      <c r="AA321" s="266"/>
      <c r="AB321" s="266"/>
    </row>
    <row r="322" spans="1:28" s="267" customFormat="1" ht="18.75" customHeight="1" x14ac:dyDescent="0.2">
      <c r="A322" s="269" t="s">
        <v>447</v>
      </c>
      <c r="B322" s="148"/>
      <c r="C322" s="263"/>
      <c r="D322" s="264"/>
      <c r="E322" s="264"/>
      <c r="F322" s="264"/>
      <c r="G322" s="264"/>
      <c r="H322" s="264"/>
      <c r="I322" s="264"/>
      <c r="J322" s="264"/>
      <c r="K322" s="264"/>
      <c r="L322" s="264"/>
      <c r="M322" s="264"/>
      <c r="N322" s="264"/>
      <c r="O322" s="264"/>
      <c r="P322" s="264"/>
      <c r="Q322" s="264"/>
      <c r="R322" s="264"/>
      <c r="S322" s="264"/>
      <c r="T322" s="264"/>
      <c r="U322" s="264"/>
      <c r="V322" s="264"/>
      <c r="W322" s="264"/>
      <c r="X322" s="264"/>
      <c r="Y322" s="264"/>
      <c r="Z322" s="265"/>
      <c r="AA322" s="266"/>
      <c r="AB322" s="266"/>
    </row>
    <row r="323" spans="1:28" ht="30" customHeight="1" x14ac:dyDescent="0.25">
      <c r="A323" s="268" t="s">
        <v>445</v>
      </c>
      <c r="B323" s="146"/>
      <c r="C323" s="99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45"/>
      <c r="AA323" s="63"/>
      <c r="AB323" s="63"/>
    </row>
    <row r="324" spans="1:28" ht="15.75" x14ac:dyDescent="0.25">
      <c r="A324" s="52"/>
      <c r="B324" s="50"/>
      <c r="C324" s="99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45"/>
      <c r="AA324" s="63"/>
      <c r="AB324" s="63"/>
    </row>
    <row r="325" spans="1:28" ht="15.75" x14ac:dyDescent="0.25">
      <c r="A325" s="53"/>
      <c r="B325" s="50"/>
      <c r="C325" s="99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45"/>
      <c r="AA325" s="63"/>
      <c r="AB325" s="63"/>
    </row>
    <row r="326" spans="1:28" ht="15.75" x14ac:dyDescent="0.25">
      <c r="A326" s="41"/>
      <c r="B326" s="42"/>
      <c r="C326" s="99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45"/>
      <c r="AA326" s="63"/>
      <c r="AB326" s="63"/>
    </row>
  </sheetData>
  <sheetProtection sheet="1" objects="1" scenarios="1" selectLockedCells="1"/>
  <mergeCells count="2">
    <mergeCell ref="E11:F11"/>
    <mergeCell ref="F15:P15"/>
  </mergeCells>
  <dataValidations xWindow="956" yWindow="610" count="8">
    <dataValidation allowBlank="1" showInputMessage="1" showErrorMessage="1" prompt="Limit your input in a maximum of 70 characters per bullet." sqref="F17:F74"/>
    <dataValidation allowBlank="1" showInputMessage="1" showErrorMessage="1" prompt="Limit your input in a maximum of 80 characters per bullet." sqref="F13:F14"/>
    <dataValidation type="whole" allowBlank="1" showInputMessage="1" showErrorMessage="1" sqref="G68:P119 R68:Y119 D75:F119 Q75:Q119 B71:C122">
      <formula1>0</formula1>
      <formula2>10000000000000000000</formula2>
    </dataValidation>
    <dataValidation type="whole" allowBlank="1" showInputMessage="1" showErrorMessage="1" sqref="D217:Y263 D120:Y173 B176 B218:C275 B123:C174 C320:C322">
      <formula1>0</formula1>
      <formula2>1000000000000000000</formula2>
    </dataValidation>
    <dataValidation type="whole" allowBlank="1" showInputMessage="1" showErrorMessage="1" sqref="D38:D55 G16:P67 B15:C70 D19:D36 Q19:Q36 R15:Z67 Q38:Q55 D57:D74 Q57:Q74 Z68:Z326">
      <formula1>0</formula1>
      <formula2>1E+22</formula2>
    </dataValidation>
    <dataValidation type="whole" allowBlank="1" showInputMessage="1" showErrorMessage="1" sqref="D264:Y299 C276:C277 B276 D320:Y322">
      <formula1>0</formula1>
      <formula2>100000000000000000</formula2>
    </dataValidation>
    <dataValidation type="whole" allowBlank="1" showInputMessage="1" showErrorMessage="1" sqref="B277:B319 C278:C317 D300:Y319 D323:Y326 B321:B323">
      <formula1>0</formula1>
      <formula2>1E+24</formula2>
    </dataValidation>
    <dataValidation type="whole" allowBlank="1" showInputMessage="1" showErrorMessage="1" sqref="B175 D174:Y216 B177:B217 C175:C217 C318:C319">
      <formula1>0</formula1>
      <formula2>100000000000000000000</formula2>
    </dataValidation>
  </dataValidations>
  <pageMargins left="0.7" right="0.7" top="0.75" bottom="0.75" header="0.3" footer="0.3"/>
  <pageSetup paperSize="768" orientation="portrait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326"/>
  <sheetViews>
    <sheetView workbookViewId="0">
      <pane ySplit="13" topLeftCell="A14" activePane="bottomLeft" state="frozen"/>
      <selection pane="bottomLeft" activeCell="F31" sqref="F31"/>
    </sheetView>
  </sheetViews>
  <sheetFormatPr defaultRowHeight="12.75" x14ac:dyDescent="0.2"/>
  <cols>
    <col min="1" max="1" width="39.140625" style="1" customWidth="1"/>
    <col min="2" max="2" width="36.42578125" style="31" customWidth="1"/>
    <col min="3" max="3" width="7.28515625" style="100" customWidth="1"/>
    <col min="4" max="4" width="3.28515625" style="65" customWidth="1"/>
    <col min="5" max="5" width="1.85546875" style="65" customWidth="1"/>
    <col min="6" max="6" width="8.42578125" style="65" customWidth="1"/>
    <col min="7" max="16" width="9.140625" style="65"/>
    <col min="17" max="17" width="2.7109375" style="65" customWidth="1"/>
    <col min="18" max="28" width="9.140625" style="65"/>
  </cols>
  <sheetData>
    <row r="1" spans="1:30" x14ac:dyDescent="0.2">
      <c r="A1" s="13"/>
      <c r="B1" s="29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63"/>
      <c r="AB1" s="63"/>
    </row>
    <row r="2" spans="1:30" x14ac:dyDescent="0.2">
      <c r="A2" s="13"/>
      <c r="B2" s="29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63"/>
      <c r="AB2" s="63"/>
    </row>
    <row r="3" spans="1:30" x14ac:dyDescent="0.2">
      <c r="A3" s="13"/>
      <c r="B3" s="29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63"/>
      <c r="AB3" s="63"/>
    </row>
    <row r="4" spans="1:30" x14ac:dyDescent="0.2">
      <c r="A4" s="13"/>
      <c r="B4" s="29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63"/>
      <c r="AB4" s="63"/>
    </row>
    <row r="5" spans="1:30" x14ac:dyDescent="0.2">
      <c r="A5" s="13"/>
      <c r="B5" s="29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63"/>
      <c r="AB5" s="63"/>
    </row>
    <row r="6" spans="1:30" x14ac:dyDescent="0.2">
      <c r="A6" s="13"/>
      <c r="B6" s="2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63"/>
      <c r="AB6" s="63"/>
    </row>
    <row r="7" spans="1:30" x14ac:dyDescent="0.2">
      <c r="A7" s="13"/>
      <c r="B7" s="29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63"/>
      <c r="AB7" s="63"/>
    </row>
    <row r="8" spans="1:30" x14ac:dyDescent="0.2">
      <c r="A8" s="13"/>
      <c r="B8" s="29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63"/>
      <c r="AB8" s="63"/>
    </row>
    <row r="9" spans="1:30" x14ac:dyDescent="0.2">
      <c r="A9" s="14"/>
      <c r="B9" s="29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63"/>
      <c r="AB9" s="63"/>
    </row>
    <row r="10" spans="1:30" x14ac:dyDescent="0.2">
      <c r="A10" s="15"/>
      <c r="B10" s="29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63"/>
      <c r="AB10" s="63"/>
    </row>
    <row r="11" spans="1:30" ht="15.75" x14ac:dyDescent="0.25">
      <c r="A11" s="5" t="s">
        <v>0</v>
      </c>
      <c r="B11" s="12" t="s">
        <v>178</v>
      </c>
      <c r="C11" s="17"/>
      <c r="D11" s="17"/>
      <c r="E11" s="325"/>
      <c r="F11" s="325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63"/>
      <c r="AB11" s="63"/>
      <c r="AC11" s="3"/>
      <c r="AD11" s="3"/>
    </row>
    <row r="12" spans="1:30" x14ac:dyDescent="0.2">
      <c r="A12" s="48" t="s">
        <v>1</v>
      </c>
      <c r="B12" s="11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25"/>
      <c r="AA12" s="63"/>
      <c r="AB12" s="63"/>
    </row>
    <row r="13" spans="1:30" x14ac:dyDescent="0.2">
      <c r="A13" s="73" t="s">
        <v>3</v>
      </c>
      <c r="B13" s="77"/>
      <c r="C13" s="19"/>
      <c r="D13" s="19"/>
      <c r="E13" s="70"/>
      <c r="F13" s="70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63"/>
      <c r="AB13" s="63"/>
    </row>
    <row r="14" spans="1:30" x14ac:dyDescent="0.2">
      <c r="A14" s="51" t="s">
        <v>4</v>
      </c>
      <c r="B14" s="49"/>
      <c r="C14" s="98"/>
      <c r="D14" s="19"/>
      <c r="E14" s="70"/>
      <c r="F14" s="70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63"/>
      <c r="AB14" s="63"/>
    </row>
    <row r="15" spans="1:30" ht="15.75" x14ac:dyDescent="0.25">
      <c r="A15" s="47" t="s">
        <v>23</v>
      </c>
      <c r="B15" s="145">
        <f>B16+B23+B30+B33+B40+B43</f>
        <v>1306</v>
      </c>
      <c r="C15" s="99"/>
      <c r="D15" s="69"/>
      <c r="E15" s="69"/>
      <c r="F15" s="326" t="s">
        <v>227</v>
      </c>
      <c r="G15" s="326"/>
      <c r="H15" s="326"/>
      <c r="I15" s="326"/>
      <c r="J15" s="326"/>
      <c r="K15" s="326"/>
      <c r="L15" s="326"/>
      <c r="M15" s="326"/>
      <c r="N15" s="326"/>
      <c r="O15" s="326"/>
      <c r="P15" s="326"/>
      <c r="Q15" s="69"/>
      <c r="R15" s="16"/>
      <c r="S15" s="16"/>
      <c r="T15" s="16"/>
      <c r="U15" s="16"/>
      <c r="V15" s="16"/>
      <c r="W15" s="16"/>
      <c r="X15" s="16"/>
      <c r="Y15" s="16"/>
      <c r="Z15" s="45"/>
      <c r="AA15" s="63"/>
      <c r="AB15" s="63"/>
    </row>
    <row r="16" spans="1:30" ht="15.75" x14ac:dyDescent="0.25">
      <c r="A16" s="46" t="s">
        <v>24</v>
      </c>
      <c r="B16" s="145">
        <f>B17+B20</f>
        <v>1306</v>
      </c>
      <c r="C16" s="99"/>
      <c r="D16" s="66"/>
      <c r="E16" s="18"/>
      <c r="F16" s="18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66"/>
      <c r="R16" s="16"/>
      <c r="S16" s="16"/>
      <c r="T16" s="16"/>
      <c r="U16" s="16"/>
      <c r="V16" s="16"/>
      <c r="W16" s="16"/>
      <c r="X16" s="16"/>
      <c r="Y16" s="16"/>
      <c r="Z16" s="45"/>
      <c r="AA16" s="63"/>
      <c r="AB16" s="63"/>
    </row>
    <row r="17" spans="1:28" ht="15.75" x14ac:dyDescent="0.25">
      <c r="A17" s="2" t="s">
        <v>25</v>
      </c>
      <c r="B17" s="145">
        <f>B18+B19</f>
        <v>0</v>
      </c>
      <c r="C17" s="99"/>
      <c r="D17" s="67"/>
      <c r="E17" s="70" t="s">
        <v>228</v>
      </c>
      <c r="F17" s="161" t="s">
        <v>485</v>
      </c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67"/>
      <c r="R17" s="16"/>
      <c r="S17" s="16"/>
      <c r="T17" s="16"/>
      <c r="U17" s="16"/>
      <c r="V17" s="16"/>
      <c r="W17" s="16"/>
      <c r="X17" s="16"/>
      <c r="Y17" s="16"/>
      <c r="Z17" s="45"/>
      <c r="AA17" s="63"/>
      <c r="AB17" s="63"/>
    </row>
    <row r="18" spans="1:28" ht="15.75" x14ac:dyDescent="0.25">
      <c r="A18" s="2" t="s">
        <v>26</v>
      </c>
      <c r="B18" s="146"/>
      <c r="C18" s="99"/>
      <c r="D18" s="67"/>
      <c r="E18" s="70" t="s">
        <v>228</v>
      </c>
      <c r="F18" s="161" t="s">
        <v>481</v>
      </c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67"/>
      <c r="R18" s="16"/>
      <c r="S18" s="16"/>
      <c r="T18" s="16"/>
      <c r="U18" s="16"/>
      <c r="V18" s="16"/>
      <c r="W18" s="16"/>
      <c r="X18" s="16"/>
      <c r="Y18" s="16"/>
      <c r="Z18" s="45"/>
      <c r="AA18" s="63"/>
      <c r="AB18" s="63"/>
    </row>
    <row r="19" spans="1:28" ht="15.75" x14ac:dyDescent="0.25">
      <c r="A19" s="2" t="s">
        <v>182</v>
      </c>
      <c r="B19" s="146"/>
      <c r="C19" s="99"/>
      <c r="D19" s="68"/>
      <c r="E19" s="71" t="s">
        <v>228</v>
      </c>
      <c r="F19" s="328" t="s">
        <v>489</v>
      </c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68"/>
      <c r="R19" s="16"/>
      <c r="S19" s="16"/>
      <c r="T19" s="16"/>
      <c r="U19" s="16"/>
      <c r="V19" s="16"/>
      <c r="W19" s="16"/>
      <c r="X19" s="16"/>
      <c r="Y19" s="16"/>
      <c r="Z19" s="45"/>
      <c r="AA19" s="63"/>
      <c r="AB19" s="63"/>
    </row>
    <row r="20" spans="1:28" ht="15.75" x14ac:dyDescent="0.25">
      <c r="A20" s="2" t="s">
        <v>6</v>
      </c>
      <c r="B20" s="145">
        <f>B21+B22</f>
        <v>1306</v>
      </c>
      <c r="C20" s="99"/>
      <c r="D20" s="68"/>
      <c r="E20" s="71" t="s">
        <v>228</v>
      </c>
      <c r="F20" s="44" t="s">
        <v>486</v>
      </c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68"/>
      <c r="R20" s="16"/>
      <c r="S20" s="16"/>
      <c r="T20" s="16"/>
      <c r="U20" s="16"/>
      <c r="V20" s="16"/>
      <c r="W20" s="16"/>
      <c r="X20" s="16"/>
      <c r="Y20" s="16"/>
      <c r="Z20" s="45"/>
      <c r="AA20" s="63"/>
      <c r="AB20" s="63"/>
    </row>
    <row r="21" spans="1:28" ht="15.75" x14ac:dyDescent="0.25">
      <c r="A21" s="2" t="s">
        <v>27</v>
      </c>
      <c r="B21" s="146">
        <v>900</v>
      </c>
      <c r="C21" s="99"/>
      <c r="D21" s="68"/>
      <c r="E21" s="71" t="s">
        <v>228</v>
      </c>
      <c r="F21" s="44" t="s">
        <v>487</v>
      </c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68"/>
      <c r="R21" s="16"/>
      <c r="S21" s="16"/>
      <c r="T21" s="16"/>
      <c r="U21" s="16"/>
      <c r="V21" s="16"/>
      <c r="W21" s="16"/>
      <c r="X21" s="16"/>
      <c r="Y21" s="16"/>
      <c r="Z21" s="45"/>
      <c r="AA21" s="63"/>
      <c r="AB21" s="63"/>
    </row>
    <row r="22" spans="1:28" ht="15.75" x14ac:dyDescent="0.25">
      <c r="A22" s="2" t="s">
        <v>183</v>
      </c>
      <c r="B22" s="146">
        <v>406</v>
      </c>
      <c r="C22" s="99"/>
      <c r="D22" s="68"/>
      <c r="E22" s="16" t="s">
        <v>228</v>
      </c>
      <c r="F22" s="44" t="s">
        <v>488</v>
      </c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68"/>
      <c r="R22" s="16"/>
      <c r="S22" s="16"/>
      <c r="T22" s="16"/>
      <c r="U22" s="16"/>
      <c r="V22" s="16"/>
      <c r="W22" s="16"/>
      <c r="X22" s="16"/>
      <c r="Y22" s="16"/>
      <c r="Z22" s="45"/>
      <c r="AA22" s="63"/>
      <c r="AB22" s="63"/>
    </row>
    <row r="23" spans="1:28" ht="15.75" x14ac:dyDescent="0.25">
      <c r="A23" s="46" t="s">
        <v>28</v>
      </c>
      <c r="B23" s="145">
        <f>B24+B27</f>
        <v>0</v>
      </c>
      <c r="C23" s="99"/>
      <c r="D23" s="68"/>
      <c r="E23" s="16" t="s">
        <v>228</v>
      </c>
      <c r="F23" s="44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68"/>
      <c r="R23" s="16"/>
      <c r="S23" s="16"/>
      <c r="T23" s="16"/>
      <c r="U23" s="16"/>
      <c r="V23" s="16"/>
      <c r="W23" s="16"/>
      <c r="X23" s="16"/>
      <c r="Y23" s="16"/>
      <c r="Z23" s="45"/>
      <c r="AA23" s="63"/>
      <c r="AB23" s="63"/>
    </row>
    <row r="24" spans="1:28" ht="15.75" x14ac:dyDescent="0.25">
      <c r="A24" s="2" t="s">
        <v>29</v>
      </c>
      <c r="B24" s="145">
        <f>B25+B26</f>
        <v>0</v>
      </c>
      <c r="C24" s="99"/>
      <c r="D24" s="68"/>
      <c r="E24" s="16" t="s">
        <v>228</v>
      </c>
      <c r="F24" s="44" t="s">
        <v>490</v>
      </c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68"/>
      <c r="R24" s="16"/>
      <c r="S24" s="16"/>
      <c r="T24" s="16"/>
      <c r="U24" s="16"/>
      <c r="V24" s="16"/>
      <c r="W24" s="16"/>
      <c r="X24" s="16"/>
      <c r="Y24" s="16"/>
      <c r="Z24" s="45"/>
      <c r="AA24" s="63"/>
      <c r="AB24" s="63"/>
    </row>
    <row r="25" spans="1:28" ht="15.75" x14ac:dyDescent="0.25">
      <c r="A25" s="2" t="s">
        <v>30</v>
      </c>
      <c r="B25" s="146"/>
      <c r="C25" s="99"/>
      <c r="D25" s="68"/>
      <c r="E25" s="16" t="s">
        <v>228</v>
      </c>
      <c r="F25" s="44" t="s">
        <v>491</v>
      </c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68"/>
      <c r="R25" s="16"/>
      <c r="S25" s="16"/>
      <c r="T25" s="16"/>
      <c r="U25" s="16"/>
      <c r="V25" s="16"/>
      <c r="W25" s="16"/>
      <c r="X25" s="16"/>
      <c r="Y25" s="16"/>
      <c r="Z25" s="45"/>
      <c r="AA25" s="63"/>
      <c r="AB25" s="63"/>
    </row>
    <row r="26" spans="1:28" ht="15.75" x14ac:dyDescent="0.25">
      <c r="A26" s="2" t="s">
        <v>184</v>
      </c>
      <c r="B26" s="146"/>
      <c r="C26" s="99"/>
      <c r="D26" s="68"/>
      <c r="E26" s="16" t="s">
        <v>228</v>
      </c>
      <c r="F26" s="44" t="s">
        <v>492</v>
      </c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68"/>
      <c r="R26" s="16"/>
      <c r="S26" s="16"/>
      <c r="T26" s="16"/>
      <c r="U26" s="16"/>
      <c r="V26" s="16"/>
      <c r="W26" s="16"/>
      <c r="X26" s="16"/>
      <c r="Y26" s="16"/>
      <c r="Z26" s="45"/>
      <c r="AA26" s="63"/>
      <c r="AB26" s="63"/>
    </row>
    <row r="27" spans="1:28" ht="15.75" x14ac:dyDescent="0.25">
      <c r="A27" s="2" t="s">
        <v>31</v>
      </c>
      <c r="B27" s="145">
        <f>B28+B29</f>
        <v>0</v>
      </c>
      <c r="C27" s="99"/>
      <c r="D27" s="68"/>
      <c r="E27" s="16" t="s">
        <v>228</v>
      </c>
      <c r="F27" s="44" t="s">
        <v>493</v>
      </c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68"/>
      <c r="R27" s="16"/>
      <c r="S27" s="16"/>
      <c r="T27" s="16"/>
      <c r="U27" s="16"/>
      <c r="V27" s="16"/>
      <c r="W27" s="16"/>
      <c r="X27" s="16"/>
      <c r="Y27" s="16"/>
      <c r="Z27" s="45"/>
      <c r="AA27" s="63"/>
      <c r="AB27" s="63"/>
    </row>
    <row r="28" spans="1:28" ht="15.75" x14ac:dyDescent="0.25">
      <c r="A28" s="2" t="s">
        <v>32</v>
      </c>
      <c r="B28" s="146"/>
      <c r="C28" s="99"/>
      <c r="D28" s="68"/>
      <c r="E28" s="16" t="s">
        <v>228</v>
      </c>
      <c r="F28" s="44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68"/>
      <c r="R28" s="16"/>
      <c r="S28" s="16"/>
      <c r="T28" s="16"/>
      <c r="U28" s="16"/>
      <c r="V28" s="16"/>
      <c r="W28" s="16"/>
      <c r="X28" s="16"/>
      <c r="Y28" s="16"/>
      <c r="Z28" s="45"/>
      <c r="AA28" s="63"/>
      <c r="AB28" s="63"/>
    </row>
    <row r="29" spans="1:28" ht="15.75" x14ac:dyDescent="0.25">
      <c r="A29" s="2" t="s">
        <v>185</v>
      </c>
      <c r="B29" s="146"/>
      <c r="C29" s="99"/>
      <c r="D29" s="68"/>
      <c r="E29" s="16" t="s">
        <v>228</v>
      </c>
      <c r="F29" s="44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68"/>
      <c r="R29" s="16"/>
      <c r="S29" s="16"/>
      <c r="T29" s="16"/>
      <c r="U29" s="16"/>
      <c r="V29" s="16"/>
      <c r="W29" s="16"/>
      <c r="X29" s="16"/>
      <c r="Y29" s="16"/>
      <c r="Z29" s="45"/>
      <c r="AA29" s="63"/>
      <c r="AB29" s="63"/>
    </row>
    <row r="30" spans="1:28" ht="15.75" x14ac:dyDescent="0.25">
      <c r="A30" s="46" t="s">
        <v>33</v>
      </c>
      <c r="B30" s="145">
        <f>B31+B32</f>
        <v>0</v>
      </c>
      <c r="C30" s="99"/>
      <c r="D30" s="68"/>
      <c r="E30" s="16" t="s">
        <v>228</v>
      </c>
      <c r="F30" s="44" t="s">
        <v>494</v>
      </c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68"/>
      <c r="R30" s="16"/>
      <c r="S30" s="16"/>
      <c r="T30" s="16"/>
      <c r="U30" s="16"/>
      <c r="V30" s="16"/>
      <c r="W30" s="16"/>
      <c r="X30" s="16"/>
      <c r="Y30" s="16"/>
      <c r="Z30" s="45"/>
      <c r="AA30" s="63"/>
      <c r="AB30" s="63"/>
    </row>
    <row r="31" spans="1:28" ht="15.75" x14ac:dyDescent="0.25">
      <c r="A31" s="2" t="s">
        <v>34</v>
      </c>
      <c r="B31" s="146"/>
      <c r="C31" s="99"/>
      <c r="D31" s="68"/>
      <c r="E31" s="16" t="s">
        <v>228</v>
      </c>
      <c r="F31" s="44" t="s">
        <v>495</v>
      </c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68"/>
      <c r="R31" s="16"/>
      <c r="S31" s="16"/>
      <c r="T31" s="16"/>
      <c r="U31" s="16"/>
      <c r="V31" s="16"/>
      <c r="W31" s="16"/>
      <c r="X31" s="16"/>
      <c r="Y31" s="16"/>
      <c r="Z31" s="45"/>
      <c r="AA31" s="63"/>
      <c r="AB31" s="63"/>
    </row>
    <row r="32" spans="1:28" ht="15.75" x14ac:dyDescent="0.25">
      <c r="A32" s="2" t="s">
        <v>186</v>
      </c>
      <c r="B32" s="146"/>
      <c r="C32" s="99"/>
      <c r="D32" s="68"/>
      <c r="E32" s="16" t="s">
        <v>228</v>
      </c>
      <c r="F32" s="44" t="s">
        <v>496</v>
      </c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68"/>
      <c r="R32" s="16"/>
      <c r="S32" s="16"/>
      <c r="T32" s="16"/>
      <c r="U32" s="16"/>
      <c r="V32" s="16"/>
      <c r="W32" s="16"/>
      <c r="X32" s="16"/>
      <c r="Y32" s="16"/>
      <c r="Z32" s="45"/>
      <c r="AA32" s="63"/>
      <c r="AB32" s="63"/>
    </row>
    <row r="33" spans="1:28" ht="15.75" x14ac:dyDescent="0.25">
      <c r="A33" s="46" t="s">
        <v>35</v>
      </c>
      <c r="B33" s="145">
        <f>B34+B37</f>
        <v>0</v>
      </c>
      <c r="C33" s="99"/>
      <c r="D33" s="68"/>
      <c r="E33" s="16" t="s">
        <v>228</v>
      </c>
      <c r="F33" s="44" t="s">
        <v>480</v>
      </c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68"/>
      <c r="R33" s="16"/>
      <c r="S33" s="16"/>
      <c r="T33" s="16"/>
      <c r="U33" s="16"/>
      <c r="V33" s="16"/>
      <c r="W33" s="16"/>
      <c r="X33" s="16"/>
      <c r="Y33" s="16"/>
      <c r="Z33" s="45"/>
      <c r="AA33" s="63"/>
      <c r="AB33" s="63"/>
    </row>
    <row r="34" spans="1:28" ht="15.75" x14ac:dyDescent="0.25">
      <c r="A34" s="2" t="s">
        <v>36</v>
      </c>
      <c r="B34" s="145">
        <f>B35+B36</f>
        <v>0</v>
      </c>
      <c r="C34" s="99"/>
      <c r="D34" s="68"/>
      <c r="E34" s="16" t="s">
        <v>228</v>
      </c>
      <c r="F34" s="44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68"/>
      <c r="R34" s="16"/>
      <c r="S34" s="16"/>
      <c r="T34" s="16"/>
      <c r="U34" s="16"/>
      <c r="V34" s="16"/>
      <c r="W34" s="16"/>
      <c r="X34" s="16"/>
      <c r="Y34" s="16"/>
      <c r="Z34" s="45"/>
      <c r="AA34" s="63"/>
      <c r="AB34" s="63"/>
    </row>
    <row r="35" spans="1:28" ht="15.75" x14ac:dyDescent="0.25">
      <c r="A35" s="2" t="s">
        <v>37</v>
      </c>
      <c r="B35" s="146"/>
      <c r="C35" s="99"/>
      <c r="D35" s="68"/>
      <c r="E35" s="16" t="s">
        <v>228</v>
      </c>
      <c r="F35" s="44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68"/>
      <c r="R35" s="16"/>
      <c r="S35" s="16"/>
      <c r="T35" s="16"/>
      <c r="U35" s="16"/>
      <c r="V35" s="16"/>
      <c r="W35" s="16"/>
      <c r="X35" s="16"/>
      <c r="Y35" s="16"/>
      <c r="Z35" s="45"/>
      <c r="AA35" s="63"/>
      <c r="AB35" s="63"/>
    </row>
    <row r="36" spans="1:28" ht="15.75" x14ac:dyDescent="0.25">
      <c r="A36" s="2" t="s">
        <v>187</v>
      </c>
      <c r="B36" s="146"/>
      <c r="C36" s="99"/>
      <c r="D36" s="68"/>
      <c r="E36" s="16" t="s">
        <v>228</v>
      </c>
      <c r="F36" s="44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68"/>
      <c r="R36" s="16"/>
      <c r="S36" s="16"/>
      <c r="T36" s="16"/>
      <c r="U36" s="16"/>
      <c r="V36" s="16"/>
      <c r="W36" s="16"/>
      <c r="X36" s="16"/>
      <c r="Y36" s="16"/>
      <c r="Z36" s="45"/>
      <c r="AA36" s="63"/>
      <c r="AB36" s="63"/>
    </row>
    <row r="37" spans="1:28" ht="15.75" x14ac:dyDescent="0.25">
      <c r="A37" s="2" t="s">
        <v>38</v>
      </c>
      <c r="B37" s="145">
        <f>B38+B39</f>
        <v>0</v>
      </c>
      <c r="C37" s="99"/>
      <c r="D37" s="67"/>
      <c r="E37" s="70" t="s">
        <v>228</v>
      </c>
      <c r="F37" s="72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67"/>
      <c r="R37" s="16"/>
      <c r="S37" s="16"/>
      <c r="T37" s="16"/>
      <c r="U37" s="16"/>
      <c r="V37" s="16"/>
      <c r="W37" s="16"/>
      <c r="X37" s="16"/>
      <c r="Y37" s="16"/>
      <c r="Z37" s="45"/>
      <c r="AA37" s="63"/>
      <c r="AB37" s="63"/>
    </row>
    <row r="38" spans="1:28" ht="15.75" x14ac:dyDescent="0.25">
      <c r="A38" s="2" t="s">
        <v>39</v>
      </c>
      <c r="B38" s="146"/>
      <c r="C38" s="99"/>
      <c r="D38" s="68"/>
      <c r="E38" s="71" t="s">
        <v>228</v>
      </c>
      <c r="F38" s="44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68"/>
      <c r="R38" s="16"/>
      <c r="S38" s="16"/>
      <c r="T38" s="16"/>
      <c r="U38" s="16"/>
      <c r="V38" s="16"/>
      <c r="W38" s="16"/>
      <c r="X38" s="16"/>
      <c r="Y38" s="16"/>
      <c r="Z38" s="45"/>
      <c r="AA38" s="63"/>
      <c r="AB38" s="63"/>
    </row>
    <row r="39" spans="1:28" ht="15.75" x14ac:dyDescent="0.25">
      <c r="A39" s="2" t="s">
        <v>188</v>
      </c>
      <c r="B39" s="146"/>
      <c r="C39" s="99"/>
      <c r="D39" s="68"/>
      <c r="E39" s="71" t="s">
        <v>228</v>
      </c>
      <c r="F39" s="44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68"/>
      <c r="R39" s="16"/>
      <c r="S39" s="16"/>
      <c r="T39" s="16"/>
      <c r="U39" s="16"/>
      <c r="V39" s="16"/>
      <c r="W39" s="16"/>
      <c r="X39" s="16"/>
      <c r="Y39" s="16"/>
      <c r="Z39" s="45"/>
      <c r="AA39" s="63"/>
      <c r="AB39" s="63"/>
    </row>
    <row r="40" spans="1:28" ht="15.75" x14ac:dyDescent="0.25">
      <c r="A40" s="46" t="s">
        <v>279</v>
      </c>
      <c r="B40" s="145">
        <f>B41+B42</f>
        <v>0</v>
      </c>
      <c r="C40" s="99"/>
      <c r="D40" s="68"/>
      <c r="E40" s="71" t="s">
        <v>228</v>
      </c>
      <c r="F40" s="44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68"/>
      <c r="R40" s="16"/>
      <c r="S40" s="16"/>
      <c r="T40" s="16"/>
      <c r="U40" s="16"/>
      <c r="V40" s="16"/>
      <c r="W40" s="16"/>
      <c r="X40" s="16"/>
      <c r="Y40" s="16"/>
      <c r="Z40" s="45"/>
      <c r="AA40" s="63"/>
      <c r="AB40" s="63"/>
    </row>
    <row r="41" spans="1:28" ht="15.75" x14ac:dyDescent="0.25">
      <c r="A41" s="2" t="s">
        <v>317</v>
      </c>
      <c r="B41" s="146"/>
      <c r="C41" s="99"/>
      <c r="D41" s="68"/>
      <c r="E41" s="16" t="s">
        <v>228</v>
      </c>
      <c r="F41" s="44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68"/>
      <c r="R41" s="16"/>
      <c r="S41" s="16"/>
      <c r="T41" s="16"/>
      <c r="U41" s="16"/>
      <c r="V41" s="16"/>
      <c r="W41" s="16"/>
      <c r="X41" s="16"/>
      <c r="Y41" s="16"/>
      <c r="Z41" s="45"/>
      <c r="AA41" s="63"/>
      <c r="AB41" s="63"/>
    </row>
    <row r="42" spans="1:28" ht="15.75" x14ac:dyDescent="0.25">
      <c r="A42" s="2" t="s">
        <v>318</v>
      </c>
      <c r="B42" s="146"/>
      <c r="C42" s="99"/>
      <c r="D42" s="68"/>
      <c r="E42" s="16" t="s">
        <v>228</v>
      </c>
      <c r="F42" s="44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68"/>
      <c r="R42" s="16"/>
      <c r="S42" s="16"/>
      <c r="T42" s="16"/>
      <c r="U42" s="16"/>
      <c r="V42" s="16"/>
      <c r="W42" s="16"/>
      <c r="X42" s="16"/>
      <c r="Y42" s="16"/>
      <c r="Z42" s="45"/>
      <c r="AA42" s="63"/>
      <c r="AB42" s="63"/>
    </row>
    <row r="43" spans="1:28" ht="15.75" x14ac:dyDescent="0.25">
      <c r="A43" s="46" t="s">
        <v>314</v>
      </c>
      <c r="B43" s="145">
        <f>B44+B45</f>
        <v>0</v>
      </c>
      <c r="C43" s="99"/>
      <c r="D43" s="68"/>
      <c r="E43" s="16" t="s">
        <v>228</v>
      </c>
      <c r="F43" s="44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68"/>
      <c r="R43" s="16"/>
      <c r="S43" s="16"/>
      <c r="T43" s="16"/>
      <c r="U43" s="16"/>
      <c r="V43" s="16"/>
      <c r="W43" s="16"/>
      <c r="X43" s="16"/>
      <c r="Y43" s="16"/>
      <c r="Z43" s="45"/>
      <c r="AA43" s="63"/>
      <c r="AB43" s="63"/>
    </row>
    <row r="44" spans="1:28" ht="15.75" x14ac:dyDescent="0.25">
      <c r="A44" s="2" t="s">
        <v>315</v>
      </c>
      <c r="B44" s="146"/>
      <c r="C44" s="99"/>
      <c r="D44" s="68"/>
      <c r="E44" s="16" t="s">
        <v>228</v>
      </c>
      <c r="F44" s="44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68"/>
      <c r="R44" s="16"/>
      <c r="S44" s="16"/>
      <c r="T44" s="16"/>
      <c r="U44" s="16"/>
      <c r="V44" s="16"/>
      <c r="W44" s="16"/>
      <c r="X44" s="16"/>
      <c r="Y44" s="16"/>
      <c r="Z44" s="45"/>
      <c r="AA44" s="63"/>
      <c r="AB44" s="63"/>
    </row>
    <row r="45" spans="1:28" ht="15.75" x14ac:dyDescent="0.25">
      <c r="A45" s="2" t="s">
        <v>316</v>
      </c>
      <c r="B45" s="146"/>
      <c r="C45" s="99"/>
      <c r="D45" s="68"/>
      <c r="E45" s="16" t="s">
        <v>228</v>
      </c>
      <c r="F45" s="44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68"/>
      <c r="R45" s="16"/>
      <c r="S45" s="16"/>
      <c r="T45" s="16"/>
      <c r="U45" s="16"/>
      <c r="V45" s="16"/>
      <c r="W45" s="16"/>
      <c r="X45" s="16"/>
      <c r="Y45" s="16"/>
      <c r="Z45" s="45"/>
      <c r="AA45" s="63"/>
      <c r="AB45" s="63"/>
    </row>
    <row r="46" spans="1:28" ht="15.75" x14ac:dyDescent="0.25">
      <c r="A46" s="46" t="s">
        <v>280</v>
      </c>
      <c r="B46" s="146"/>
      <c r="C46" s="99"/>
      <c r="D46" s="68"/>
      <c r="E46" s="16" t="s">
        <v>228</v>
      </c>
      <c r="F46" s="44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68"/>
      <c r="R46" s="16"/>
      <c r="S46" s="16"/>
      <c r="T46" s="16"/>
      <c r="U46" s="16"/>
      <c r="V46" s="16"/>
      <c r="W46" s="16"/>
      <c r="X46" s="16"/>
      <c r="Y46" s="16"/>
      <c r="Z46" s="45"/>
      <c r="AA46" s="63"/>
      <c r="AB46" s="63"/>
    </row>
    <row r="47" spans="1:28" ht="15.75" x14ac:dyDescent="0.25">
      <c r="A47" s="47" t="s">
        <v>40</v>
      </c>
      <c r="B47" s="145">
        <f>B48+B55+B58+B61+B68+B71+B74+B77+B80</f>
        <v>151</v>
      </c>
      <c r="C47" s="99"/>
      <c r="D47" s="68"/>
      <c r="E47" s="16" t="s">
        <v>228</v>
      </c>
      <c r="F47" s="44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68"/>
      <c r="R47" s="16"/>
      <c r="S47" s="16"/>
      <c r="T47" s="16"/>
      <c r="U47" s="16"/>
      <c r="V47" s="16"/>
      <c r="W47" s="16"/>
      <c r="X47" s="16"/>
      <c r="Y47" s="16"/>
      <c r="Z47" s="45"/>
      <c r="AA47" s="63"/>
      <c r="AB47" s="63"/>
    </row>
    <row r="48" spans="1:28" ht="15.75" x14ac:dyDescent="0.25">
      <c r="A48" s="46" t="s">
        <v>5</v>
      </c>
      <c r="B48" s="145">
        <f>B49+B52</f>
        <v>151</v>
      </c>
      <c r="C48" s="99"/>
      <c r="D48" s="68"/>
      <c r="E48" s="16" t="s">
        <v>228</v>
      </c>
      <c r="F48" s="44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68"/>
      <c r="R48" s="16"/>
      <c r="S48" s="16"/>
      <c r="T48" s="16"/>
      <c r="U48" s="16"/>
      <c r="V48" s="16"/>
      <c r="W48" s="16"/>
      <c r="X48" s="16"/>
      <c r="Y48" s="16"/>
      <c r="Z48" s="45"/>
      <c r="AA48" s="63"/>
      <c r="AB48" s="63"/>
    </row>
    <row r="49" spans="1:28" ht="15.75" x14ac:dyDescent="0.25">
      <c r="A49" s="2" t="s">
        <v>274</v>
      </c>
      <c r="B49" s="145">
        <f>B50+B51</f>
        <v>151</v>
      </c>
      <c r="C49" s="99"/>
      <c r="D49" s="68"/>
      <c r="E49" s="16" t="s">
        <v>228</v>
      </c>
      <c r="F49" s="44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68"/>
      <c r="R49" s="16"/>
      <c r="S49" s="16"/>
      <c r="T49" s="16"/>
      <c r="U49" s="16"/>
      <c r="V49" s="16"/>
      <c r="W49" s="16"/>
      <c r="X49" s="16"/>
      <c r="Y49" s="16"/>
      <c r="Z49" s="45"/>
      <c r="AA49" s="63"/>
      <c r="AB49" s="63"/>
    </row>
    <row r="50" spans="1:28" ht="15.75" x14ac:dyDescent="0.25">
      <c r="A50" s="2" t="s">
        <v>277</v>
      </c>
      <c r="B50" s="146">
        <v>111</v>
      </c>
      <c r="C50" s="99"/>
      <c r="D50" s="68"/>
      <c r="E50" s="16" t="s">
        <v>228</v>
      </c>
      <c r="F50" s="44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68"/>
      <c r="R50" s="16"/>
      <c r="S50" s="16"/>
      <c r="T50" s="16"/>
      <c r="U50" s="16"/>
      <c r="V50" s="16"/>
      <c r="W50" s="16"/>
      <c r="X50" s="16"/>
      <c r="Y50" s="16"/>
      <c r="Z50" s="45"/>
      <c r="AA50" s="63"/>
      <c r="AB50" s="63"/>
    </row>
    <row r="51" spans="1:28" ht="15.75" x14ac:dyDescent="0.25">
      <c r="A51" s="2" t="s">
        <v>278</v>
      </c>
      <c r="B51" s="146">
        <v>40</v>
      </c>
      <c r="C51" s="99"/>
      <c r="D51" s="68"/>
      <c r="E51" s="16" t="s">
        <v>228</v>
      </c>
      <c r="F51" s="160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68"/>
      <c r="R51" s="16"/>
      <c r="S51" s="16"/>
      <c r="T51" s="16"/>
      <c r="U51" s="16"/>
      <c r="V51" s="16"/>
      <c r="W51" s="16"/>
      <c r="X51" s="16"/>
      <c r="Y51" s="16"/>
      <c r="Z51" s="45"/>
      <c r="AA51" s="63"/>
      <c r="AB51" s="63"/>
    </row>
    <row r="52" spans="1:28" ht="15.75" x14ac:dyDescent="0.25">
      <c r="A52" s="2" t="s">
        <v>6</v>
      </c>
      <c r="B52" s="145">
        <f>B53+B54</f>
        <v>0</v>
      </c>
      <c r="C52" s="99"/>
      <c r="D52" s="68"/>
      <c r="E52" s="16" t="s">
        <v>228</v>
      </c>
      <c r="F52" s="44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68"/>
      <c r="R52" s="16"/>
      <c r="S52" s="16"/>
      <c r="T52" s="16"/>
      <c r="U52" s="16"/>
      <c r="V52" s="16"/>
      <c r="W52" s="16"/>
      <c r="X52" s="16"/>
      <c r="Y52" s="16"/>
      <c r="Z52" s="45"/>
      <c r="AA52" s="63"/>
      <c r="AB52" s="63"/>
    </row>
    <row r="53" spans="1:28" ht="15.75" x14ac:dyDescent="0.25">
      <c r="A53" s="2" t="s">
        <v>275</v>
      </c>
      <c r="B53" s="146"/>
      <c r="C53" s="99"/>
      <c r="D53" s="68"/>
      <c r="E53" s="16" t="s">
        <v>228</v>
      </c>
      <c r="F53" s="44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68"/>
      <c r="R53" s="16"/>
      <c r="S53" s="16"/>
      <c r="T53" s="16"/>
      <c r="U53" s="16"/>
      <c r="V53" s="16"/>
      <c r="W53" s="16"/>
      <c r="X53" s="16"/>
      <c r="Y53" s="16"/>
      <c r="Z53" s="45"/>
      <c r="AA53" s="63"/>
      <c r="AB53" s="63"/>
    </row>
    <row r="54" spans="1:28" ht="15.75" x14ac:dyDescent="0.25">
      <c r="A54" s="2" t="s">
        <v>276</v>
      </c>
      <c r="B54" s="146"/>
      <c r="C54" s="99"/>
      <c r="D54" s="68"/>
      <c r="E54" s="16" t="s">
        <v>228</v>
      </c>
      <c r="F54" s="44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68"/>
      <c r="R54" s="16"/>
      <c r="S54" s="16"/>
      <c r="T54" s="16"/>
      <c r="U54" s="16"/>
      <c r="V54" s="16"/>
      <c r="W54" s="16"/>
      <c r="X54" s="16"/>
      <c r="Y54" s="16"/>
      <c r="Z54" s="45"/>
      <c r="AA54" s="63"/>
      <c r="AB54" s="63"/>
    </row>
    <row r="55" spans="1:28" ht="15.75" x14ac:dyDescent="0.25">
      <c r="A55" s="46" t="s">
        <v>41</v>
      </c>
      <c r="B55" s="145">
        <f>B56+B57</f>
        <v>0</v>
      </c>
      <c r="C55" s="99"/>
      <c r="D55" s="68"/>
      <c r="E55" s="16" t="s">
        <v>228</v>
      </c>
      <c r="F55" s="44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68"/>
      <c r="R55" s="16"/>
      <c r="S55" s="16"/>
      <c r="T55" s="16"/>
      <c r="U55" s="16"/>
      <c r="V55" s="16"/>
      <c r="W55" s="16"/>
      <c r="X55" s="16"/>
      <c r="Y55" s="16"/>
      <c r="Z55" s="45"/>
      <c r="AA55" s="63"/>
      <c r="AB55" s="63"/>
    </row>
    <row r="56" spans="1:28" ht="15.75" x14ac:dyDescent="0.25">
      <c r="A56" s="2" t="s">
        <v>42</v>
      </c>
      <c r="B56" s="146"/>
      <c r="C56" s="99"/>
      <c r="D56" s="67"/>
      <c r="E56" s="70" t="s">
        <v>228</v>
      </c>
      <c r="F56" s="72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67"/>
      <c r="R56" s="16"/>
      <c r="S56" s="16"/>
      <c r="T56" s="16"/>
      <c r="U56" s="16"/>
      <c r="V56" s="16"/>
      <c r="W56" s="16"/>
      <c r="X56" s="16"/>
      <c r="Y56" s="16"/>
      <c r="Z56" s="45"/>
      <c r="AA56" s="63"/>
      <c r="AB56" s="63"/>
    </row>
    <row r="57" spans="1:28" ht="15.75" x14ac:dyDescent="0.25">
      <c r="A57" s="2" t="s">
        <v>189</v>
      </c>
      <c r="B57" s="146"/>
      <c r="C57" s="99"/>
      <c r="D57" s="68"/>
      <c r="E57" s="71" t="s">
        <v>228</v>
      </c>
      <c r="F57" s="44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68"/>
      <c r="R57" s="16"/>
      <c r="S57" s="16"/>
      <c r="T57" s="16"/>
      <c r="U57" s="16"/>
      <c r="V57" s="16"/>
      <c r="W57" s="16"/>
      <c r="X57" s="16"/>
      <c r="Y57" s="16"/>
      <c r="Z57" s="45"/>
      <c r="AA57" s="63"/>
      <c r="AB57" s="63"/>
    </row>
    <row r="58" spans="1:28" ht="15.75" x14ac:dyDescent="0.25">
      <c r="A58" s="46" t="s">
        <v>43</v>
      </c>
      <c r="B58" s="145">
        <f>B59+B60</f>
        <v>0</v>
      </c>
      <c r="C58" s="99"/>
      <c r="D58" s="68"/>
      <c r="E58" s="71" t="s">
        <v>228</v>
      </c>
      <c r="F58" s="44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68"/>
      <c r="R58" s="16"/>
      <c r="S58" s="16"/>
      <c r="T58" s="16"/>
      <c r="U58" s="16"/>
      <c r="V58" s="16"/>
      <c r="W58" s="16"/>
      <c r="X58" s="16"/>
      <c r="Y58" s="16"/>
      <c r="Z58" s="45"/>
      <c r="AA58" s="63"/>
      <c r="AB58" s="63"/>
    </row>
    <row r="59" spans="1:28" ht="15.75" x14ac:dyDescent="0.25">
      <c r="A59" s="2" t="s">
        <v>44</v>
      </c>
      <c r="B59" s="146"/>
      <c r="C59" s="99"/>
      <c r="D59" s="68"/>
      <c r="E59" s="71" t="s">
        <v>228</v>
      </c>
      <c r="F59" s="44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68"/>
      <c r="R59" s="16"/>
      <c r="S59" s="16"/>
      <c r="T59" s="16"/>
      <c r="U59" s="16"/>
      <c r="V59" s="16"/>
      <c r="W59" s="16"/>
      <c r="X59" s="16"/>
      <c r="Y59" s="16"/>
      <c r="Z59" s="45"/>
      <c r="AA59" s="63"/>
      <c r="AB59" s="63"/>
    </row>
    <row r="60" spans="1:28" ht="15.75" x14ac:dyDescent="0.25">
      <c r="A60" s="2" t="s">
        <v>190</v>
      </c>
      <c r="B60" s="146"/>
      <c r="C60" s="99"/>
      <c r="D60" s="68"/>
      <c r="E60" s="16" t="s">
        <v>228</v>
      </c>
      <c r="F60" s="44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68"/>
      <c r="R60" s="16"/>
      <c r="S60" s="16"/>
      <c r="T60" s="16"/>
      <c r="U60" s="16"/>
      <c r="V60" s="16"/>
      <c r="W60" s="16"/>
      <c r="X60" s="16"/>
      <c r="Y60" s="16"/>
      <c r="Z60" s="45"/>
      <c r="AA60" s="63"/>
      <c r="AB60" s="63"/>
    </row>
    <row r="61" spans="1:28" ht="15.75" x14ac:dyDescent="0.25">
      <c r="A61" s="46" t="s">
        <v>7</v>
      </c>
      <c r="B61" s="145">
        <f>B62+B65</f>
        <v>0</v>
      </c>
      <c r="C61" s="99"/>
      <c r="D61" s="68"/>
      <c r="E61" s="16" t="s">
        <v>228</v>
      </c>
      <c r="F61" s="44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68"/>
      <c r="R61" s="16"/>
      <c r="S61" s="16"/>
      <c r="T61" s="16"/>
      <c r="U61" s="16"/>
      <c r="V61" s="16"/>
      <c r="W61" s="16"/>
      <c r="X61" s="16"/>
      <c r="Y61" s="16"/>
      <c r="Z61" s="45"/>
      <c r="AA61" s="63"/>
      <c r="AB61" s="63"/>
    </row>
    <row r="62" spans="1:28" ht="15.75" x14ac:dyDescent="0.25">
      <c r="A62" s="2" t="s">
        <v>45</v>
      </c>
      <c r="B62" s="145">
        <f>B63+B64</f>
        <v>0</v>
      </c>
      <c r="C62" s="99"/>
      <c r="D62" s="68"/>
      <c r="E62" s="16" t="s">
        <v>228</v>
      </c>
      <c r="F62" s="44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68"/>
      <c r="R62" s="16"/>
      <c r="S62" s="16"/>
      <c r="T62" s="16"/>
      <c r="U62" s="16"/>
      <c r="V62" s="16"/>
      <c r="W62" s="16"/>
      <c r="X62" s="16"/>
      <c r="Y62" s="16"/>
      <c r="Z62" s="45"/>
      <c r="AA62" s="63"/>
      <c r="AB62" s="63"/>
    </row>
    <row r="63" spans="1:28" ht="15.75" x14ac:dyDescent="0.25">
      <c r="A63" s="2" t="s">
        <v>46</v>
      </c>
      <c r="B63" s="146"/>
      <c r="C63" s="99"/>
      <c r="D63" s="68"/>
      <c r="E63" s="16" t="s">
        <v>228</v>
      </c>
      <c r="F63" s="44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68"/>
      <c r="R63" s="16"/>
      <c r="S63" s="16"/>
      <c r="T63" s="16"/>
      <c r="U63" s="16"/>
      <c r="V63" s="16"/>
      <c r="W63" s="16"/>
      <c r="X63" s="16"/>
      <c r="Y63" s="16"/>
      <c r="Z63" s="45"/>
      <c r="AA63" s="63"/>
      <c r="AB63" s="63"/>
    </row>
    <row r="64" spans="1:28" ht="15.75" x14ac:dyDescent="0.25">
      <c r="A64" s="2" t="s">
        <v>191</v>
      </c>
      <c r="B64" s="146"/>
      <c r="C64" s="99"/>
      <c r="D64" s="68"/>
      <c r="E64" s="16" t="s">
        <v>228</v>
      </c>
      <c r="F64" s="44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68"/>
      <c r="R64" s="16"/>
      <c r="S64" s="16"/>
      <c r="T64" s="16"/>
      <c r="U64" s="16"/>
      <c r="V64" s="16"/>
      <c r="W64" s="16"/>
      <c r="X64" s="16"/>
      <c r="Y64" s="16"/>
      <c r="Z64" s="45"/>
      <c r="AA64" s="63"/>
      <c r="AB64" s="63"/>
    </row>
    <row r="65" spans="1:28" ht="15.75" x14ac:dyDescent="0.25">
      <c r="A65" s="2" t="s">
        <v>47</v>
      </c>
      <c r="B65" s="145">
        <f>B66+B67</f>
        <v>0</v>
      </c>
      <c r="C65" s="99"/>
      <c r="D65" s="68"/>
      <c r="E65" s="16" t="s">
        <v>228</v>
      </c>
      <c r="F65" s="44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68"/>
      <c r="R65" s="16"/>
      <c r="S65" s="16"/>
      <c r="T65" s="16"/>
      <c r="U65" s="16"/>
      <c r="V65" s="16"/>
      <c r="W65" s="16"/>
      <c r="X65" s="16"/>
      <c r="Y65" s="16"/>
      <c r="Z65" s="45"/>
      <c r="AA65" s="63"/>
      <c r="AB65" s="63"/>
    </row>
    <row r="66" spans="1:28" ht="15.75" x14ac:dyDescent="0.25">
      <c r="A66" s="2" t="s">
        <v>48</v>
      </c>
      <c r="B66" s="146"/>
      <c r="C66" s="99"/>
      <c r="D66" s="68"/>
      <c r="E66" s="16" t="s">
        <v>228</v>
      </c>
      <c r="F66" s="44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68"/>
      <c r="R66" s="16"/>
      <c r="S66" s="16"/>
      <c r="T66" s="16"/>
      <c r="U66" s="16"/>
      <c r="V66" s="16"/>
      <c r="W66" s="16"/>
      <c r="X66" s="16"/>
      <c r="Y66" s="16"/>
      <c r="Z66" s="45"/>
      <c r="AA66" s="63"/>
      <c r="AB66" s="63"/>
    </row>
    <row r="67" spans="1:28" ht="15.75" x14ac:dyDescent="0.25">
      <c r="A67" s="2" t="s">
        <v>192</v>
      </c>
      <c r="B67" s="146"/>
      <c r="C67" s="99"/>
      <c r="D67" s="68"/>
      <c r="E67" s="16" t="s">
        <v>228</v>
      </c>
      <c r="F67" s="44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68"/>
      <c r="R67" s="16"/>
      <c r="S67" s="16"/>
      <c r="T67" s="16"/>
      <c r="U67" s="16"/>
      <c r="V67" s="16"/>
      <c r="W67" s="16"/>
      <c r="X67" s="16"/>
      <c r="Y67" s="16"/>
      <c r="Z67" s="45"/>
      <c r="AA67" s="63"/>
      <c r="AB67" s="63"/>
    </row>
    <row r="68" spans="1:28" ht="15.75" x14ac:dyDescent="0.25">
      <c r="A68" s="46" t="s">
        <v>49</v>
      </c>
      <c r="B68" s="145">
        <f>B69+B70</f>
        <v>0</v>
      </c>
      <c r="C68" s="99"/>
      <c r="D68" s="68"/>
      <c r="E68" s="16" t="s">
        <v>228</v>
      </c>
      <c r="F68" s="44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68"/>
      <c r="R68" s="16"/>
      <c r="S68" s="16"/>
      <c r="T68" s="16"/>
      <c r="U68" s="16"/>
      <c r="V68" s="16"/>
      <c r="W68" s="16"/>
      <c r="X68" s="16"/>
      <c r="Y68" s="16"/>
      <c r="Z68" s="45"/>
      <c r="AA68" s="63"/>
      <c r="AB68" s="63"/>
    </row>
    <row r="69" spans="1:28" ht="15.75" x14ac:dyDescent="0.25">
      <c r="A69" s="2" t="s">
        <v>50</v>
      </c>
      <c r="B69" s="146"/>
      <c r="C69" s="99"/>
      <c r="D69" s="68"/>
      <c r="E69" s="16" t="s">
        <v>228</v>
      </c>
      <c r="F69" s="44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68"/>
      <c r="R69" s="16"/>
      <c r="S69" s="16"/>
      <c r="T69" s="16"/>
      <c r="U69" s="16"/>
      <c r="V69" s="16"/>
      <c r="W69" s="16"/>
      <c r="X69" s="16"/>
      <c r="Y69" s="16"/>
      <c r="Z69" s="45"/>
      <c r="AA69" s="63"/>
      <c r="AB69" s="63"/>
    </row>
    <row r="70" spans="1:28" ht="15.75" x14ac:dyDescent="0.25">
      <c r="A70" s="2" t="s">
        <v>193</v>
      </c>
      <c r="B70" s="146"/>
      <c r="C70" s="99"/>
      <c r="D70" s="68"/>
      <c r="E70" s="16" t="s">
        <v>228</v>
      </c>
      <c r="F70" s="44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68"/>
      <c r="R70" s="16"/>
      <c r="S70" s="16"/>
      <c r="T70" s="16"/>
      <c r="U70" s="16"/>
      <c r="V70" s="16"/>
      <c r="W70" s="16"/>
      <c r="X70" s="16"/>
      <c r="Y70" s="16"/>
      <c r="Z70" s="45"/>
      <c r="AA70" s="63"/>
      <c r="AB70" s="63"/>
    </row>
    <row r="71" spans="1:28" ht="15.75" x14ac:dyDescent="0.25">
      <c r="A71" s="46" t="s">
        <v>51</v>
      </c>
      <c r="B71" s="145">
        <f>B72+B73</f>
        <v>0</v>
      </c>
      <c r="C71" s="99"/>
      <c r="D71" s="68"/>
      <c r="E71" s="16" t="s">
        <v>228</v>
      </c>
      <c r="F71" s="44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68"/>
      <c r="R71" s="16"/>
      <c r="S71" s="16"/>
      <c r="T71" s="16"/>
      <c r="U71" s="16"/>
      <c r="V71" s="16"/>
      <c r="W71" s="16"/>
      <c r="X71" s="16"/>
      <c r="Y71" s="16"/>
      <c r="Z71" s="45"/>
      <c r="AA71" s="63"/>
      <c r="AB71" s="63"/>
    </row>
    <row r="72" spans="1:28" ht="15.75" x14ac:dyDescent="0.25">
      <c r="A72" s="2" t="s">
        <v>52</v>
      </c>
      <c r="B72" s="146"/>
      <c r="C72" s="99"/>
      <c r="D72" s="68"/>
      <c r="E72" s="16" t="s">
        <v>228</v>
      </c>
      <c r="F72" s="44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68"/>
      <c r="R72" s="16"/>
      <c r="S72" s="16"/>
      <c r="T72" s="16"/>
      <c r="U72" s="16"/>
      <c r="V72" s="16"/>
      <c r="W72" s="16"/>
      <c r="X72" s="16"/>
      <c r="Y72" s="16"/>
      <c r="Z72" s="45"/>
      <c r="AA72" s="63"/>
      <c r="AB72" s="63"/>
    </row>
    <row r="73" spans="1:28" ht="15.75" x14ac:dyDescent="0.25">
      <c r="A73" s="2" t="s">
        <v>194</v>
      </c>
      <c r="B73" s="146"/>
      <c r="C73" s="99"/>
      <c r="D73" s="68"/>
      <c r="E73" s="16" t="s">
        <v>228</v>
      </c>
      <c r="F73" s="44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68"/>
      <c r="R73" s="16"/>
      <c r="S73" s="16"/>
      <c r="T73" s="16"/>
      <c r="U73" s="16"/>
      <c r="V73" s="16"/>
      <c r="W73" s="16"/>
      <c r="X73" s="16"/>
      <c r="Y73" s="16"/>
      <c r="Z73" s="45"/>
      <c r="AA73" s="63"/>
      <c r="AB73" s="63"/>
    </row>
    <row r="74" spans="1:28" ht="15.75" x14ac:dyDescent="0.25">
      <c r="A74" s="46" t="s">
        <v>53</v>
      </c>
      <c r="B74" s="145">
        <f>B75+B76</f>
        <v>0</v>
      </c>
      <c r="C74" s="99"/>
      <c r="D74" s="68"/>
      <c r="E74" s="16" t="s">
        <v>228</v>
      </c>
      <c r="F74" s="160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68"/>
      <c r="R74" s="16"/>
      <c r="S74" s="16"/>
      <c r="T74" s="16"/>
      <c r="U74" s="16"/>
      <c r="V74" s="16"/>
      <c r="W74" s="16"/>
      <c r="X74" s="16"/>
      <c r="Y74" s="16"/>
      <c r="Z74" s="45"/>
      <c r="AA74" s="63"/>
      <c r="AB74" s="63"/>
    </row>
    <row r="75" spans="1:28" ht="15.75" x14ac:dyDescent="0.25">
      <c r="A75" s="2" t="s">
        <v>54</v>
      </c>
      <c r="B75" s="146"/>
      <c r="C75" s="99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16"/>
      <c r="S75" s="16"/>
      <c r="T75" s="16"/>
      <c r="U75" s="16"/>
      <c r="V75" s="16"/>
      <c r="W75" s="16"/>
      <c r="X75" s="16"/>
      <c r="Y75" s="16"/>
      <c r="Z75" s="45"/>
      <c r="AA75" s="63"/>
      <c r="AB75" s="63"/>
    </row>
    <row r="76" spans="1:28" ht="15.75" x14ac:dyDescent="0.25">
      <c r="A76" s="2" t="s">
        <v>195</v>
      </c>
      <c r="B76" s="146"/>
      <c r="C76" s="99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45"/>
      <c r="AA76" s="63"/>
      <c r="AB76" s="63"/>
    </row>
    <row r="77" spans="1:28" ht="15.75" x14ac:dyDescent="0.25">
      <c r="A77" s="46" t="s">
        <v>319</v>
      </c>
      <c r="B77" s="145">
        <f>B78+B79</f>
        <v>0</v>
      </c>
      <c r="C77" s="99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45"/>
      <c r="AA77" s="63"/>
      <c r="AB77" s="63"/>
    </row>
    <row r="78" spans="1:28" ht="15.75" x14ac:dyDescent="0.25">
      <c r="A78" s="2" t="s">
        <v>72</v>
      </c>
      <c r="B78" s="146"/>
      <c r="C78" s="99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45"/>
      <c r="AA78" s="63"/>
      <c r="AB78" s="63"/>
    </row>
    <row r="79" spans="1:28" ht="15.75" x14ac:dyDescent="0.25">
      <c r="A79" s="55" t="s">
        <v>196</v>
      </c>
      <c r="B79" s="146"/>
      <c r="C79" s="99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45"/>
      <c r="AA79" s="63"/>
      <c r="AB79" s="63"/>
    </row>
    <row r="80" spans="1:28" ht="15.75" x14ac:dyDescent="0.25">
      <c r="A80" s="46" t="s">
        <v>271</v>
      </c>
      <c r="B80" s="145">
        <f>B81+B82</f>
        <v>0</v>
      </c>
      <c r="C80" s="99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45"/>
      <c r="AA80" s="63"/>
      <c r="AB80" s="63"/>
    </row>
    <row r="81" spans="1:28" ht="15.75" x14ac:dyDescent="0.25">
      <c r="A81" s="2" t="s">
        <v>272</v>
      </c>
      <c r="B81" s="146"/>
      <c r="C81" s="99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45"/>
      <c r="AA81" s="63"/>
      <c r="AB81" s="63"/>
    </row>
    <row r="82" spans="1:28" ht="15.75" x14ac:dyDescent="0.25">
      <c r="A82" s="55" t="s">
        <v>273</v>
      </c>
      <c r="B82" s="146">
        <v>0</v>
      </c>
      <c r="C82" s="99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45"/>
      <c r="AA82" s="63"/>
      <c r="AB82" s="63"/>
    </row>
    <row r="83" spans="1:28" ht="15.75" x14ac:dyDescent="0.25">
      <c r="A83" s="56" t="s">
        <v>55</v>
      </c>
      <c r="B83" s="145">
        <f>B84+B97+B100+B103+B110+B113+B116+B119</f>
        <v>79</v>
      </c>
      <c r="C83" s="99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45"/>
      <c r="AA83" s="63"/>
      <c r="AB83" s="63"/>
    </row>
    <row r="84" spans="1:28" ht="15.75" x14ac:dyDescent="0.25">
      <c r="A84" s="57" t="s">
        <v>56</v>
      </c>
      <c r="B84" s="145">
        <f>B85+B88+B91+B94</f>
        <v>79</v>
      </c>
      <c r="C84" s="99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45"/>
      <c r="AA84" s="63"/>
      <c r="AB84" s="63"/>
    </row>
    <row r="85" spans="1:28" ht="15.75" x14ac:dyDescent="0.25">
      <c r="A85" s="55" t="s">
        <v>57</v>
      </c>
      <c r="B85" s="145">
        <f>B86+B87</f>
        <v>79</v>
      </c>
      <c r="C85" s="99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45"/>
      <c r="AA85" s="63"/>
      <c r="AB85" s="63"/>
    </row>
    <row r="86" spans="1:28" ht="15.75" x14ac:dyDescent="0.25">
      <c r="A86" s="55" t="s">
        <v>58</v>
      </c>
      <c r="B86" s="146">
        <v>45</v>
      </c>
      <c r="C86" s="99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45"/>
      <c r="AA86" s="63"/>
      <c r="AB86" s="63"/>
    </row>
    <row r="87" spans="1:28" ht="15.75" x14ac:dyDescent="0.25">
      <c r="A87" s="55" t="s">
        <v>197</v>
      </c>
      <c r="B87" s="146">
        <v>34</v>
      </c>
      <c r="C87" s="99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45"/>
      <c r="AA87" s="63"/>
      <c r="AB87" s="63"/>
    </row>
    <row r="88" spans="1:28" ht="15.75" x14ac:dyDescent="0.25">
      <c r="A88" s="55" t="s">
        <v>237</v>
      </c>
      <c r="B88" s="145">
        <f>B89+B90</f>
        <v>0</v>
      </c>
      <c r="C88" s="99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45"/>
      <c r="AA88" s="63"/>
      <c r="AB88" s="63"/>
    </row>
    <row r="89" spans="1:28" ht="15.75" x14ac:dyDescent="0.25">
      <c r="A89" s="55" t="s">
        <v>59</v>
      </c>
      <c r="B89" s="146"/>
      <c r="C89" s="99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45"/>
      <c r="AA89" s="63"/>
      <c r="AB89" s="63"/>
    </row>
    <row r="90" spans="1:28" ht="15.75" x14ac:dyDescent="0.25">
      <c r="A90" s="55" t="s">
        <v>198</v>
      </c>
      <c r="B90" s="146"/>
      <c r="C90" s="99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45"/>
      <c r="AA90" s="63"/>
      <c r="AB90" s="63"/>
    </row>
    <row r="91" spans="1:28" ht="15.75" x14ac:dyDescent="0.25">
      <c r="A91" s="55" t="s">
        <v>60</v>
      </c>
      <c r="B91" s="145">
        <f>B92+B93</f>
        <v>0</v>
      </c>
      <c r="C91" s="99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45"/>
      <c r="AA91" s="63"/>
      <c r="AB91" s="63"/>
    </row>
    <row r="92" spans="1:28" ht="15.75" x14ac:dyDescent="0.25">
      <c r="A92" s="55" t="s">
        <v>61</v>
      </c>
      <c r="B92" s="146"/>
      <c r="C92" s="99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45"/>
      <c r="AA92" s="63"/>
      <c r="AB92" s="63"/>
    </row>
    <row r="93" spans="1:28" ht="15.75" x14ac:dyDescent="0.25">
      <c r="A93" s="55" t="s">
        <v>199</v>
      </c>
      <c r="B93" s="146"/>
      <c r="C93" s="99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45"/>
      <c r="AA93" s="63"/>
      <c r="AB93" s="63"/>
    </row>
    <row r="94" spans="1:28" ht="15.75" x14ac:dyDescent="0.25">
      <c r="A94" s="55" t="s">
        <v>62</v>
      </c>
      <c r="B94" s="145">
        <f>B95+B96</f>
        <v>0</v>
      </c>
      <c r="C94" s="99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45"/>
      <c r="AA94" s="63"/>
      <c r="AB94" s="63"/>
    </row>
    <row r="95" spans="1:28" ht="15.75" x14ac:dyDescent="0.25">
      <c r="A95" s="55" t="s">
        <v>63</v>
      </c>
      <c r="B95" s="146"/>
      <c r="C95" s="99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45"/>
      <c r="AA95" s="63"/>
      <c r="AB95" s="63"/>
    </row>
    <row r="96" spans="1:28" ht="15.75" x14ac:dyDescent="0.25">
      <c r="A96" s="55" t="s">
        <v>200</v>
      </c>
      <c r="B96" s="146"/>
      <c r="C96" s="99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45"/>
      <c r="AA96" s="63"/>
      <c r="AB96" s="63"/>
    </row>
    <row r="97" spans="1:28" ht="15.75" x14ac:dyDescent="0.25">
      <c r="A97" s="57" t="s">
        <v>64</v>
      </c>
      <c r="B97" s="145">
        <f>B98+B99</f>
        <v>0</v>
      </c>
      <c r="C97" s="99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45"/>
      <c r="AA97" s="63"/>
      <c r="AB97" s="63"/>
    </row>
    <row r="98" spans="1:28" ht="15.75" x14ac:dyDescent="0.25">
      <c r="A98" s="55" t="s">
        <v>65</v>
      </c>
      <c r="B98" s="146"/>
      <c r="C98" s="99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45"/>
      <c r="AA98" s="63"/>
      <c r="AB98" s="63"/>
    </row>
    <row r="99" spans="1:28" ht="15.75" x14ac:dyDescent="0.25">
      <c r="A99" s="55" t="s">
        <v>201</v>
      </c>
      <c r="B99" s="146"/>
      <c r="C99" s="99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45"/>
      <c r="AA99" s="63"/>
      <c r="AB99" s="63"/>
    </row>
    <row r="100" spans="1:28" ht="15.75" x14ac:dyDescent="0.25">
      <c r="A100" s="57" t="s">
        <v>66</v>
      </c>
      <c r="B100" s="145">
        <f>B101+B102</f>
        <v>0</v>
      </c>
      <c r="C100" s="99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45"/>
      <c r="AA100" s="63"/>
      <c r="AB100" s="63"/>
    </row>
    <row r="101" spans="1:28" ht="15.75" x14ac:dyDescent="0.25">
      <c r="A101" s="55" t="s">
        <v>67</v>
      </c>
      <c r="B101" s="146"/>
      <c r="C101" s="99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45"/>
      <c r="AA101" s="63"/>
      <c r="AB101" s="63"/>
    </row>
    <row r="102" spans="1:28" ht="15.75" x14ac:dyDescent="0.25">
      <c r="A102" s="55" t="s">
        <v>202</v>
      </c>
      <c r="B102" s="146"/>
      <c r="C102" s="99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45"/>
      <c r="AA102" s="63"/>
      <c r="AB102" s="63"/>
    </row>
    <row r="103" spans="1:28" ht="15.75" x14ac:dyDescent="0.25">
      <c r="A103" s="57" t="s">
        <v>68</v>
      </c>
      <c r="B103" s="145">
        <f>B104+B107</f>
        <v>0</v>
      </c>
      <c r="C103" s="99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45"/>
      <c r="AA103" s="63"/>
      <c r="AB103" s="63"/>
    </row>
    <row r="104" spans="1:28" ht="15.75" x14ac:dyDescent="0.25">
      <c r="A104" s="55" t="s">
        <v>238</v>
      </c>
      <c r="B104" s="145">
        <f>B105+B106</f>
        <v>0</v>
      </c>
      <c r="C104" s="99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45"/>
      <c r="AA104" s="63"/>
      <c r="AB104" s="63"/>
    </row>
    <row r="105" spans="1:28" ht="15.75" x14ac:dyDescent="0.25">
      <c r="A105" s="2" t="s">
        <v>239</v>
      </c>
      <c r="B105" s="146"/>
      <c r="C105" s="99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45"/>
      <c r="AA105" s="63"/>
      <c r="AB105" s="63"/>
    </row>
    <row r="106" spans="1:28" ht="15.75" x14ac:dyDescent="0.25">
      <c r="A106" s="2" t="s">
        <v>240</v>
      </c>
      <c r="B106" s="146"/>
      <c r="C106" s="99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45"/>
      <c r="AA106" s="63"/>
      <c r="AB106" s="63"/>
    </row>
    <row r="107" spans="1:28" ht="15.75" x14ac:dyDescent="0.25">
      <c r="A107" s="2" t="s">
        <v>241</v>
      </c>
      <c r="B107" s="145">
        <f>B108+B109</f>
        <v>0</v>
      </c>
      <c r="C107" s="99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45"/>
      <c r="AA107" s="63"/>
      <c r="AB107" s="63"/>
    </row>
    <row r="108" spans="1:28" ht="15.75" x14ac:dyDescent="0.25">
      <c r="A108" s="2" t="s">
        <v>242</v>
      </c>
      <c r="B108" s="146"/>
      <c r="C108" s="99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45"/>
      <c r="AA108" s="63"/>
      <c r="AB108" s="63"/>
    </row>
    <row r="109" spans="1:28" ht="15.75" x14ac:dyDescent="0.25">
      <c r="A109" s="55" t="s">
        <v>243</v>
      </c>
      <c r="B109" s="146"/>
      <c r="C109" s="99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45"/>
      <c r="AA109" s="63"/>
      <c r="AB109" s="63"/>
    </row>
    <row r="110" spans="1:28" ht="15.75" x14ac:dyDescent="0.25">
      <c r="A110" s="57" t="s">
        <v>69</v>
      </c>
      <c r="B110" s="145">
        <f>B111+B112</f>
        <v>0</v>
      </c>
      <c r="C110" s="99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45"/>
      <c r="AA110" s="63"/>
      <c r="AB110" s="63"/>
    </row>
    <row r="111" spans="1:28" ht="15.75" x14ac:dyDescent="0.25">
      <c r="A111" s="55" t="s">
        <v>244</v>
      </c>
      <c r="B111" s="146"/>
      <c r="C111" s="99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45"/>
      <c r="AA111" s="63"/>
      <c r="AB111" s="63"/>
    </row>
    <row r="112" spans="1:28" ht="15.75" x14ac:dyDescent="0.25">
      <c r="A112" s="55" t="s">
        <v>245</v>
      </c>
      <c r="B112" s="146"/>
      <c r="C112" s="99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45"/>
      <c r="AA112" s="63"/>
      <c r="AB112" s="63"/>
    </row>
    <row r="113" spans="1:28" ht="15.75" x14ac:dyDescent="0.25">
      <c r="A113" s="57" t="s">
        <v>70</v>
      </c>
      <c r="B113" s="145">
        <f>B114+B115</f>
        <v>0</v>
      </c>
      <c r="C113" s="99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45"/>
      <c r="AA113" s="63"/>
      <c r="AB113" s="63"/>
    </row>
    <row r="114" spans="1:28" ht="15.75" x14ac:dyDescent="0.25">
      <c r="A114" s="55" t="s">
        <v>246</v>
      </c>
      <c r="B114" s="146"/>
      <c r="C114" s="99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45"/>
      <c r="AA114" s="63"/>
      <c r="AB114" s="63"/>
    </row>
    <row r="115" spans="1:28" ht="15.75" x14ac:dyDescent="0.25">
      <c r="A115" s="55" t="s">
        <v>247</v>
      </c>
      <c r="B115" s="146"/>
      <c r="C115" s="99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45"/>
      <c r="AA115" s="63"/>
      <c r="AB115" s="63"/>
    </row>
    <row r="116" spans="1:28" ht="15.75" x14ac:dyDescent="0.25">
      <c r="A116" s="57" t="s">
        <v>71</v>
      </c>
      <c r="B116" s="145">
        <f>B117+B118</f>
        <v>0</v>
      </c>
      <c r="C116" s="99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45"/>
      <c r="AA116" s="63"/>
      <c r="AB116" s="63"/>
    </row>
    <row r="117" spans="1:28" ht="15.75" x14ac:dyDescent="0.25">
      <c r="A117" s="55" t="s">
        <v>248</v>
      </c>
      <c r="B117" s="146"/>
      <c r="C117" s="99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45"/>
      <c r="AA117" s="63"/>
      <c r="AB117" s="63"/>
    </row>
    <row r="118" spans="1:28" ht="15.75" x14ac:dyDescent="0.25">
      <c r="A118" s="55" t="s">
        <v>249</v>
      </c>
      <c r="B118" s="146"/>
      <c r="C118" s="99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45"/>
      <c r="AA118" s="63"/>
      <c r="AB118" s="63"/>
    </row>
    <row r="119" spans="1:28" ht="15.75" x14ac:dyDescent="0.25">
      <c r="A119" s="57" t="s">
        <v>320</v>
      </c>
      <c r="B119" s="145">
        <f>B120+B121</f>
        <v>0</v>
      </c>
      <c r="C119" s="99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45"/>
      <c r="AA119" s="63"/>
      <c r="AB119" s="63"/>
    </row>
    <row r="120" spans="1:28" ht="15.75" x14ac:dyDescent="0.25">
      <c r="A120" s="55" t="s">
        <v>250</v>
      </c>
      <c r="B120" s="146"/>
      <c r="C120" s="99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45"/>
      <c r="AA120" s="63"/>
      <c r="AB120" s="63"/>
    </row>
    <row r="121" spans="1:28" ht="15.75" x14ac:dyDescent="0.25">
      <c r="A121" s="55" t="s">
        <v>251</v>
      </c>
      <c r="B121" s="146"/>
      <c r="C121" s="99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45"/>
      <c r="AA121" s="63"/>
      <c r="AB121" s="63"/>
    </row>
    <row r="122" spans="1:28" ht="15.75" x14ac:dyDescent="0.25">
      <c r="A122" s="57" t="s">
        <v>270</v>
      </c>
      <c r="B122" s="146">
        <v>0</v>
      </c>
      <c r="C122" s="99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45"/>
      <c r="AA122" s="63"/>
      <c r="AB122" s="63"/>
    </row>
    <row r="123" spans="1:28" ht="15.75" x14ac:dyDescent="0.25">
      <c r="A123" s="56" t="s">
        <v>73</v>
      </c>
      <c r="B123" s="145">
        <f>B124+B146+B153+B156+B160+B163+B166+B169+B172</f>
        <v>79</v>
      </c>
      <c r="C123" s="99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45"/>
      <c r="AA123" s="63"/>
      <c r="AB123" s="63"/>
    </row>
    <row r="124" spans="1:28" ht="15.75" x14ac:dyDescent="0.25">
      <c r="A124" s="57" t="s">
        <v>8</v>
      </c>
      <c r="B124" s="145">
        <f>B125+B132+B135+B139</f>
        <v>79</v>
      </c>
      <c r="C124" s="99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45"/>
      <c r="AA124" s="63"/>
      <c r="AB124" s="63"/>
    </row>
    <row r="125" spans="1:28" ht="15.75" x14ac:dyDescent="0.25">
      <c r="A125" s="55" t="s">
        <v>9</v>
      </c>
      <c r="B125" s="145">
        <f>B126+B129</f>
        <v>79</v>
      </c>
      <c r="C125" s="99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45"/>
      <c r="AA125" s="63"/>
      <c r="AB125" s="63"/>
    </row>
    <row r="126" spans="1:28" ht="15.75" x14ac:dyDescent="0.25">
      <c r="A126" s="55" t="s">
        <v>264</v>
      </c>
      <c r="B126" s="145">
        <f>B127+B128</f>
        <v>79</v>
      </c>
      <c r="C126" s="99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45"/>
      <c r="AA126" s="63"/>
      <c r="AB126" s="63"/>
    </row>
    <row r="127" spans="1:28" ht="15.75" x14ac:dyDescent="0.25">
      <c r="A127" s="55" t="s">
        <v>265</v>
      </c>
      <c r="B127" s="146">
        <v>45</v>
      </c>
      <c r="C127" s="99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45"/>
      <c r="AA127" s="63"/>
      <c r="AB127" s="63"/>
    </row>
    <row r="128" spans="1:28" ht="15.75" x14ac:dyDescent="0.25">
      <c r="A128" s="55" t="s">
        <v>266</v>
      </c>
      <c r="B128" s="146">
        <v>34</v>
      </c>
      <c r="C128" s="99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45"/>
      <c r="AA128" s="63"/>
      <c r="AB128" s="63"/>
    </row>
    <row r="129" spans="1:28" ht="15.75" x14ac:dyDescent="0.25">
      <c r="A129" s="55" t="s">
        <v>267</v>
      </c>
      <c r="B129" s="145">
        <f>B130+B131</f>
        <v>0</v>
      </c>
      <c r="C129" s="99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45"/>
      <c r="AA129" s="63"/>
      <c r="AB129" s="63"/>
    </row>
    <row r="130" spans="1:28" ht="15.75" x14ac:dyDescent="0.25">
      <c r="A130" s="55" t="s">
        <v>268</v>
      </c>
      <c r="B130" s="146"/>
      <c r="C130" s="99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45"/>
      <c r="AA130" s="63"/>
      <c r="AB130" s="63"/>
    </row>
    <row r="131" spans="1:28" ht="15.75" x14ac:dyDescent="0.25">
      <c r="A131" s="55" t="s">
        <v>269</v>
      </c>
      <c r="B131" s="146"/>
      <c r="C131" s="99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45"/>
      <c r="AA131" s="63"/>
      <c r="AB131" s="63"/>
    </row>
    <row r="132" spans="1:28" ht="15.75" x14ac:dyDescent="0.25">
      <c r="A132" s="55" t="s">
        <v>10</v>
      </c>
      <c r="B132" s="145">
        <f>B133+B134</f>
        <v>0</v>
      </c>
      <c r="C132" s="99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45"/>
      <c r="AA132" s="63"/>
      <c r="AB132" s="63"/>
    </row>
    <row r="133" spans="1:28" ht="15.75" x14ac:dyDescent="0.25">
      <c r="A133" s="55" t="s">
        <v>74</v>
      </c>
      <c r="B133" s="146"/>
      <c r="C133" s="99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45"/>
      <c r="AA133" s="63"/>
      <c r="AB133" s="63"/>
    </row>
    <row r="134" spans="1:28" ht="15.75" x14ac:dyDescent="0.25">
      <c r="A134" s="55" t="s">
        <v>203</v>
      </c>
      <c r="B134" s="146"/>
      <c r="C134" s="99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45"/>
      <c r="AA134" s="63"/>
      <c r="AB134" s="63"/>
    </row>
    <row r="135" spans="1:28" ht="15.75" x14ac:dyDescent="0.25">
      <c r="A135" s="55" t="s">
        <v>11</v>
      </c>
      <c r="B135" s="145">
        <f>B136+B137</f>
        <v>0</v>
      </c>
      <c r="C135" s="99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45"/>
      <c r="AA135" s="63"/>
      <c r="AB135" s="63"/>
    </row>
    <row r="136" spans="1:28" ht="15.75" x14ac:dyDescent="0.25">
      <c r="A136" s="55" t="s">
        <v>75</v>
      </c>
      <c r="B136" s="146"/>
      <c r="C136" s="99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45"/>
      <c r="AA136" s="63"/>
      <c r="AB136" s="63"/>
    </row>
    <row r="137" spans="1:28" ht="15.75" x14ac:dyDescent="0.25">
      <c r="A137" s="55" t="s">
        <v>204</v>
      </c>
      <c r="B137" s="146"/>
      <c r="C137" s="99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45"/>
      <c r="AA137" s="63"/>
      <c r="AB137" s="63"/>
    </row>
    <row r="138" spans="1:28" ht="15.75" x14ac:dyDescent="0.25">
      <c r="A138" s="55" t="s">
        <v>321</v>
      </c>
      <c r="B138" s="148"/>
      <c r="C138" s="99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45"/>
      <c r="AA138" s="63"/>
      <c r="AB138" s="63"/>
    </row>
    <row r="139" spans="1:28" ht="15.75" x14ac:dyDescent="0.25">
      <c r="A139" s="55" t="s">
        <v>322</v>
      </c>
      <c r="B139" s="145">
        <f>B140+B143</f>
        <v>0</v>
      </c>
      <c r="C139" s="99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45"/>
      <c r="AA139" s="63"/>
      <c r="AB139" s="63"/>
    </row>
    <row r="140" spans="1:28" ht="15.75" x14ac:dyDescent="0.25">
      <c r="A140" s="55" t="s">
        <v>150</v>
      </c>
      <c r="B140" s="145">
        <f>B141+B142</f>
        <v>0</v>
      </c>
      <c r="C140" s="99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45"/>
      <c r="AA140" s="63"/>
      <c r="AB140" s="63"/>
    </row>
    <row r="141" spans="1:28" ht="15.75" x14ac:dyDescent="0.25">
      <c r="A141" s="55" t="s">
        <v>151</v>
      </c>
      <c r="B141" s="146"/>
      <c r="C141" s="99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45"/>
      <c r="AA141" s="63"/>
      <c r="AB141" s="63"/>
    </row>
    <row r="142" spans="1:28" ht="15.75" x14ac:dyDescent="0.25">
      <c r="A142" s="55" t="s">
        <v>252</v>
      </c>
      <c r="B142" s="146"/>
      <c r="C142" s="99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45"/>
      <c r="AA142" s="63"/>
      <c r="AB142" s="63"/>
    </row>
    <row r="143" spans="1:28" ht="15.75" x14ac:dyDescent="0.25">
      <c r="A143" s="55" t="s">
        <v>152</v>
      </c>
      <c r="B143" s="145">
        <f>B144+B145</f>
        <v>0</v>
      </c>
      <c r="C143" s="99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45"/>
      <c r="AA143" s="63"/>
      <c r="AB143" s="63"/>
    </row>
    <row r="144" spans="1:28" ht="15.75" x14ac:dyDescent="0.25">
      <c r="A144" s="55" t="s">
        <v>153</v>
      </c>
      <c r="B144" s="146"/>
      <c r="C144" s="99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45"/>
      <c r="AA144" s="63"/>
      <c r="AB144" s="63"/>
    </row>
    <row r="145" spans="1:28" ht="15.75" x14ac:dyDescent="0.25">
      <c r="A145" s="55" t="s">
        <v>205</v>
      </c>
      <c r="B145" s="146"/>
      <c r="C145" s="99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45"/>
      <c r="AA145" s="63"/>
      <c r="AB145" s="63"/>
    </row>
    <row r="146" spans="1:28" ht="15.75" x14ac:dyDescent="0.25">
      <c r="A146" s="57" t="s">
        <v>76</v>
      </c>
      <c r="B146" s="145">
        <f>B147+B150</f>
        <v>0</v>
      </c>
      <c r="C146" s="99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45"/>
      <c r="AA146" s="63"/>
      <c r="AB146" s="63"/>
    </row>
    <row r="147" spans="1:28" ht="15.75" x14ac:dyDescent="0.25">
      <c r="A147" s="2" t="s">
        <v>77</v>
      </c>
      <c r="B147" s="145">
        <f>B148+B149</f>
        <v>0</v>
      </c>
      <c r="C147" s="99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45"/>
      <c r="AA147" s="63"/>
      <c r="AB147" s="63"/>
    </row>
    <row r="148" spans="1:28" ht="15.75" x14ac:dyDescent="0.25">
      <c r="A148" s="2" t="s">
        <v>78</v>
      </c>
      <c r="B148" s="146"/>
      <c r="C148" s="99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45"/>
      <c r="AA148" s="63"/>
      <c r="AB148" s="63"/>
    </row>
    <row r="149" spans="1:28" ht="15.75" x14ac:dyDescent="0.25">
      <c r="A149" s="2" t="s">
        <v>206</v>
      </c>
      <c r="B149" s="146"/>
      <c r="C149" s="99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45"/>
      <c r="AA149" s="63"/>
      <c r="AB149" s="63"/>
    </row>
    <row r="150" spans="1:28" ht="15.75" x14ac:dyDescent="0.25">
      <c r="A150" s="2" t="s">
        <v>79</v>
      </c>
      <c r="B150" s="145">
        <f>B151+B152</f>
        <v>0</v>
      </c>
      <c r="C150" s="99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45"/>
      <c r="AA150" s="63"/>
      <c r="AB150" s="63"/>
    </row>
    <row r="151" spans="1:28" ht="15.75" x14ac:dyDescent="0.25">
      <c r="A151" s="2" t="s">
        <v>80</v>
      </c>
      <c r="B151" s="146"/>
      <c r="C151" s="99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45"/>
      <c r="AA151" s="63"/>
      <c r="AB151" s="63"/>
    </row>
    <row r="152" spans="1:28" ht="15.75" x14ac:dyDescent="0.25">
      <c r="A152" s="55" t="s">
        <v>207</v>
      </c>
      <c r="B152" s="146"/>
      <c r="C152" s="99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45"/>
      <c r="AA152" s="63"/>
      <c r="AB152" s="63"/>
    </row>
    <row r="153" spans="1:28" ht="15.75" x14ac:dyDescent="0.25">
      <c r="A153" s="57" t="s">
        <v>81</v>
      </c>
      <c r="B153" s="145">
        <f>B154+B155</f>
        <v>0</v>
      </c>
      <c r="C153" s="99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45"/>
      <c r="AA153" s="63"/>
      <c r="AB153" s="63"/>
    </row>
    <row r="154" spans="1:28" ht="15.75" x14ac:dyDescent="0.25">
      <c r="A154" s="55" t="s">
        <v>82</v>
      </c>
      <c r="B154" s="146"/>
      <c r="C154" s="99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45"/>
      <c r="AA154" s="63"/>
      <c r="AB154" s="63"/>
    </row>
    <row r="155" spans="1:28" ht="15.75" x14ac:dyDescent="0.25">
      <c r="A155" s="55" t="s">
        <v>208</v>
      </c>
      <c r="B155" s="146"/>
      <c r="C155" s="99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45"/>
      <c r="AA155" s="63"/>
      <c r="AB155" s="63"/>
    </row>
    <row r="156" spans="1:28" ht="15.75" x14ac:dyDescent="0.25">
      <c r="A156" s="57" t="s">
        <v>12</v>
      </c>
      <c r="B156" s="145">
        <f>B157</f>
        <v>0</v>
      </c>
      <c r="C156" s="99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45"/>
      <c r="AA156" s="63"/>
      <c r="AB156" s="63"/>
    </row>
    <row r="157" spans="1:28" ht="15.75" x14ac:dyDescent="0.25">
      <c r="A157" s="55" t="s">
        <v>83</v>
      </c>
      <c r="B157" s="145">
        <f>B158+B159</f>
        <v>0</v>
      </c>
      <c r="C157" s="99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45"/>
      <c r="AA157" s="63"/>
      <c r="AB157" s="63"/>
    </row>
    <row r="158" spans="1:28" ht="15.75" x14ac:dyDescent="0.25">
      <c r="A158" s="2" t="s">
        <v>84</v>
      </c>
      <c r="B158" s="146"/>
      <c r="C158" s="99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45"/>
      <c r="AA158" s="63"/>
      <c r="AB158" s="63"/>
    </row>
    <row r="159" spans="1:28" ht="15.75" x14ac:dyDescent="0.25">
      <c r="A159" s="2" t="s">
        <v>209</v>
      </c>
      <c r="B159" s="146"/>
      <c r="C159" s="99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45"/>
      <c r="AA159" s="63"/>
      <c r="AB159" s="63"/>
    </row>
    <row r="160" spans="1:28" ht="15.75" x14ac:dyDescent="0.25">
      <c r="A160" s="57" t="s">
        <v>233</v>
      </c>
      <c r="B160" s="145">
        <f>B161+B162</f>
        <v>0</v>
      </c>
      <c r="C160" s="99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45"/>
      <c r="AA160" s="63"/>
      <c r="AB160" s="63"/>
    </row>
    <row r="161" spans="1:28" ht="15.75" x14ac:dyDescent="0.25">
      <c r="A161" s="55" t="s">
        <v>281</v>
      </c>
      <c r="B161" s="146"/>
      <c r="C161" s="99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45"/>
      <c r="AA161" s="63"/>
      <c r="AB161" s="63"/>
    </row>
    <row r="162" spans="1:28" ht="15.75" x14ac:dyDescent="0.25">
      <c r="A162" s="55" t="s">
        <v>282</v>
      </c>
      <c r="B162" s="146"/>
      <c r="C162" s="99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45"/>
      <c r="AA162" s="63"/>
      <c r="AB162" s="63"/>
    </row>
    <row r="163" spans="1:28" ht="15.75" x14ac:dyDescent="0.25">
      <c r="A163" s="57" t="s">
        <v>13</v>
      </c>
      <c r="B163" s="145">
        <f>B164+B165</f>
        <v>0</v>
      </c>
      <c r="C163" s="99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45"/>
      <c r="AA163" s="63"/>
      <c r="AB163" s="63"/>
    </row>
    <row r="164" spans="1:28" ht="15.75" x14ac:dyDescent="0.25">
      <c r="A164" s="55" t="s">
        <v>85</v>
      </c>
      <c r="B164" s="146"/>
      <c r="C164" s="99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45"/>
      <c r="AA164" s="63"/>
      <c r="AB164" s="63"/>
    </row>
    <row r="165" spans="1:28" ht="15.75" x14ac:dyDescent="0.25">
      <c r="A165" s="55" t="s">
        <v>210</v>
      </c>
      <c r="B165" s="146"/>
      <c r="C165" s="99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45"/>
      <c r="AA165" s="63"/>
      <c r="AB165" s="63"/>
    </row>
    <row r="166" spans="1:28" ht="15.75" x14ac:dyDescent="0.25">
      <c r="A166" s="57" t="s">
        <v>14</v>
      </c>
      <c r="B166" s="145">
        <f>B167+B168</f>
        <v>0</v>
      </c>
      <c r="C166" s="99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45"/>
      <c r="AA166" s="63"/>
      <c r="AB166" s="63"/>
    </row>
    <row r="167" spans="1:28" ht="15.75" x14ac:dyDescent="0.25">
      <c r="A167" s="55" t="s">
        <v>253</v>
      </c>
      <c r="B167" s="146"/>
      <c r="C167" s="99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45"/>
      <c r="AA167" s="63"/>
      <c r="AB167" s="63"/>
    </row>
    <row r="168" spans="1:28" ht="15.75" x14ac:dyDescent="0.25">
      <c r="A168" s="55" t="s">
        <v>254</v>
      </c>
      <c r="B168" s="146"/>
      <c r="C168" s="99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45"/>
      <c r="AA168" s="63"/>
      <c r="AB168" s="63"/>
    </row>
    <row r="169" spans="1:28" ht="15.75" x14ac:dyDescent="0.25">
      <c r="A169" s="57" t="s">
        <v>323</v>
      </c>
      <c r="B169" s="145">
        <f>B170+B171</f>
        <v>0</v>
      </c>
      <c r="C169" s="99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45"/>
      <c r="AA169" s="63"/>
      <c r="AB169" s="63"/>
    </row>
    <row r="170" spans="1:28" ht="15.75" x14ac:dyDescent="0.25">
      <c r="A170" s="55" t="s">
        <v>255</v>
      </c>
      <c r="B170" s="146"/>
      <c r="C170" s="99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45"/>
      <c r="AA170" s="63"/>
      <c r="AB170" s="63"/>
    </row>
    <row r="171" spans="1:28" ht="15.75" x14ac:dyDescent="0.25">
      <c r="A171" s="55" t="s">
        <v>256</v>
      </c>
      <c r="B171" s="146"/>
      <c r="C171" s="99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45"/>
      <c r="AA171" s="63"/>
      <c r="AB171" s="63"/>
    </row>
    <row r="172" spans="1:28" ht="15.75" x14ac:dyDescent="0.25">
      <c r="A172" s="57" t="s">
        <v>234</v>
      </c>
      <c r="B172" s="145">
        <f>B174+B173</f>
        <v>0</v>
      </c>
      <c r="C172" s="99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45"/>
      <c r="AA172" s="63"/>
      <c r="AB172" s="63"/>
    </row>
    <row r="173" spans="1:28" ht="15.75" x14ac:dyDescent="0.25">
      <c r="A173" s="55" t="s">
        <v>235</v>
      </c>
      <c r="B173" s="147"/>
      <c r="C173" s="99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45"/>
      <c r="AA173" s="63"/>
      <c r="AB173" s="63"/>
    </row>
    <row r="174" spans="1:28" ht="15.75" x14ac:dyDescent="0.25">
      <c r="A174" s="55" t="s">
        <v>236</v>
      </c>
      <c r="B174" s="146"/>
      <c r="C174" s="99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45"/>
      <c r="AA174" s="63"/>
      <c r="AB174" s="63"/>
    </row>
    <row r="175" spans="1:28" ht="15.75" x14ac:dyDescent="0.25">
      <c r="A175" s="62" t="s">
        <v>86</v>
      </c>
      <c r="B175" s="148"/>
      <c r="C175" s="99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45"/>
      <c r="AA175" s="63"/>
      <c r="AB175" s="63"/>
    </row>
    <row r="176" spans="1:28" ht="15.75" x14ac:dyDescent="0.25">
      <c r="A176" s="81" t="s">
        <v>87</v>
      </c>
      <c r="B176" s="145">
        <f>B178+B177</f>
        <v>0</v>
      </c>
      <c r="C176" s="99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45"/>
      <c r="AA176" s="63"/>
      <c r="AB176" s="63"/>
    </row>
    <row r="177" spans="1:28" ht="15.75" x14ac:dyDescent="0.25">
      <c r="A177" s="55" t="s">
        <v>257</v>
      </c>
      <c r="B177" s="146"/>
      <c r="C177" s="99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45"/>
      <c r="AA177" s="63"/>
      <c r="AB177" s="63"/>
    </row>
    <row r="178" spans="1:28" ht="15.75" x14ac:dyDescent="0.25">
      <c r="A178" s="55" t="s">
        <v>258</v>
      </c>
      <c r="B178" s="146"/>
      <c r="C178" s="99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45"/>
      <c r="AA178" s="63"/>
      <c r="AB178" s="63"/>
    </row>
    <row r="179" spans="1:28" ht="15.75" x14ac:dyDescent="0.25">
      <c r="A179" s="62" t="s">
        <v>88</v>
      </c>
      <c r="B179" s="146"/>
      <c r="C179" s="99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45"/>
      <c r="AA179" s="63"/>
      <c r="AB179" s="63"/>
    </row>
    <row r="180" spans="1:28" ht="15.75" x14ac:dyDescent="0.25">
      <c r="A180" s="81" t="s">
        <v>15</v>
      </c>
      <c r="B180" s="145">
        <f>B181+B182</f>
        <v>0</v>
      </c>
      <c r="C180" s="99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45"/>
      <c r="AA180" s="63"/>
      <c r="AB180" s="63"/>
    </row>
    <row r="181" spans="1:28" ht="15.75" x14ac:dyDescent="0.25">
      <c r="A181" s="55" t="s">
        <v>16</v>
      </c>
      <c r="B181" s="146"/>
      <c r="C181" s="99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45"/>
      <c r="AA181" s="63"/>
      <c r="AB181" s="63"/>
    </row>
    <row r="182" spans="1:28" ht="15.75" x14ac:dyDescent="0.25">
      <c r="A182" s="55" t="s">
        <v>211</v>
      </c>
      <c r="B182" s="146"/>
      <c r="C182" s="99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45"/>
      <c r="AA182" s="63"/>
      <c r="AB182" s="63"/>
    </row>
    <row r="183" spans="1:28" ht="15.75" x14ac:dyDescent="0.25">
      <c r="A183" s="62" t="s">
        <v>124</v>
      </c>
      <c r="B183" s="146"/>
      <c r="C183" s="99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45"/>
      <c r="AA183" s="63"/>
      <c r="AB183" s="63"/>
    </row>
    <row r="184" spans="1:28" ht="15.75" x14ac:dyDescent="0.25">
      <c r="A184" s="62" t="s">
        <v>89</v>
      </c>
      <c r="B184" s="146"/>
      <c r="C184" s="99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45"/>
      <c r="AA184" s="63"/>
      <c r="AB184" s="63"/>
    </row>
    <row r="185" spans="1:28" ht="15.75" x14ac:dyDescent="0.25">
      <c r="A185" s="62" t="s">
        <v>285</v>
      </c>
      <c r="B185" s="159"/>
      <c r="C185" s="99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45"/>
      <c r="AA185" s="63"/>
      <c r="AB185" s="63"/>
    </row>
    <row r="186" spans="1:28" ht="15.75" x14ac:dyDescent="0.25">
      <c r="A186" s="81" t="s">
        <v>434</v>
      </c>
      <c r="B186" s="145">
        <f>B187</f>
        <v>0</v>
      </c>
      <c r="C186" s="99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45"/>
      <c r="AA186" s="63"/>
      <c r="AB186" s="63"/>
    </row>
    <row r="187" spans="1:28" ht="15.75" x14ac:dyDescent="0.25">
      <c r="A187" s="55" t="s">
        <v>435</v>
      </c>
      <c r="B187" s="159"/>
      <c r="C187" s="99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45"/>
      <c r="AA187" s="63"/>
      <c r="AB187" s="63"/>
    </row>
    <row r="188" spans="1:28" ht="15.75" x14ac:dyDescent="0.25">
      <c r="A188" s="81" t="s">
        <v>436</v>
      </c>
      <c r="B188" s="145">
        <f>SUM(B189:B191)</f>
        <v>0</v>
      </c>
      <c r="C188" s="99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45"/>
      <c r="AA188" s="63"/>
      <c r="AB188" s="63"/>
    </row>
    <row r="189" spans="1:28" ht="15.75" x14ac:dyDescent="0.25">
      <c r="A189" s="55" t="s">
        <v>324</v>
      </c>
      <c r="B189" s="146"/>
      <c r="C189" s="99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45"/>
      <c r="AA189" s="63"/>
      <c r="AB189" s="63"/>
    </row>
    <row r="190" spans="1:28" ht="15.75" x14ac:dyDescent="0.25">
      <c r="A190" s="55" t="s">
        <v>437</v>
      </c>
      <c r="B190" s="146"/>
      <c r="C190" s="99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45"/>
      <c r="AA190" s="63"/>
      <c r="AB190" s="63"/>
    </row>
    <row r="191" spans="1:28" ht="15.75" x14ac:dyDescent="0.25">
      <c r="A191" s="55" t="s">
        <v>438</v>
      </c>
      <c r="B191" s="146"/>
      <c r="C191" s="99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45"/>
      <c r="AA191" s="63"/>
      <c r="AB191" s="63"/>
    </row>
    <row r="192" spans="1:28" ht="15.75" x14ac:dyDescent="0.25">
      <c r="A192" s="81" t="s">
        <v>439</v>
      </c>
      <c r="B192" s="145">
        <f>SUM(B193:B195)</f>
        <v>0</v>
      </c>
      <c r="C192" s="99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45"/>
      <c r="AA192" s="63"/>
      <c r="AB192" s="63"/>
    </row>
    <row r="193" spans="1:28" ht="15.75" x14ac:dyDescent="0.25">
      <c r="A193" s="55" t="s">
        <v>440</v>
      </c>
      <c r="B193" s="146"/>
      <c r="C193" s="99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45"/>
      <c r="AA193" s="63"/>
      <c r="AB193" s="63"/>
    </row>
    <row r="194" spans="1:28" ht="15.75" x14ac:dyDescent="0.25">
      <c r="A194" s="55" t="s">
        <v>441</v>
      </c>
      <c r="B194" s="146"/>
      <c r="C194" s="99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45"/>
      <c r="AA194" s="63"/>
      <c r="AB194" s="63"/>
    </row>
    <row r="195" spans="1:28" ht="15.75" x14ac:dyDescent="0.25">
      <c r="A195" s="55" t="s">
        <v>442</v>
      </c>
      <c r="B195" s="146"/>
      <c r="C195" s="99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45"/>
      <c r="AA195" s="63"/>
      <c r="AB195" s="63"/>
    </row>
    <row r="196" spans="1:28" ht="15.75" x14ac:dyDescent="0.25">
      <c r="A196" s="62" t="s">
        <v>90</v>
      </c>
      <c r="B196" s="145"/>
      <c r="C196" s="99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45"/>
      <c r="AA196" s="63"/>
      <c r="AB196" s="63"/>
    </row>
    <row r="197" spans="1:28" ht="15.75" x14ac:dyDescent="0.25">
      <c r="A197" s="57" t="s">
        <v>91</v>
      </c>
      <c r="B197" s="145">
        <f>B198+B199+B200</f>
        <v>0</v>
      </c>
      <c r="C197" s="99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45"/>
      <c r="AA197" s="63"/>
      <c r="AB197" s="63"/>
    </row>
    <row r="198" spans="1:28" ht="15.75" x14ac:dyDescent="0.25">
      <c r="A198" s="55" t="s">
        <v>92</v>
      </c>
      <c r="B198" s="146"/>
      <c r="C198" s="99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45"/>
      <c r="AA198" s="63"/>
      <c r="AB198" s="63"/>
    </row>
    <row r="199" spans="1:28" ht="15.75" x14ac:dyDescent="0.25">
      <c r="A199" s="55" t="s">
        <v>93</v>
      </c>
      <c r="B199" s="146"/>
      <c r="C199" s="99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45"/>
      <c r="AA199" s="63"/>
      <c r="AB199" s="63"/>
    </row>
    <row r="200" spans="1:28" ht="15.75" x14ac:dyDescent="0.25">
      <c r="A200" s="55" t="s">
        <v>94</v>
      </c>
      <c r="B200" s="146"/>
      <c r="C200" s="99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45"/>
      <c r="AA200" s="63"/>
      <c r="AB200" s="63"/>
    </row>
    <row r="201" spans="1:28" ht="15.75" x14ac:dyDescent="0.25">
      <c r="A201" s="57" t="s">
        <v>95</v>
      </c>
      <c r="B201" s="145">
        <f>B202+B203+B204+B205</f>
        <v>0</v>
      </c>
      <c r="C201" s="99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45"/>
      <c r="AA201" s="63"/>
      <c r="AB201" s="63"/>
    </row>
    <row r="202" spans="1:28" ht="15.75" x14ac:dyDescent="0.25">
      <c r="A202" s="55" t="s">
        <v>96</v>
      </c>
      <c r="B202" s="146"/>
      <c r="C202" s="99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45"/>
      <c r="AA202" s="63"/>
      <c r="AB202" s="63"/>
    </row>
    <row r="203" spans="1:28" ht="15.75" customHeight="1" x14ac:dyDescent="0.25">
      <c r="A203" s="55" t="s">
        <v>98</v>
      </c>
      <c r="B203" s="146"/>
      <c r="C203" s="99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45"/>
      <c r="AA203" s="63"/>
      <c r="AB203" s="63"/>
    </row>
    <row r="204" spans="1:28" ht="12.75" customHeight="1" x14ac:dyDescent="0.25">
      <c r="A204" s="55" t="s">
        <v>97</v>
      </c>
      <c r="B204" s="146"/>
      <c r="C204" s="99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45"/>
      <c r="AA204" s="63"/>
      <c r="AB204" s="63"/>
    </row>
    <row r="205" spans="1:28" ht="26.25" x14ac:dyDescent="0.25">
      <c r="A205" s="55" t="s">
        <v>99</v>
      </c>
      <c r="B205" s="146"/>
      <c r="C205" s="99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45"/>
      <c r="AA205" s="63"/>
      <c r="AB205" s="63"/>
    </row>
    <row r="206" spans="1:28" ht="15.75" x14ac:dyDescent="0.25">
      <c r="A206" s="57" t="s">
        <v>100</v>
      </c>
      <c r="B206" s="145">
        <f>B207+B208+B209+B210</f>
        <v>0</v>
      </c>
      <c r="C206" s="99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45"/>
      <c r="AA206" s="63"/>
      <c r="AB206" s="63"/>
    </row>
    <row r="207" spans="1:28" ht="18.75" customHeight="1" x14ac:dyDescent="0.25">
      <c r="A207" s="55" t="s">
        <v>101</v>
      </c>
      <c r="B207" s="146"/>
      <c r="C207" s="99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45"/>
      <c r="AA207" s="63"/>
      <c r="AB207" s="63"/>
    </row>
    <row r="208" spans="1:28" ht="15.75" x14ac:dyDescent="0.25">
      <c r="A208" s="55" t="s">
        <v>102</v>
      </c>
      <c r="B208" s="146"/>
      <c r="C208" s="99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45"/>
      <c r="AA208" s="63"/>
      <c r="AB208" s="63"/>
    </row>
    <row r="209" spans="1:28" ht="15.75" customHeight="1" x14ac:dyDescent="0.25">
      <c r="A209" s="55" t="s">
        <v>103</v>
      </c>
      <c r="B209" s="146"/>
      <c r="C209" s="99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45"/>
      <c r="AA209" s="63"/>
      <c r="AB209" s="63"/>
    </row>
    <row r="210" spans="1:28" ht="26.25" x14ac:dyDescent="0.25">
      <c r="A210" s="55" t="s">
        <v>104</v>
      </c>
      <c r="B210" s="146"/>
      <c r="C210" s="99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45"/>
      <c r="AA210" s="63"/>
      <c r="AB210" s="63"/>
    </row>
    <row r="211" spans="1:28" ht="15.75" x14ac:dyDescent="0.25">
      <c r="A211" s="57" t="s">
        <v>105</v>
      </c>
      <c r="B211" s="145">
        <f>B212+B215+B218+B221</f>
        <v>0</v>
      </c>
      <c r="C211" s="99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45"/>
      <c r="AA211" s="63"/>
      <c r="AB211" s="63"/>
    </row>
    <row r="212" spans="1:28" ht="15.75" x14ac:dyDescent="0.25">
      <c r="A212" s="55" t="s">
        <v>106</v>
      </c>
      <c r="B212" s="145">
        <f>B213+B214</f>
        <v>0</v>
      </c>
      <c r="C212" s="99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45"/>
      <c r="AA212" s="63"/>
      <c r="AB212" s="63"/>
    </row>
    <row r="213" spans="1:28" ht="15.75" x14ac:dyDescent="0.25">
      <c r="A213" s="55" t="s">
        <v>107</v>
      </c>
      <c r="B213" s="146"/>
      <c r="C213" s="99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45"/>
      <c r="AA213" s="63"/>
      <c r="AB213" s="63"/>
    </row>
    <row r="214" spans="1:28" ht="15.75" x14ac:dyDescent="0.25">
      <c r="A214" s="55" t="s">
        <v>259</v>
      </c>
      <c r="B214" s="146"/>
      <c r="C214" s="99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45"/>
      <c r="AA214" s="63"/>
      <c r="AB214" s="63"/>
    </row>
    <row r="215" spans="1:28" ht="15.75" x14ac:dyDescent="0.25">
      <c r="A215" s="55" t="s">
        <v>108</v>
      </c>
      <c r="B215" s="145">
        <f>B216+B217</f>
        <v>0</v>
      </c>
      <c r="C215" s="99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45"/>
      <c r="AA215" s="63"/>
      <c r="AB215" s="63"/>
    </row>
    <row r="216" spans="1:28" ht="15.75" x14ac:dyDescent="0.25">
      <c r="A216" s="55" t="s">
        <v>111</v>
      </c>
      <c r="B216" s="146"/>
      <c r="C216" s="99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45"/>
      <c r="AA216" s="63"/>
      <c r="AB216" s="63"/>
    </row>
    <row r="217" spans="1:28" ht="15.75" x14ac:dyDescent="0.25">
      <c r="A217" s="55" t="s">
        <v>212</v>
      </c>
      <c r="B217" s="146"/>
      <c r="C217" s="99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45"/>
      <c r="AA217" s="63"/>
      <c r="AB217" s="63"/>
    </row>
    <row r="218" spans="1:28" ht="15.75" customHeight="1" x14ac:dyDescent="0.25">
      <c r="A218" s="55" t="s">
        <v>109</v>
      </c>
      <c r="B218" s="145">
        <f>B219+B220</f>
        <v>0</v>
      </c>
      <c r="C218" s="99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45"/>
      <c r="AA218" s="63"/>
      <c r="AB218" s="63"/>
    </row>
    <row r="219" spans="1:28" ht="15.75" x14ac:dyDescent="0.25">
      <c r="A219" s="55" t="s">
        <v>110</v>
      </c>
      <c r="B219" s="147"/>
      <c r="C219" s="99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45"/>
      <c r="AA219" s="63"/>
      <c r="AB219" s="63"/>
    </row>
    <row r="220" spans="1:28" ht="15.75" customHeight="1" x14ac:dyDescent="0.25">
      <c r="A220" s="55" t="s">
        <v>213</v>
      </c>
      <c r="B220" s="147"/>
      <c r="C220" s="99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45"/>
      <c r="AA220" s="63"/>
      <c r="AB220" s="63"/>
    </row>
    <row r="221" spans="1:28" ht="26.25" x14ac:dyDescent="0.25">
      <c r="A221" s="55" t="s">
        <v>112</v>
      </c>
      <c r="B221" s="145">
        <f>B222+B223</f>
        <v>0</v>
      </c>
      <c r="C221" s="99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45"/>
      <c r="AA221" s="63"/>
      <c r="AB221" s="63"/>
    </row>
    <row r="222" spans="1:28" ht="15.75" x14ac:dyDescent="0.25">
      <c r="A222" s="55" t="s">
        <v>113</v>
      </c>
      <c r="B222" s="146"/>
      <c r="C222" s="99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45"/>
      <c r="AA222" s="63"/>
      <c r="AB222" s="63"/>
    </row>
    <row r="223" spans="1:28" ht="15.75" x14ac:dyDescent="0.25">
      <c r="A223" s="55" t="s">
        <v>214</v>
      </c>
      <c r="B223" s="146"/>
      <c r="C223" s="99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45"/>
      <c r="AA223" s="63"/>
      <c r="AB223" s="63"/>
    </row>
    <row r="224" spans="1:28" ht="15.75" x14ac:dyDescent="0.25">
      <c r="A224" s="57" t="s">
        <v>114</v>
      </c>
      <c r="B224" s="145">
        <f>B225+B228+B231</f>
        <v>0</v>
      </c>
      <c r="C224" s="99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45"/>
      <c r="AA224" s="63"/>
      <c r="AB224" s="63"/>
    </row>
    <row r="225" spans="1:28" ht="15.75" x14ac:dyDescent="0.25">
      <c r="A225" s="55" t="s">
        <v>115</v>
      </c>
      <c r="B225" s="145">
        <f>B226+B227</f>
        <v>0</v>
      </c>
      <c r="C225" s="99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45"/>
      <c r="AA225" s="63"/>
      <c r="AB225" s="63"/>
    </row>
    <row r="226" spans="1:28" ht="15.75" x14ac:dyDescent="0.25">
      <c r="A226" s="55" t="s">
        <v>116</v>
      </c>
      <c r="B226" s="146"/>
      <c r="C226" s="99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45"/>
      <c r="AA226" s="63"/>
      <c r="AB226" s="63"/>
    </row>
    <row r="227" spans="1:28" ht="15.75" x14ac:dyDescent="0.25">
      <c r="A227" s="55" t="s">
        <v>215</v>
      </c>
      <c r="B227" s="146"/>
      <c r="C227" s="99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45"/>
      <c r="AA227" s="63"/>
      <c r="AB227" s="63"/>
    </row>
    <row r="228" spans="1:28" ht="15.75" x14ac:dyDescent="0.25">
      <c r="A228" s="55" t="s">
        <v>117</v>
      </c>
      <c r="B228" s="145">
        <f>B229+B230</f>
        <v>0</v>
      </c>
      <c r="C228" s="99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45"/>
      <c r="AA228" s="63"/>
      <c r="AB228" s="63"/>
    </row>
    <row r="229" spans="1:28" ht="15.75" x14ac:dyDescent="0.25">
      <c r="A229" s="55" t="s">
        <v>118</v>
      </c>
      <c r="B229" s="146"/>
      <c r="C229" s="99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45"/>
      <c r="AA229" s="63"/>
      <c r="AB229" s="63"/>
    </row>
    <row r="230" spans="1:28" ht="15.75" customHeight="1" x14ac:dyDescent="0.25">
      <c r="A230" s="55" t="s">
        <v>216</v>
      </c>
      <c r="B230" s="146"/>
      <c r="C230" s="99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45"/>
      <c r="AA230" s="63"/>
      <c r="AB230" s="63"/>
    </row>
    <row r="231" spans="1:28" ht="26.25" x14ac:dyDescent="0.25">
      <c r="A231" s="55" t="s">
        <v>119</v>
      </c>
      <c r="B231" s="145">
        <f>B232+B233</f>
        <v>0</v>
      </c>
      <c r="C231" s="99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45"/>
      <c r="AA231" s="63"/>
      <c r="AB231" s="63"/>
    </row>
    <row r="232" spans="1:28" ht="15.75" x14ac:dyDescent="0.25">
      <c r="A232" s="55" t="s">
        <v>120</v>
      </c>
      <c r="B232" s="146"/>
      <c r="C232" s="99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45"/>
      <c r="AA232" s="63"/>
      <c r="AB232" s="63"/>
    </row>
    <row r="233" spans="1:28" ht="15.75" x14ac:dyDescent="0.25">
      <c r="A233" s="55" t="s">
        <v>217</v>
      </c>
      <c r="B233" s="146"/>
      <c r="C233" s="99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45"/>
      <c r="AA233" s="63"/>
      <c r="AB233" s="63"/>
    </row>
    <row r="234" spans="1:28" ht="15.75" x14ac:dyDescent="0.25">
      <c r="A234" s="57" t="s">
        <v>121</v>
      </c>
      <c r="B234" s="145">
        <f>B235+B238+B241</f>
        <v>0</v>
      </c>
      <c r="C234" s="99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45"/>
      <c r="AA234" s="63"/>
      <c r="AB234" s="63"/>
    </row>
    <row r="235" spans="1:28" ht="15.75" x14ac:dyDescent="0.25">
      <c r="A235" s="55" t="s">
        <v>122</v>
      </c>
      <c r="B235" s="145">
        <f>B236+B237</f>
        <v>0</v>
      </c>
      <c r="C235" s="99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45"/>
      <c r="AA235" s="63"/>
      <c r="AB235" s="63"/>
    </row>
    <row r="236" spans="1:28" ht="15.75" x14ac:dyDescent="0.25">
      <c r="A236" s="55" t="s">
        <v>123</v>
      </c>
      <c r="B236" s="146"/>
      <c r="C236" s="99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45"/>
      <c r="AA236" s="63"/>
      <c r="AB236" s="63"/>
    </row>
    <row r="237" spans="1:28" ht="15.75" x14ac:dyDescent="0.25">
      <c r="A237" s="55" t="s">
        <v>218</v>
      </c>
      <c r="B237" s="146"/>
      <c r="C237" s="99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45"/>
      <c r="AA237" s="63"/>
      <c r="AB237" s="63"/>
    </row>
    <row r="238" spans="1:28" ht="15.75" x14ac:dyDescent="0.25">
      <c r="A238" s="55" t="s">
        <v>125</v>
      </c>
      <c r="B238" s="145">
        <f>B239+B240</f>
        <v>0</v>
      </c>
      <c r="C238" s="99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45"/>
      <c r="AA238" s="63"/>
      <c r="AB238" s="63"/>
    </row>
    <row r="239" spans="1:28" ht="15.75" x14ac:dyDescent="0.25">
      <c r="A239" s="55" t="s">
        <v>126</v>
      </c>
      <c r="B239" s="146"/>
      <c r="C239" s="99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45"/>
      <c r="AA239" s="63"/>
      <c r="AB239" s="63"/>
    </row>
    <row r="240" spans="1:28" ht="15.75" customHeight="1" x14ac:dyDescent="0.25">
      <c r="A240" s="55" t="s">
        <v>219</v>
      </c>
      <c r="B240" s="146"/>
      <c r="C240" s="99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45"/>
      <c r="AA240" s="63"/>
      <c r="AB240" s="63"/>
    </row>
    <row r="241" spans="1:28" ht="26.25" x14ac:dyDescent="0.25">
      <c r="A241" s="55" t="s">
        <v>127</v>
      </c>
      <c r="B241" s="145">
        <f>B242+B243</f>
        <v>0</v>
      </c>
      <c r="C241" s="99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45"/>
      <c r="AA241" s="63"/>
      <c r="AB241" s="63"/>
    </row>
    <row r="242" spans="1:28" ht="15.75" x14ac:dyDescent="0.25">
      <c r="A242" s="55" t="s">
        <v>128</v>
      </c>
      <c r="B242" s="146"/>
      <c r="C242" s="99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45"/>
      <c r="AA242" s="63"/>
      <c r="AB242" s="63"/>
    </row>
    <row r="243" spans="1:28" ht="15.75" x14ac:dyDescent="0.25">
      <c r="A243" s="55" t="s">
        <v>220</v>
      </c>
      <c r="B243" s="146"/>
      <c r="C243" s="99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45"/>
      <c r="AA243" s="63"/>
      <c r="AB243" s="63"/>
    </row>
    <row r="244" spans="1:28" ht="15.75" x14ac:dyDescent="0.25">
      <c r="A244" s="57" t="s">
        <v>284</v>
      </c>
      <c r="B244" s="146">
        <v>3</v>
      </c>
      <c r="C244" s="99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45"/>
      <c r="AA244" s="63"/>
      <c r="AB244" s="63"/>
    </row>
    <row r="245" spans="1:28" ht="15.75" x14ac:dyDescent="0.25">
      <c r="A245" s="58" t="s">
        <v>129</v>
      </c>
      <c r="B245" s="145">
        <f>B246+B247</f>
        <v>37</v>
      </c>
      <c r="C245" s="99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45"/>
      <c r="AA245" s="63"/>
      <c r="AB245" s="63"/>
    </row>
    <row r="246" spans="1:28" ht="15.75" x14ac:dyDescent="0.25">
      <c r="A246" s="55" t="s">
        <v>260</v>
      </c>
      <c r="B246" s="146">
        <v>37</v>
      </c>
      <c r="C246" s="99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45"/>
      <c r="AA246" s="63"/>
      <c r="AB246" s="63"/>
    </row>
    <row r="247" spans="1:28" ht="15.75" x14ac:dyDescent="0.25">
      <c r="A247" s="55" t="s">
        <v>261</v>
      </c>
      <c r="B247" s="146"/>
      <c r="C247" s="99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45"/>
      <c r="AA247" s="63"/>
      <c r="AB247" s="63"/>
    </row>
    <row r="248" spans="1:28" ht="15.75" x14ac:dyDescent="0.25">
      <c r="A248" s="55" t="s">
        <v>130</v>
      </c>
      <c r="B248" s="145">
        <f>B249+B250</f>
        <v>5</v>
      </c>
      <c r="C248" s="99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45"/>
      <c r="AA248" s="63"/>
      <c r="AB248" s="63"/>
    </row>
    <row r="249" spans="1:28" ht="15.75" x14ac:dyDescent="0.25">
      <c r="A249" s="55" t="s">
        <v>262</v>
      </c>
      <c r="B249" s="146">
        <v>5</v>
      </c>
      <c r="C249" s="99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45"/>
      <c r="AA249" s="63"/>
      <c r="AB249" s="63"/>
    </row>
    <row r="250" spans="1:28" ht="15.75" x14ac:dyDescent="0.25">
      <c r="A250" s="55" t="s">
        <v>263</v>
      </c>
      <c r="B250" s="146"/>
      <c r="C250" s="99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45"/>
      <c r="AA250" s="63"/>
      <c r="AB250" s="63"/>
    </row>
    <row r="251" spans="1:28" ht="15.75" x14ac:dyDescent="0.25">
      <c r="A251" s="62" t="s">
        <v>325</v>
      </c>
      <c r="B251" s="149"/>
      <c r="C251" s="99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45"/>
      <c r="AA251" s="63"/>
      <c r="AB251" s="63"/>
    </row>
    <row r="252" spans="1:28" ht="15.75" x14ac:dyDescent="0.25">
      <c r="A252" s="62" t="s">
        <v>326</v>
      </c>
      <c r="B252" s="149"/>
      <c r="C252" s="99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45"/>
      <c r="AA252" s="63"/>
      <c r="AB252" s="63"/>
    </row>
    <row r="253" spans="1:28" ht="15.75" x14ac:dyDescent="0.25">
      <c r="A253" s="62" t="s">
        <v>327</v>
      </c>
      <c r="B253" s="145">
        <f>B254+B255+B256+B257+B258+B259+B260+B261+B262</f>
        <v>0</v>
      </c>
      <c r="C253" s="99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45"/>
      <c r="AA253" s="63"/>
      <c r="AB253" s="63"/>
    </row>
    <row r="254" spans="1:28" ht="18.75" customHeight="1" x14ac:dyDescent="0.25">
      <c r="A254" s="55" t="s">
        <v>329</v>
      </c>
      <c r="B254" s="146"/>
      <c r="C254" s="99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45"/>
      <c r="AA254" s="63"/>
      <c r="AB254" s="63"/>
    </row>
    <row r="255" spans="1:28" ht="15.75" x14ac:dyDescent="0.25">
      <c r="A255" s="55" t="s">
        <v>328</v>
      </c>
      <c r="B255" s="146"/>
      <c r="C255" s="99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45"/>
      <c r="AA255" s="63"/>
      <c r="AB255" s="63"/>
    </row>
    <row r="256" spans="1:28" ht="15.75" customHeight="1" x14ac:dyDescent="0.25">
      <c r="A256" s="55" t="s">
        <v>330</v>
      </c>
      <c r="B256" s="146"/>
      <c r="C256" s="99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45"/>
      <c r="AA256" s="63"/>
      <c r="AB256" s="63"/>
    </row>
    <row r="257" spans="1:28" ht="15.75" x14ac:dyDescent="0.25">
      <c r="A257" s="55" t="s">
        <v>331</v>
      </c>
      <c r="B257" s="146"/>
      <c r="C257" s="99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45"/>
      <c r="AA257" s="63"/>
      <c r="AB257" s="63"/>
    </row>
    <row r="258" spans="1:28" ht="15.75" x14ac:dyDescent="0.25">
      <c r="A258" s="55" t="s">
        <v>332</v>
      </c>
      <c r="B258" s="146"/>
      <c r="C258" s="99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45"/>
      <c r="AA258" s="63"/>
      <c r="AB258" s="63"/>
    </row>
    <row r="259" spans="1:28" ht="15.75" x14ac:dyDescent="0.25">
      <c r="A259" s="55" t="s">
        <v>333</v>
      </c>
      <c r="B259" s="146"/>
      <c r="C259" s="99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45"/>
      <c r="AA259" s="63"/>
      <c r="AB259" s="63"/>
    </row>
    <row r="260" spans="1:28" ht="15.75" x14ac:dyDescent="0.25">
      <c r="A260" s="55" t="s">
        <v>334</v>
      </c>
      <c r="B260" s="146"/>
      <c r="C260" s="99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45"/>
      <c r="AA260" s="63"/>
      <c r="AB260" s="63"/>
    </row>
    <row r="261" spans="1:28" ht="15.75" x14ac:dyDescent="0.25">
      <c r="A261" s="55" t="s">
        <v>335</v>
      </c>
      <c r="B261" s="146"/>
      <c r="C261" s="99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45"/>
      <c r="AA261" s="63"/>
      <c r="AB261" s="63"/>
    </row>
    <row r="262" spans="1:28" ht="15.75" x14ac:dyDescent="0.25">
      <c r="A262" s="55" t="s">
        <v>336</v>
      </c>
      <c r="B262" s="146"/>
      <c r="C262" s="99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45"/>
      <c r="AA262" s="63"/>
      <c r="AB262" s="63"/>
    </row>
    <row r="263" spans="1:28" ht="15.75" x14ac:dyDescent="0.25">
      <c r="A263" s="76" t="s">
        <v>337</v>
      </c>
      <c r="B263" s="151"/>
      <c r="C263" s="99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45"/>
      <c r="AA263" s="63"/>
      <c r="AB263" s="63"/>
    </row>
    <row r="264" spans="1:28" ht="15.75" x14ac:dyDescent="0.25">
      <c r="A264" s="57" t="s">
        <v>131</v>
      </c>
      <c r="B264" s="150">
        <f>B265+B266+B267+B268</f>
        <v>0</v>
      </c>
      <c r="C264" s="99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45"/>
      <c r="AA264" s="63"/>
      <c r="AB264" s="63"/>
    </row>
    <row r="265" spans="1:28" ht="15.75" x14ac:dyDescent="0.25">
      <c r="A265" s="55" t="s">
        <v>132</v>
      </c>
      <c r="B265" s="146"/>
      <c r="C265" s="99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45"/>
      <c r="AA265" s="63"/>
      <c r="AB265" s="63"/>
    </row>
    <row r="266" spans="1:28" ht="15.75" x14ac:dyDescent="0.25">
      <c r="A266" s="55" t="s">
        <v>133</v>
      </c>
      <c r="B266" s="146"/>
      <c r="C266" s="99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45"/>
      <c r="AA266" s="63"/>
      <c r="AB266" s="63"/>
    </row>
    <row r="267" spans="1:28" ht="15.75" x14ac:dyDescent="0.25">
      <c r="A267" s="55" t="s">
        <v>134</v>
      </c>
      <c r="B267" s="146"/>
      <c r="C267" s="99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45"/>
      <c r="AA267" s="63"/>
      <c r="AB267" s="63"/>
    </row>
    <row r="268" spans="1:28" ht="26.25" x14ac:dyDescent="0.25">
      <c r="A268" s="58" t="s">
        <v>154</v>
      </c>
      <c r="B268" s="146"/>
      <c r="C268" s="99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45"/>
      <c r="AA268" s="63"/>
      <c r="AB268" s="63"/>
    </row>
    <row r="269" spans="1:28" ht="15.75" x14ac:dyDescent="0.25">
      <c r="A269" s="57" t="s">
        <v>338</v>
      </c>
      <c r="B269" s="146"/>
      <c r="C269" s="99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45"/>
      <c r="AA269" s="63"/>
      <c r="AB269" s="63"/>
    </row>
    <row r="270" spans="1:28" ht="15.75" x14ac:dyDescent="0.25">
      <c r="A270" s="76" t="s">
        <v>17</v>
      </c>
      <c r="B270" s="151"/>
      <c r="C270" s="99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45"/>
      <c r="AA270" s="63"/>
      <c r="AB270" s="63"/>
    </row>
    <row r="271" spans="1:28" ht="15.75" x14ac:dyDescent="0.25">
      <c r="A271" s="59" t="s">
        <v>135</v>
      </c>
      <c r="B271" s="152"/>
      <c r="C271" s="99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45"/>
      <c r="AA271" s="63"/>
      <c r="AB271" s="63"/>
    </row>
    <row r="272" spans="1:28" ht="15.75" x14ac:dyDescent="0.25">
      <c r="A272" s="59" t="s">
        <v>225</v>
      </c>
      <c r="B272" s="146"/>
      <c r="C272" s="99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45"/>
      <c r="AA272" s="63"/>
      <c r="AB272" s="63"/>
    </row>
    <row r="273" spans="1:28" ht="15.75" x14ac:dyDescent="0.25">
      <c r="A273" s="59" t="s">
        <v>226</v>
      </c>
      <c r="B273" s="146"/>
      <c r="C273" s="99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45"/>
      <c r="AA273" s="63"/>
      <c r="AB273" s="63"/>
    </row>
    <row r="274" spans="1:28" ht="15.75" x14ac:dyDescent="0.25">
      <c r="A274" s="59" t="s">
        <v>339</v>
      </c>
      <c r="B274" s="149"/>
      <c r="C274" s="99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45"/>
      <c r="AA274" s="63"/>
      <c r="AB274" s="63"/>
    </row>
    <row r="275" spans="1:28" ht="15.75" x14ac:dyDescent="0.25">
      <c r="A275" s="59" t="s">
        <v>340</v>
      </c>
      <c r="B275" s="149"/>
      <c r="C275" s="99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45"/>
      <c r="AA275" s="63"/>
      <c r="AB275" s="63"/>
    </row>
    <row r="276" spans="1:28" ht="15.75" x14ac:dyDescent="0.25">
      <c r="A276" s="76" t="s">
        <v>341</v>
      </c>
      <c r="B276" s="151"/>
      <c r="C276" s="99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45"/>
      <c r="AA276" s="63"/>
      <c r="AB276" s="63"/>
    </row>
    <row r="277" spans="1:28" ht="15.75" x14ac:dyDescent="0.25">
      <c r="A277" s="57" t="s">
        <v>342</v>
      </c>
      <c r="B277" s="145">
        <f>B278+B281</f>
        <v>1</v>
      </c>
      <c r="C277" s="99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45"/>
      <c r="AA277" s="63"/>
      <c r="AB277" s="63"/>
    </row>
    <row r="278" spans="1:28" ht="15.75" x14ac:dyDescent="0.25">
      <c r="A278" s="55" t="s">
        <v>346</v>
      </c>
      <c r="B278" s="145">
        <f>B279+B280</f>
        <v>1</v>
      </c>
      <c r="C278" s="99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45"/>
      <c r="AA278" s="63"/>
      <c r="AB278" s="63"/>
    </row>
    <row r="279" spans="1:28" ht="15.75" x14ac:dyDescent="0.25">
      <c r="A279" s="55" t="s">
        <v>347</v>
      </c>
      <c r="B279" s="146">
        <v>1</v>
      </c>
      <c r="C279" s="99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45"/>
      <c r="AA279" s="63"/>
      <c r="AB279" s="63"/>
    </row>
    <row r="280" spans="1:28" ht="15.75" x14ac:dyDescent="0.25">
      <c r="A280" s="55" t="s">
        <v>350</v>
      </c>
      <c r="B280" s="146"/>
      <c r="C280" s="99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45"/>
      <c r="AA280" s="63"/>
      <c r="AB280" s="63"/>
    </row>
    <row r="281" spans="1:28" ht="15.75" x14ac:dyDescent="0.25">
      <c r="A281" s="55" t="s">
        <v>348</v>
      </c>
      <c r="B281" s="145">
        <f>B282+B283</f>
        <v>0</v>
      </c>
      <c r="C281" s="99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45"/>
      <c r="AA281" s="63"/>
      <c r="AB281" s="63"/>
    </row>
    <row r="282" spans="1:28" ht="15.75" x14ac:dyDescent="0.25">
      <c r="A282" s="55" t="s">
        <v>349</v>
      </c>
      <c r="B282" s="146"/>
      <c r="C282" s="99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45"/>
      <c r="AA282" s="63"/>
      <c r="AB282" s="63"/>
    </row>
    <row r="283" spans="1:28" ht="15.75" x14ac:dyDescent="0.25">
      <c r="A283" s="55" t="s">
        <v>351</v>
      </c>
      <c r="B283" s="146"/>
      <c r="C283" s="99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45"/>
      <c r="AA283" s="63"/>
      <c r="AB283" s="63"/>
    </row>
    <row r="284" spans="1:28" ht="15.75" x14ac:dyDescent="0.25">
      <c r="A284" s="57" t="s">
        <v>345</v>
      </c>
      <c r="B284" s="145">
        <f>B285+B288</f>
        <v>0</v>
      </c>
      <c r="C284" s="99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45"/>
      <c r="AA284" s="63"/>
      <c r="AB284" s="63"/>
    </row>
    <row r="285" spans="1:28" ht="15.75" x14ac:dyDescent="0.25">
      <c r="A285" s="55" t="s">
        <v>352</v>
      </c>
      <c r="B285" s="145">
        <f>B286+B287</f>
        <v>0</v>
      </c>
      <c r="C285" s="99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45"/>
      <c r="AA285" s="63"/>
      <c r="AB285" s="63"/>
    </row>
    <row r="286" spans="1:28" ht="15.75" x14ac:dyDescent="0.25">
      <c r="A286" s="55" t="s">
        <v>343</v>
      </c>
      <c r="B286" s="146"/>
      <c r="C286" s="99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45"/>
      <c r="AA286" s="63"/>
      <c r="AB286" s="63"/>
    </row>
    <row r="287" spans="1:28" ht="15.75" x14ac:dyDescent="0.25">
      <c r="A287" s="55" t="s">
        <v>353</v>
      </c>
      <c r="B287" s="146"/>
      <c r="C287" s="99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45"/>
      <c r="AA287" s="63"/>
      <c r="AB287" s="63"/>
    </row>
    <row r="288" spans="1:28" ht="15.75" x14ac:dyDescent="0.25">
      <c r="A288" s="55" t="s">
        <v>354</v>
      </c>
      <c r="B288" s="145">
        <f>B289+B290</f>
        <v>0</v>
      </c>
      <c r="C288" s="99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45"/>
      <c r="AA288" s="63"/>
      <c r="AB288" s="63"/>
    </row>
    <row r="289" spans="1:28" ht="15.75" x14ac:dyDescent="0.25">
      <c r="A289" s="55" t="s">
        <v>344</v>
      </c>
      <c r="B289" s="146"/>
      <c r="C289" s="99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45"/>
      <c r="AA289" s="63"/>
      <c r="AB289" s="63"/>
    </row>
    <row r="290" spans="1:28" ht="15.75" x14ac:dyDescent="0.25">
      <c r="A290" s="55" t="s">
        <v>355</v>
      </c>
      <c r="B290" s="146"/>
      <c r="C290" s="99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45"/>
      <c r="AA290" s="63"/>
      <c r="AB290" s="63"/>
    </row>
    <row r="291" spans="1:28" ht="15.75" x14ac:dyDescent="0.25">
      <c r="A291" s="78" t="s">
        <v>18</v>
      </c>
      <c r="B291" s="155"/>
      <c r="C291" s="99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45"/>
      <c r="AA291" s="63"/>
      <c r="AB291" s="63"/>
    </row>
    <row r="292" spans="1:28" ht="15.75" x14ac:dyDescent="0.25">
      <c r="A292" s="79" t="s">
        <v>19</v>
      </c>
      <c r="B292" s="156"/>
      <c r="C292" s="99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45"/>
      <c r="AA292" s="63"/>
      <c r="AB292" s="63"/>
    </row>
    <row r="293" spans="1:28" ht="15.75" x14ac:dyDescent="0.25">
      <c r="A293" s="74" t="s">
        <v>20</v>
      </c>
      <c r="B293" s="153"/>
      <c r="C293" s="99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45"/>
      <c r="AA293" s="63"/>
      <c r="AB293" s="63"/>
    </row>
    <row r="294" spans="1:28" ht="15.75" x14ac:dyDescent="0.25">
      <c r="A294" s="80" t="s">
        <v>21</v>
      </c>
      <c r="B294" s="157"/>
      <c r="C294" s="99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45"/>
      <c r="AA294" s="63"/>
      <c r="AB294" s="63"/>
    </row>
    <row r="295" spans="1:28" ht="15.75" x14ac:dyDescent="0.25">
      <c r="A295" s="75" t="s">
        <v>137</v>
      </c>
      <c r="B295" s="154"/>
      <c r="C295" s="99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45"/>
      <c r="AA295" s="63"/>
      <c r="AB295" s="63"/>
    </row>
    <row r="296" spans="1:28" ht="15.75" x14ac:dyDescent="0.25">
      <c r="A296" s="57" t="s">
        <v>138</v>
      </c>
      <c r="B296" s="152"/>
      <c r="C296" s="99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45"/>
      <c r="AA296" s="63"/>
      <c r="AB296" s="63"/>
    </row>
    <row r="297" spans="1:28" ht="15.75" x14ac:dyDescent="0.25">
      <c r="A297" s="57" t="s">
        <v>136</v>
      </c>
      <c r="B297" s="145">
        <f>B298+B301+B304+B307+B310+B312</f>
        <v>0</v>
      </c>
      <c r="C297" s="99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45"/>
      <c r="AA297" s="63"/>
      <c r="AB297" s="63"/>
    </row>
    <row r="298" spans="1:28" ht="15.75" x14ac:dyDescent="0.25">
      <c r="A298" s="60" t="s">
        <v>155</v>
      </c>
      <c r="B298" s="145">
        <f>B299+B300</f>
        <v>0</v>
      </c>
      <c r="C298" s="99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45"/>
      <c r="AA298" s="63"/>
      <c r="AB298" s="63"/>
    </row>
    <row r="299" spans="1:28" ht="15.75" x14ac:dyDescent="0.25">
      <c r="A299" s="55" t="s">
        <v>139</v>
      </c>
      <c r="B299" s="146"/>
      <c r="C299" s="99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45"/>
      <c r="AA299" s="63"/>
      <c r="AB299" s="63"/>
    </row>
    <row r="300" spans="1:28" ht="15.75" x14ac:dyDescent="0.25">
      <c r="A300" s="55" t="s">
        <v>221</v>
      </c>
      <c r="B300" s="146"/>
      <c r="C300" s="99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45"/>
      <c r="AA300" s="63"/>
      <c r="AB300" s="63"/>
    </row>
    <row r="301" spans="1:28" ht="15.75" x14ac:dyDescent="0.25">
      <c r="A301" s="55" t="s">
        <v>140</v>
      </c>
      <c r="B301" s="145">
        <f>B302+B303</f>
        <v>0</v>
      </c>
      <c r="C301" s="99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45"/>
      <c r="AA301" s="63"/>
      <c r="AB301" s="63"/>
    </row>
    <row r="302" spans="1:28" ht="15.75" x14ac:dyDescent="0.25">
      <c r="A302" s="55" t="s">
        <v>141</v>
      </c>
      <c r="B302" s="146"/>
      <c r="C302" s="99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45"/>
      <c r="AA302" s="63"/>
      <c r="AB302" s="63"/>
    </row>
    <row r="303" spans="1:28" ht="15.75" x14ac:dyDescent="0.25">
      <c r="A303" s="55" t="s">
        <v>222</v>
      </c>
      <c r="B303" s="146"/>
      <c r="C303" s="99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45"/>
      <c r="AA303" s="63"/>
      <c r="AB303" s="63"/>
    </row>
    <row r="304" spans="1:28" ht="15.75" x14ac:dyDescent="0.25">
      <c r="A304" s="55" t="s">
        <v>142</v>
      </c>
      <c r="B304" s="145">
        <f>B305+B306</f>
        <v>0</v>
      </c>
      <c r="C304" s="99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45"/>
      <c r="AA304" s="63"/>
      <c r="AB304" s="63"/>
    </row>
    <row r="305" spans="1:28" ht="15.75" x14ac:dyDescent="0.25">
      <c r="A305" s="55" t="s">
        <v>22</v>
      </c>
      <c r="B305" s="146"/>
      <c r="C305" s="99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45"/>
      <c r="AA305" s="63"/>
      <c r="AB305" s="63"/>
    </row>
    <row r="306" spans="1:28" ht="15.75" x14ac:dyDescent="0.25">
      <c r="A306" s="55" t="s">
        <v>223</v>
      </c>
      <c r="B306" s="146"/>
      <c r="C306" s="99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45"/>
      <c r="AA306" s="63"/>
      <c r="AB306" s="63"/>
    </row>
    <row r="307" spans="1:28" ht="15.75" x14ac:dyDescent="0.25">
      <c r="A307" s="55" t="s">
        <v>143</v>
      </c>
      <c r="B307" s="145">
        <f>B308+B309</f>
        <v>0</v>
      </c>
      <c r="C307" s="99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45"/>
      <c r="AA307" s="63"/>
      <c r="AB307" s="63"/>
    </row>
    <row r="308" spans="1:28" ht="15.75" x14ac:dyDescent="0.25">
      <c r="A308" s="55" t="s">
        <v>144</v>
      </c>
      <c r="B308" s="146"/>
      <c r="C308" s="99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45"/>
      <c r="AA308" s="63"/>
      <c r="AB308" s="63"/>
    </row>
    <row r="309" spans="1:28" ht="15.75" x14ac:dyDescent="0.25">
      <c r="A309" s="55" t="s">
        <v>224</v>
      </c>
      <c r="B309" s="146"/>
      <c r="C309" s="99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45"/>
      <c r="AA309" s="63"/>
      <c r="AB309" s="63"/>
    </row>
    <row r="310" spans="1:28" ht="15.75" x14ac:dyDescent="0.25">
      <c r="A310" s="55" t="s">
        <v>145</v>
      </c>
      <c r="B310" s="148"/>
      <c r="C310" s="99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45"/>
      <c r="AA310" s="63"/>
      <c r="AB310" s="63"/>
    </row>
    <row r="311" spans="1:28" ht="15.75" x14ac:dyDescent="0.25">
      <c r="A311" s="60" t="s">
        <v>146</v>
      </c>
      <c r="B311" s="145"/>
      <c r="C311" s="99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45"/>
      <c r="AA311" s="63"/>
      <c r="AB311" s="63"/>
    </row>
    <row r="312" spans="1:28" ht="15.75" x14ac:dyDescent="0.25">
      <c r="A312" s="55" t="s">
        <v>147</v>
      </c>
      <c r="B312" s="146"/>
      <c r="C312" s="99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45"/>
      <c r="AA312" s="63"/>
      <c r="AB312" s="63"/>
    </row>
    <row r="313" spans="1:28" ht="25.5" x14ac:dyDescent="0.25">
      <c r="A313" s="61" t="s">
        <v>230</v>
      </c>
      <c r="B313" s="147"/>
      <c r="C313" s="99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45"/>
      <c r="AA313" s="63"/>
      <c r="AB313" s="63"/>
    </row>
    <row r="314" spans="1:28" ht="15.75" x14ac:dyDescent="0.25">
      <c r="A314" s="57" t="s">
        <v>148</v>
      </c>
      <c r="B314" s="149"/>
      <c r="C314" s="99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45"/>
      <c r="AA314" s="63"/>
      <c r="AB314" s="63"/>
    </row>
    <row r="315" spans="1:28" ht="26.25" x14ac:dyDescent="0.25">
      <c r="A315" s="76" t="s">
        <v>356</v>
      </c>
      <c r="B315" s="151"/>
      <c r="C315" s="99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45"/>
      <c r="AA315" s="63"/>
      <c r="AB315" s="63"/>
    </row>
    <row r="316" spans="1:28" ht="15.75" x14ac:dyDescent="0.25">
      <c r="A316" s="57" t="s">
        <v>149</v>
      </c>
      <c r="B316" s="148"/>
      <c r="C316" s="99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45"/>
      <c r="AA316" s="63"/>
      <c r="AB316" s="63"/>
    </row>
    <row r="317" spans="1:28" ht="15.75" x14ac:dyDescent="0.25">
      <c r="A317" s="55" t="s">
        <v>357</v>
      </c>
      <c r="B317" s="145">
        <f>B318+B319</f>
        <v>0</v>
      </c>
      <c r="C317" s="99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45"/>
      <c r="AA317" s="63"/>
      <c r="AB317" s="63"/>
    </row>
    <row r="318" spans="1:28" ht="15.75" x14ac:dyDescent="0.25">
      <c r="A318" s="55" t="s">
        <v>22</v>
      </c>
      <c r="B318" s="146"/>
      <c r="C318" s="99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45"/>
      <c r="AA318" s="63"/>
      <c r="AB318" s="63"/>
    </row>
    <row r="319" spans="1:28" ht="15.75" x14ac:dyDescent="0.25">
      <c r="A319" s="55" t="s">
        <v>223</v>
      </c>
      <c r="B319" s="146"/>
      <c r="C319" s="99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45"/>
      <c r="AA319" s="63"/>
      <c r="AB319" s="63"/>
    </row>
    <row r="320" spans="1:28" s="267" customFormat="1" ht="18.75" customHeight="1" x14ac:dyDescent="0.2">
      <c r="A320" s="268" t="s">
        <v>444</v>
      </c>
      <c r="B320" s="270"/>
      <c r="C320" s="263"/>
      <c r="D320" s="264"/>
      <c r="E320" s="264"/>
      <c r="F320" s="264"/>
      <c r="G320" s="264"/>
      <c r="H320" s="264"/>
      <c r="I320" s="264"/>
      <c r="J320" s="264"/>
      <c r="K320" s="264"/>
      <c r="L320" s="264"/>
      <c r="M320" s="264"/>
      <c r="N320" s="264"/>
      <c r="O320" s="264"/>
      <c r="P320" s="264"/>
      <c r="Q320" s="264"/>
      <c r="R320" s="264"/>
      <c r="S320" s="264"/>
      <c r="T320" s="264"/>
      <c r="U320" s="264"/>
      <c r="V320" s="264"/>
      <c r="W320" s="264"/>
      <c r="X320" s="264"/>
      <c r="Y320" s="264"/>
      <c r="Z320" s="265"/>
      <c r="AA320" s="266"/>
      <c r="AB320" s="266"/>
    </row>
    <row r="321" spans="1:28" s="267" customFormat="1" ht="18.75" customHeight="1" x14ac:dyDescent="0.2">
      <c r="A321" s="269" t="s">
        <v>446</v>
      </c>
      <c r="B321" s="152"/>
      <c r="C321" s="263"/>
      <c r="D321" s="264"/>
      <c r="E321" s="264"/>
      <c r="F321" s="264"/>
      <c r="G321" s="264"/>
      <c r="H321" s="264"/>
      <c r="I321" s="264"/>
      <c r="J321" s="264"/>
      <c r="K321" s="264"/>
      <c r="L321" s="264"/>
      <c r="M321" s="264"/>
      <c r="N321" s="264"/>
      <c r="O321" s="264"/>
      <c r="P321" s="264"/>
      <c r="Q321" s="264"/>
      <c r="R321" s="264"/>
      <c r="S321" s="264"/>
      <c r="T321" s="264"/>
      <c r="U321" s="264"/>
      <c r="V321" s="264"/>
      <c r="W321" s="264"/>
      <c r="X321" s="264"/>
      <c r="Y321" s="264"/>
      <c r="Z321" s="265"/>
      <c r="AA321" s="266"/>
      <c r="AB321" s="266"/>
    </row>
    <row r="322" spans="1:28" s="267" customFormat="1" ht="18.75" customHeight="1" x14ac:dyDescent="0.2">
      <c r="A322" s="269" t="s">
        <v>447</v>
      </c>
      <c r="B322" s="148"/>
      <c r="C322" s="263"/>
      <c r="D322" s="264"/>
      <c r="E322" s="264"/>
      <c r="F322" s="264"/>
      <c r="G322" s="264"/>
      <c r="H322" s="264"/>
      <c r="I322" s="264"/>
      <c r="J322" s="264"/>
      <c r="K322" s="264"/>
      <c r="L322" s="264"/>
      <c r="M322" s="264"/>
      <c r="N322" s="264"/>
      <c r="O322" s="264"/>
      <c r="P322" s="264"/>
      <c r="Q322" s="264"/>
      <c r="R322" s="264"/>
      <c r="S322" s="264"/>
      <c r="T322" s="264"/>
      <c r="U322" s="264"/>
      <c r="V322" s="264"/>
      <c r="W322" s="264"/>
      <c r="X322" s="264"/>
      <c r="Y322" s="264"/>
      <c r="Z322" s="265"/>
      <c r="AA322" s="266"/>
      <c r="AB322" s="266"/>
    </row>
    <row r="323" spans="1:28" ht="30" customHeight="1" x14ac:dyDescent="0.25">
      <c r="A323" s="268" t="s">
        <v>445</v>
      </c>
      <c r="B323" s="146"/>
      <c r="C323" s="99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45"/>
      <c r="AA323" s="63"/>
      <c r="AB323" s="63"/>
    </row>
    <row r="324" spans="1:28" ht="15.75" x14ac:dyDescent="0.25">
      <c r="A324" s="52"/>
      <c r="B324" s="50"/>
      <c r="C324" s="99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45"/>
      <c r="AA324" s="63"/>
      <c r="AB324" s="63"/>
    </row>
    <row r="325" spans="1:28" ht="15.75" x14ac:dyDescent="0.25">
      <c r="A325" s="53"/>
      <c r="B325" s="50"/>
      <c r="C325" s="99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45"/>
      <c r="AA325" s="63"/>
      <c r="AB325" s="63"/>
    </row>
    <row r="326" spans="1:28" ht="15.75" x14ac:dyDescent="0.25">
      <c r="A326" s="41"/>
      <c r="B326" s="42"/>
      <c r="C326" s="99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45"/>
      <c r="AA326" s="63"/>
      <c r="AB326" s="63"/>
    </row>
  </sheetData>
  <sheetProtection sheet="1" objects="1" scenarios="1" selectLockedCells="1"/>
  <mergeCells count="2">
    <mergeCell ref="E11:F11"/>
    <mergeCell ref="F15:P15"/>
  </mergeCells>
  <dataValidations xWindow="1179" yWindow="291" count="8">
    <dataValidation type="whole" allowBlank="1" showInputMessage="1" showErrorMessage="1" sqref="B175 D174:Y216 B177:B217 C175:C217 C318:C319">
      <formula1>0</formula1>
      <formula2>100000000000000000000</formula2>
    </dataValidation>
    <dataValidation type="whole" allowBlank="1" showInputMessage="1" showErrorMessage="1" sqref="B277:B319 C278:C317 D300:Y319 D323:Y326 B321:B323">
      <formula1>0</formula1>
      <formula2>1E+24</formula2>
    </dataValidation>
    <dataValidation type="whole" allowBlank="1" showInputMessage="1" showErrorMessage="1" sqref="D264:Y299 C276:C277 B276 D320:Y322">
      <formula1>0</formula1>
      <formula2>100000000000000000</formula2>
    </dataValidation>
    <dataValidation type="whole" allowBlank="1" showInputMessage="1" showErrorMessage="1" sqref="D38:D55 G16:P67 B15:C70 D19:D36 Q19:Q36 R15:Z67 Q38:Q55 D57:D74 Q57:Q74 Z68:Z326">
      <formula1>0</formula1>
      <formula2>1E+22</formula2>
    </dataValidation>
    <dataValidation type="whole" allowBlank="1" showInputMessage="1" showErrorMessage="1" sqref="D217:Y263 D120:Y173 B176 B218:C275 B123:C174 C320:C322">
      <formula1>0</formula1>
      <formula2>1000000000000000000</formula2>
    </dataValidation>
    <dataValidation type="whole" allowBlank="1" showInputMessage="1" showErrorMessage="1" sqref="G68:P119 R68:Y119 D75:F119 Q75:Q119 B71:C122">
      <formula1>0</formula1>
      <formula2>10000000000000000000</formula2>
    </dataValidation>
    <dataValidation allowBlank="1" showInputMessage="1" showErrorMessage="1" prompt="Limit your input in a maximum of 80 characters per bullet." sqref="F13:F14"/>
    <dataValidation allowBlank="1" showInputMessage="1" showErrorMessage="1" prompt="Limit your input in a maximum of 70 characters per bullet." sqref="F20:F74 F17:F18"/>
  </dataValidations>
  <pageMargins left="0.7" right="0.7" top="0.75" bottom="0.75" header="0.3" footer="0.3"/>
  <pageSetup paperSize="768"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326"/>
  <sheetViews>
    <sheetView tabSelected="1" workbookViewId="0">
      <pane ySplit="13" topLeftCell="A17" activePane="bottomLeft" state="frozen"/>
      <selection pane="bottomLeft" activeCell="B18" sqref="B18"/>
    </sheetView>
  </sheetViews>
  <sheetFormatPr defaultRowHeight="12.75" x14ac:dyDescent="0.2"/>
  <cols>
    <col min="1" max="1" width="39.140625" style="1" customWidth="1"/>
    <col min="2" max="2" width="36.42578125" style="31" customWidth="1"/>
    <col min="3" max="3" width="7.28515625" style="100" customWidth="1"/>
    <col min="4" max="4" width="3.28515625" style="65" customWidth="1"/>
    <col min="5" max="5" width="1.85546875" style="65" customWidth="1"/>
    <col min="6" max="6" width="8.42578125" style="65" customWidth="1"/>
    <col min="7" max="16" width="9.140625" style="65"/>
    <col min="17" max="17" width="2.7109375" style="65" customWidth="1"/>
    <col min="18" max="28" width="9.140625" style="65"/>
  </cols>
  <sheetData>
    <row r="1" spans="1:30" x14ac:dyDescent="0.2">
      <c r="A1" s="13"/>
      <c r="B1" s="29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63"/>
      <c r="AB1" s="63"/>
    </row>
    <row r="2" spans="1:30" x14ac:dyDescent="0.2">
      <c r="A2" s="13"/>
      <c r="B2" s="29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63"/>
      <c r="AB2" s="63"/>
    </row>
    <row r="3" spans="1:30" x14ac:dyDescent="0.2">
      <c r="A3" s="13"/>
      <c r="B3" s="29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63"/>
      <c r="AB3" s="63"/>
    </row>
    <row r="4" spans="1:30" x14ac:dyDescent="0.2">
      <c r="A4" s="13"/>
      <c r="B4" s="29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63"/>
      <c r="AB4" s="63"/>
    </row>
    <row r="5" spans="1:30" x14ac:dyDescent="0.2">
      <c r="A5" s="13"/>
      <c r="B5" s="29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63"/>
      <c r="AB5" s="63"/>
    </row>
    <row r="6" spans="1:30" x14ac:dyDescent="0.2">
      <c r="A6" s="13"/>
      <c r="B6" s="2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63"/>
      <c r="AB6" s="63"/>
    </row>
    <row r="7" spans="1:30" x14ac:dyDescent="0.2">
      <c r="A7" s="13"/>
      <c r="B7" s="29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63"/>
      <c r="AB7" s="63"/>
    </row>
    <row r="8" spans="1:30" x14ac:dyDescent="0.2">
      <c r="A8" s="13"/>
      <c r="B8" s="29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63"/>
      <c r="AB8" s="63"/>
    </row>
    <row r="9" spans="1:30" x14ac:dyDescent="0.2">
      <c r="A9" s="14"/>
      <c r="B9" s="29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63"/>
      <c r="AB9" s="63"/>
    </row>
    <row r="10" spans="1:30" x14ac:dyDescent="0.2">
      <c r="A10" s="15"/>
      <c r="B10" s="29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63"/>
      <c r="AB10" s="63"/>
    </row>
    <row r="11" spans="1:30" ht="15.75" x14ac:dyDescent="0.25">
      <c r="A11" s="5" t="s">
        <v>0</v>
      </c>
      <c r="B11" s="12" t="s">
        <v>180</v>
      </c>
      <c r="C11" s="17"/>
      <c r="D11" s="17"/>
      <c r="E11" s="325"/>
      <c r="F11" s="325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63"/>
      <c r="AB11" s="63"/>
      <c r="AC11" s="3"/>
      <c r="AD11" s="3"/>
    </row>
    <row r="12" spans="1:30" x14ac:dyDescent="0.2">
      <c r="A12" s="48" t="s">
        <v>1</v>
      </c>
      <c r="B12" s="11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25"/>
      <c r="AA12" s="63"/>
      <c r="AB12" s="63"/>
    </row>
    <row r="13" spans="1:30" x14ac:dyDescent="0.2">
      <c r="A13" s="73" t="s">
        <v>3</v>
      </c>
      <c r="B13" s="77"/>
      <c r="C13" s="19"/>
      <c r="D13" s="19"/>
      <c r="E13" s="70"/>
      <c r="F13" s="70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63"/>
      <c r="AB13" s="63"/>
    </row>
    <row r="14" spans="1:30" x14ac:dyDescent="0.2">
      <c r="A14" s="51" t="s">
        <v>4</v>
      </c>
      <c r="B14" s="49"/>
      <c r="C14" s="98"/>
      <c r="D14" s="19"/>
      <c r="E14" s="70"/>
      <c r="F14" s="70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63"/>
      <c r="AB14" s="63"/>
    </row>
    <row r="15" spans="1:30" ht="15.75" x14ac:dyDescent="0.25">
      <c r="A15" s="47" t="s">
        <v>23</v>
      </c>
      <c r="B15" s="145">
        <f>B16+B23+B30+B33+B40+B43</f>
        <v>1334</v>
      </c>
      <c r="C15" s="99"/>
      <c r="D15" s="69"/>
      <c r="E15" s="69"/>
      <c r="F15" s="326" t="s">
        <v>227</v>
      </c>
      <c r="G15" s="326"/>
      <c r="H15" s="326"/>
      <c r="I15" s="326"/>
      <c r="J15" s="326"/>
      <c r="K15" s="326"/>
      <c r="L15" s="326"/>
      <c r="M15" s="326"/>
      <c r="N15" s="326"/>
      <c r="O15" s="326"/>
      <c r="P15" s="326"/>
      <c r="Q15" s="69"/>
      <c r="R15" s="16"/>
      <c r="S15" s="16"/>
      <c r="T15" s="16"/>
      <c r="U15" s="16"/>
      <c r="V15" s="16"/>
      <c r="W15" s="16"/>
      <c r="X15" s="16"/>
      <c r="Y15" s="16"/>
      <c r="Z15" s="45"/>
      <c r="AA15" s="63"/>
      <c r="AB15" s="63"/>
    </row>
    <row r="16" spans="1:30" ht="15.75" x14ac:dyDescent="0.25">
      <c r="A16" s="46" t="s">
        <v>24</v>
      </c>
      <c r="B16" s="145">
        <f>B17+B20</f>
        <v>1334</v>
      </c>
      <c r="C16" s="99"/>
      <c r="D16" s="66"/>
      <c r="E16" s="18"/>
      <c r="F16" s="18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66"/>
      <c r="R16" s="16"/>
      <c r="S16" s="16"/>
      <c r="T16" s="16"/>
      <c r="U16" s="16"/>
      <c r="V16" s="16"/>
      <c r="W16" s="16"/>
      <c r="X16" s="16"/>
      <c r="Y16" s="16"/>
      <c r="Z16" s="45"/>
      <c r="AA16" s="63"/>
      <c r="AB16" s="63"/>
    </row>
    <row r="17" spans="1:28" ht="15.75" x14ac:dyDescent="0.25">
      <c r="A17" s="2" t="s">
        <v>25</v>
      </c>
      <c r="B17" s="145">
        <f>B18+B19</f>
        <v>0</v>
      </c>
      <c r="C17" s="99"/>
      <c r="D17" s="67"/>
      <c r="E17" s="70" t="s">
        <v>228</v>
      </c>
      <c r="F17" s="161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67"/>
      <c r="R17" s="16"/>
      <c r="S17" s="16"/>
      <c r="T17" s="16"/>
      <c r="U17" s="16"/>
      <c r="V17" s="16"/>
      <c r="W17" s="16"/>
      <c r="X17" s="16"/>
      <c r="Y17" s="16"/>
      <c r="Z17" s="45"/>
      <c r="AA17" s="63"/>
      <c r="AB17" s="63"/>
    </row>
    <row r="18" spans="1:28" ht="15.75" x14ac:dyDescent="0.25">
      <c r="A18" s="2" t="s">
        <v>26</v>
      </c>
      <c r="B18" s="146"/>
      <c r="C18" s="99"/>
      <c r="D18" s="67"/>
      <c r="E18" s="70" t="s">
        <v>228</v>
      </c>
      <c r="F18" s="72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67"/>
      <c r="R18" s="16"/>
      <c r="S18" s="16"/>
      <c r="T18" s="16"/>
      <c r="U18" s="16"/>
      <c r="V18" s="16"/>
      <c r="W18" s="16"/>
      <c r="X18" s="16"/>
      <c r="Y18" s="16"/>
      <c r="Z18" s="45"/>
      <c r="AA18" s="63"/>
      <c r="AB18" s="63"/>
    </row>
    <row r="19" spans="1:28" ht="15.75" x14ac:dyDescent="0.25">
      <c r="A19" s="2" t="s">
        <v>182</v>
      </c>
      <c r="B19" s="146"/>
      <c r="C19" s="99"/>
      <c r="D19" s="68"/>
      <c r="E19" s="71" t="s">
        <v>228</v>
      </c>
      <c r="F19" s="44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68"/>
      <c r="R19" s="16"/>
      <c r="S19" s="16"/>
      <c r="T19" s="16"/>
      <c r="U19" s="16"/>
      <c r="V19" s="16"/>
      <c r="W19" s="16"/>
      <c r="X19" s="16"/>
      <c r="Y19" s="16"/>
      <c r="Z19" s="45"/>
      <c r="AA19" s="63"/>
      <c r="AB19" s="63"/>
    </row>
    <row r="20" spans="1:28" ht="15.75" x14ac:dyDescent="0.25">
      <c r="A20" s="2" t="s">
        <v>6</v>
      </c>
      <c r="B20" s="145">
        <f>B21+B22</f>
        <v>1334</v>
      </c>
      <c r="C20" s="99"/>
      <c r="D20" s="68"/>
      <c r="E20" s="71" t="s">
        <v>228</v>
      </c>
      <c r="F20" s="44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68"/>
      <c r="R20" s="16"/>
      <c r="S20" s="16"/>
      <c r="T20" s="16"/>
      <c r="U20" s="16"/>
      <c r="V20" s="16"/>
      <c r="W20" s="16"/>
      <c r="X20" s="16"/>
      <c r="Y20" s="16"/>
      <c r="Z20" s="45"/>
      <c r="AA20" s="63"/>
      <c r="AB20" s="63"/>
    </row>
    <row r="21" spans="1:28" ht="15.75" x14ac:dyDescent="0.25">
      <c r="A21" s="2" t="s">
        <v>27</v>
      </c>
      <c r="B21" s="146">
        <v>1267</v>
      </c>
      <c r="C21" s="99"/>
      <c r="D21" s="68"/>
      <c r="E21" s="71" t="s">
        <v>228</v>
      </c>
      <c r="F21" s="44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68"/>
      <c r="R21" s="16"/>
      <c r="S21" s="16"/>
      <c r="T21" s="16"/>
      <c r="U21" s="16"/>
      <c r="V21" s="16"/>
      <c r="W21" s="16"/>
      <c r="X21" s="16"/>
      <c r="Y21" s="16"/>
      <c r="Z21" s="45"/>
      <c r="AA21" s="63"/>
      <c r="AB21" s="63"/>
    </row>
    <row r="22" spans="1:28" ht="15.75" x14ac:dyDescent="0.25">
      <c r="A22" s="2" t="s">
        <v>183</v>
      </c>
      <c r="B22" s="146">
        <v>67</v>
      </c>
      <c r="C22" s="99"/>
      <c r="D22" s="68"/>
      <c r="E22" s="16" t="s">
        <v>228</v>
      </c>
      <c r="F22" s="44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68"/>
      <c r="R22" s="16"/>
      <c r="S22" s="16"/>
      <c r="T22" s="16"/>
      <c r="U22" s="16"/>
      <c r="V22" s="16"/>
      <c r="W22" s="16"/>
      <c r="X22" s="16"/>
      <c r="Y22" s="16"/>
      <c r="Z22" s="45"/>
      <c r="AA22" s="63"/>
      <c r="AB22" s="63"/>
    </row>
    <row r="23" spans="1:28" ht="15.75" x14ac:dyDescent="0.25">
      <c r="A23" s="46" t="s">
        <v>28</v>
      </c>
      <c r="B23" s="145">
        <f>B24+B27</f>
        <v>0</v>
      </c>
      <c r="C23" s="99"/>
      <c r="D23" s="68"/>
      <c r="E23" s="16" t="s">
        <v>228</v>
      </c>
      <c r="F23" s="44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68"/>
      <c r="R23" s="16"/>
      <c r="S23" s="16"/>
      <c r="T23" s="16"/>
      <c r="U23" s="16"/>
      <c r="V23" s="16"/>
      <c r="W23" s="16"/>
      <c r="X23" s="16"/>
      <c r="Y23" s="16"/>
      <c r="Z23" s="45"/>
      <c r="AA23" s="63"/>
      <c r="AB23" s="63"/>
    </row>
    <row r="24" spans="1:28" ht="15.75" x14ac:dyDescent="0.25">
      <c r="A24" s="2" t="s">
        <v>29</v>
      </c>
      <c r="B24" s="145">
        <f>B25+B26</f>
        <v>0</v>
      </c>
      <c r="C24" s="99"/>
      <c r="D24" s="68"/>
      <c r="E24" s="16" t="s">
        <v>228</v>
      </c>
      <c r="F24" s="44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68"/>
      <c r="R24" s="16"/>
      <c r="S24" s="16"/>
      <c r="T24" s="16"/>
      <c r="U24" s="16"/>
      <c r="V24" s="16"/>
      <c r="W24" s="16"/>
      <c r="X24" s="16"/>
      <c r="Y24" s="16"/>
      <c r="Z24" s="45"/>
      <c r="AA24" s="63"/>
      <c r="AB24" s="63"/>
    </row>
    <row r="25" spans="1:28" ht="15.75" x14ac:dyDescent="0.25">
      <c r="A25" s="2" t="s">
        <v>30</v>
      </c>
      <c r="B25" s="146"/>
      <c r="C25" s="99"/>
      <c r="D25" s="68"/>
      <c r="E25" s="16" t="s">
        <v>228</v>
      </c>
      <c r="F25" s="44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68"/>
      <c r="R25" s="16"/>
      <c r="S25" s="16"/>
      <c r="T25" s="16"/>
      <c r="U25" s="16"/>
      <c r="V25" s="16"/>
      <c r="W25" s="16"/>
      <c r="X25" s="16"/>
      <c r="Y25" s="16"/>
      <c r="Z25" s="45"/>
      <c r="AA25" s="63"/>
      <c r="AB25" s="63"/>
    </row>
    <row r="26" spans="1:28" ht="15.75" x14ac:dyDescent="0.25">
      <c r="A26" s="2" t="s">
        <v>184</v>
      </c>
      <c r="B26" s="146"/>
      <c r="C26" s="99"/>
      <c r="D26" s="68"/>
      <c r="E26" s="16" t="s">
        <v>228</v>
      </c>
      <c r="F26" s="44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68"/>
      <c r="R26" s="16"/>
      <c r="S26" s="16"/>
      <c r="T26" s="16"/>
      <c r="U26" s="16"/>
      <c r="V26" s="16"/>
      <c r="W26" s="16"/>
      <c r="X26" s="16"/>
      <c r="Y26" s="16"/>
      <c r="Z26" s="45"/>
      <c r="AA26" s="63"/>
      <c r="AB26" s="63"/>
    </row>
    <row r="27" spans="1:28" ht="15.75" x14ac:dyDescent="0.25">
      <c r="A27" s="2" t="s">
        <v>31</v>
      </c>
      <c r="B27" s="145">
        <f>B28+B29</f>
        <v>0</v>
      </c>
      <c r="C27" s="99"/>
      <c r="D27" s="68"/>
      <c r="E27" s="16" t="s">
        <v>228</v>
      </c>
      <c r="F27" s="44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68"/>
      <c r="R27" s="16"/>
      <c r="S27" s="16"/>
      <c r="T27" s="16"/>
      <c r="U27" s="16"/>
      <c r="V27" s="16"/>
      <c r="W27" s="16"/>
      <c r="X27" s="16"/>
      <c r="Y27" s="16"/>
      <c r="Z27" s="45"/>
      <c r="AA27" s="63"/>
      <c r="AB27" s="63"/>
    </row>
    <row r="28" spans="1:28" ht="15.75" x14ac:dyDescent="0.25">
      <c r="A28" s="2" t="s">
        <v>32</v>
      </c>
      <c r="B28" s="146"/>
      <c r="C28" s="99"/>
      <c r="D28" s="68"/>
      <c r="E28" s="16" t="s">
        <v>228</v>
      </c>
      <c r="F28" s="44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68"/>
      <c r="R28" s="16"/>
      <c r="S28" s="16"/>
      <c r="T28" s="16"/>
      <c r="U28" s="16"/>
      <c r="V28" s="16"/>
      <c r="W28" s="16"/>
      <c r="X28" s="16"/>
      <c r="Y28" s="16"/>
      <c r="Z28" s="45"/>
      <c r="AA28" s="63"/>
      <c r="AB28" s="63"/>
    </row>
    <row r="29" spans="1:28" ht="15.75" x14ac:dyDescent="0.25">
      <c r="A29" s="2" t="s">
        <v>185</v>
      </c>
      <c r="B29" s="146"/>
      <c r="C29" s="99"/>
      <c r="D29" s="68"/>
      <c r="E29" s="16" t="s">
        <v>228</v>
      </c>
      <c r="F29" s="44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68"/>
      <c r="R29" s="16"/>
      <c r="S29" s="16"/>
      <c r="T29" s="16"/>
      <c r="U29" s="16"/>
      <c r="V29" s="16"/>
      <c r="W29" s="16"/>
      <c r="X29" s="16"/>
      <c r="Y29" s="16"/>
      <c r="Z29" s="45"/>
      <c r="AA29" s="63"/>
      <c r="AB29" s="63"/>
    </row>
    <row r="30" spans="1:28" ht="15.75" x14ac:dyDescent="0.25">
      <c r="A30" s="46" t="s">
        <v>33</v>
      </c>
      <c r="B30" s="145">
        <f>B31+B32</f>
        <v>0</v>
      </c>
      <c r="C30" s="99"/>
      <c r="D30" s="68"/>
      <c r="E30" s="16" t="s">
        <v>228</v>
      </c>
      <c r="F30" s="44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68"/>
      <c r="R30" s="16"/>
      <c r="S30" s="16"/>
      <c r="T30" s="16"/>
      <c r="U30" s="16"/>
      <c r="V30" s="16"/>
      <c r="W30" s="16"/>
      <c r="X30" s="16"/>
      <c r="Y30" s="16"/>
      <c r="Z30" s="45"/>
      <c r="AA30" s="63"/>
      <c r="AB30" s="63"/>
    </row>
    <row r="31" spans="1:28" ht="15.75" x14ac:dyDescent="0.25">
      <c r="A31" s="2" t="s">
        <v>34</v>
      </c>
      <c r="B31" s="146"/>
      <c r="C31" s="99"/>
      <c r="D31" s="68"/>
      <c r="E31" s="16" t="s">
        <v>228</v>
      </c>
      <c r="F31" s="44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68"/>
      <c r="R31" s="16"/>
      <c r="S31" s="16"/>
      <c r="T31" s="16"/>
      <c r="U31" s="16"/>
      <c r="V31" s="16"/>
      <c r="W31" s="16"/>
      <c r="X31" s="16"/>
      <c r="Y31" s="16"/>
      <c r="Z31" s="45"/>
      <c r="AA31" s="63"/>
      <c r="AB31" s="63"/>
    </row>
    <row r="32" spans="1:28" ht="15.75" x14ac:dyDescent="0.25">
      <c r="A32" s="2" t="s">
        <v>186</v>
      </c>
      <c r="B32" s="146"/>
      <c r="C32" s="99"/>
      <c r="D32" s="68"/>
      <c r="E32" s="16" t="s">
        <v>228</v>
      </c>
      <c r="F32" s="44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68"/>
      <c r="R32" s="16"/>
      <c r="S32" s="16"/>
      <c r="T32" s="16"/>
      <c r="U32" s="16"/>
      <c r="V32" s="16"/>
      <c r="W32" s="16"/>
      <c r="X32" s="16"/>
      <c r="Y32" s="16"/>
      <c r="Z32" s="45"/>
      <c r="AA32" s="63"/>
      <c r="AB32" s="63"/>
    </row>
    <row r="33" spans="1:28" ht="15.75" x14ac:dyDescent="0.25">
      <c r="A33" s="46" t="s">
        <v>35</v>
      </c>
      <c r="B33" s="145">
        <f>B34+B37</f>
        <v>0</v>
      </c>
      <c r="C33" s="99"/>
      <c r="D33" s="68"/>
      <c r="E33" s="16" t="s">
        <v>228</v>
      </c>
      <c r="F33" s="44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68"/>
      <c r="R33" s="16"/>
      <c r="S33" s="16"/>
      <c r="T33" s="16"/>
      <c r="U33" s="16"/>
      <c r="V33" s="16"/>
      <c r="W33" s="16"/>
      <c r="X33" s="16"/>
      <c r="Y33" s="16"/>
      <c r="Z33" s="45"/>
      <c r="AA33" s="63"/>
      <c r="AB33" s="63"/>
    </row>
    <row r="34" spans="1:28" ht="15.75" x14ac:dyDescent="0.25">
      <c r="A34" s="2" t="s">
        <v>36</v>
      </c>
      <c r="B34" s="145">
        <f>B35+B36</f>
        <v>0</v>
      </c>
      <c r="C34" s="99"/>
      <c r="D34" s="68"/>
      <c r="E34" s="16" t="s">
        <v>228</v>
      </c>
      <c r="F34" s="44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68"/>
      <c r="R34" s="16"/>
      <c r="S34" s="16"/>
      <c r="T34" s="16"/>
      <c r="U34" s="16"/>
      <c r="V34" s="16"/>
      <c r="W34" s="16"/>
      <c r="X34" s="16"/>
      <c r="Y34" s="16"/>
      <c r="Z34" s="45"/>
      <c r="AA34" s="63"/>
      <c r="AB34" s="63"/>
    </row>
    <row r="35" spans="1:28" ht="15.75" x14ac:dyDescent="0.25">
      <c r="A35" s="2" t="s">
        <v>37</v>
      </c>
      <c r="B35" s="146"/>
      <c r="C35" s="99"/>
      <c r="D35" s="68"/>
      <c r="E35" s="16" t="s">
        <v>228</v>
      </c>
      <c r="F35" s="44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68"/>
      <c r="R35" s="16"/>
      <c r="S35" s="16"/>
      <c r="T35" s="16"/>
      <c r="U35" s="16"/>
      <c r="V35" s="16"/>
      <c r="W35" s="16"/>
      <c r="X35" s="16"/>
      <c r="Y35" s="16"/>
      <c r="Z35" s="45"/>
      <c r="AA35" s="63"/>
      <c r="AB35" s="63"/>
    </row>
    <row r="36" spans="1:28" ht="15.75" x14ac:dyDescent="0.25">
      <c r="A36" s="2" t="s">
        <v>187</v>
      </c>
      <c r="B36" s="146"/>
      <c r="C36" s="99"/>
      <c r="D36" s="68"/>
      <c r="E36" s="16" t="s">
        <v>228</v>
      </c>
      <c r="F36" s="44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68"/>
      <c r="R36" s="16"/>
      <c r="S36" s="16"/>
      <c r="T36" s="16"/>
      <c r="U36" s="16"/>
      <c r="V36" s="16"/>
      <c r="W36" s="16"/>
      <c r="X36" s="16"/>
      <c r="Y36" s="16"/>
      <c r="Z36" s="45"/>
      <c r="AA36" s="63"/>
      <c r="AB36" s="63"/>
    </row>
    <row r="37" spans="1:28" ht="15.75" x14ac:dyDescent="0.25">
      <c r="A37" s="2" t="s">
        <v>38</v>
      </c>
      <c r="B37" s="145">
        <f>B38+B39</f>
        <v>0</v>
      </c>
      <c r="C37" s="99"/>
      <c r="D37" s="67"/>
      <c r="E37" s="70" t="s">
        <v>228</v>
      </c>
      <c r="F37" s="72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67"/>
      <c r="R37" s="16"/>
      <c r="S37" s="16"/>
      <c r="T37" s="16"/>
      <c r="U37" s="16"/>
      <c r="V37" s="16"/>
      <c r="W37" s="16"/>
      <c r="X37" s="16"/>
      <c r="Y37" s="16"/>
      <c r="Z37" s="45"/>
      <c r="AA37" s="63"/>
      <c r="AB37" s="63"/>
    </row>
    <row r="38" spans="1:28" ht="15.75" x14ac:dyDescent="0.25">
      <c r="A38" s="2" t="s">
        <v>39</v>
      </c>
      <c r="B38" s="146"/>
      <c r="C38" s="99"/>
      <c r="D38" s="68"/>
      <c r="E38" s="71" t="s">
        <v>228</v>
      </c>
      <c r="F38" s="44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68"/>
      <c r="R38" s="16"/>
      <c r="S38" s="16"/>
      <c r="T38" s="16"/>
      <c r="U38" s="16"/>
      <c r="V38" s="16"/>
      <c r="W38" s="16"/>
      <c r="X38" s="16"/>
      <c r="Y38" s="16"/>
      <c r="Z38" s="45"/>
      <c r="AA38" s="63"/>
      <c r="AB38" s="63"/>
    </row>
    <row r="39" spans="1:28" ht="15.75" x14ac:dyDescent="0.25">
      <c r="A39" s="2" t="s">
        <v>188</v>
      </c>
      <c r="B39" s="146"/>
      <c r="C39" s="99"/>
      <c r="D39" s="68"/>
      <c r="E39" s="71" t="s">
        <v>228</v>
      </c>
      <c r="F39" s="44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68"/>
      <c r="R39" s="16"/>
      <c r="S39" s="16"/>
      <c r="T39" s="16"/>
      <c r="U39" s="16"/>
      <c r="V39" s="16"/>
      <c r="W39" s="16"/>
      <c r="X39" s="16"/>
      <c r="Y39" s="16"/>
      <c r="Z39" s="45"/>
      <c r="AA39" s="63"/>
      <c r="AB39" s="63"/>
    </row>
    <row r="40" spans="1:28" ht="15.75" x14ac:dyDescent="0.25">
      <c r="A40" s="46" t="s">
        <v>279</v>
      </c>
      <c r="B40" s="145">
        <f>B41+B42</f>
        <v>0</v>
      </c>
      <c r="C40" s="99"/>
      <c r="D40" s="68"/>
      <c r="E40" s="71" t="s">
        <v>228</v>
      </c>
      <c r="F40" s="44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68"/>
      <c r="R40" s="16"/>
      <c r="S40" s="16"/>
      <c r="T40" s="16"/>
      <c r="U40" s="16"/>
      <c r="V40" s="16"/>
      <c r="W40" s="16"/>
      <c r="X40" s="16"/>
      <c r="Y40" s="16"/>
      <c r="Z40" s="45"/>
      <c r="AA40" s="63"/>
      <c r="AB40" s="63"/>
    </row>
    <row r="41" spans="1:28" ht="15.75" x14ac:dyDescent="0.25">
      <c r="A41" s="2" t="s">
        <v>317</v>
      </c>
      <c r="B41" s="146"/>
      <c r="C41" s="99"/>
      <c r="D41" s="68"/>
      <c r="E41" s="16" t="s">
        <v>228</v>
      </c>
      <c r="F41" s="44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68"/>
      <c r="R41" s="16"/>
      <c r="S41" s="16"/>
      <c r="T41" s="16"/>
      <c r="U41" s="16"/>
      <c r="V41" s="16"/>
      <c r="W41" s="16"/>
      <c r="X41" s="16"/>
      <c r="Y41" s="16"/>
      <c r="Z41" s="45"/>
      <c r="AA41" s="63"/>
      <c r="AB41" s="63"/>
    </row>
    <row r="42" spans="1:28" ht="15.75" x14ac:dyDescent="0.25">
      <c r="A42" s="2" t="s">
        <v>318</v>
      </c>
      <c r="B42" s="146"/>
      <c r="C42" s="99"/>
      <c r="D42" s="68"/>
      <c r="E42" s="16" t="s">
        <v>228</v>
      </c>
      <c r="F42" s="44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68"/>
      <c r="R42" s="16"/>
      <c r="S42" s="16"/>
      <c r="T42" s="16"/>
      <c r="U42" s="16"/>
      <c r="V42" s="16"/>
      <c r="W42" s="16"/>
      <c r="X42" s="16"/>
      <c r="Y42" s="16"/>
      <c r="Z42" s="45"/>
      <c r="AA42" s="63"/>
      <c r="AB42" s="63"/>
    </row>
    <row r="43" spans="1:28" ht="15.75" x14ac:dyDescent="0.25">
      <c r="A43" s="46" t="s">
        <v>314</v>
      </c>
      <c r="B43" s="145">
        <f>B44+B45</f>
        <v>0</v>
      </c>
      <c r="C43" s="99"/>
      <c r="D43" s="68"/>
      <c r="E43" s="16" t="s">
        <v>228</v>
      </c>
      <c r="F43" s="44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68"/>
      <c r="R43" s="16"/>
      <c r="S43" s="16"/>
      <c r="T43" s="16"/>
      <c r="U43" s="16"/>
      <c r="V43" s="16"/>
      <c r="W43" s="16"/>
      <c r="X43" s="16"/>
      <c r="Y43" s="16"/>
      <c r="Z43" s="45"/>
      <c r="AA43" s="63"/>
      <c r="AB43" s="63"/>
    </row>
    <row r="44" spans="1:28" ht="15.75" x14ac:dyDescent="0.25">
      <c r="A44" s="2" t="s">
        <v>315</v>
      </c>
      <c r="B44" s="146"/>
      <c r="C44" s="99"/>
      <c r="D44" s="68"/>
      <c r="E44" s="16" t="s">
        <v>228</v>
      </c>
      <c r="F44" s="44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68"/>
      <c r="R44" s="16"/>
      <c r="S44" s="16"/>
      <c r="T44" s="16"/>
      <c r="U44" s="16"/>
      <c r="V44" s="16"/>
      <c r="W44" s="16"/>
      <c r="X44" s="16"/>
      <c r="Y44" s="16"/>
      <c r="Z44" s="45"/>
      <c r="AA44" s="63"/>
      <c r="AB44" s="63"/>
    </row>
    <row r="45" spans="1:28" ht="15.75" x14ac:dyDescent="0.25">
      <c r="A45" s="2" t="s">
        <v>316</v>
      </c>
      <c r="B45" s="146"/>
      <c r="C45" s="99"/>
      <c r="D45" s="68"/>
      <c r="E45" s="16" t="s">
        <v>228</v>
      </c>
      <c r="F45" s="44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68"/>
      <c r="R45" s="16"/>
      <c r="S45" s="16"/>
      <c r="T45" s="16"/>
      <c r="U45" s="16"/>
      <c r="V45" s="16"/>
      <c r="W45" s="16"/>
      <c r="X45" s="16"/>
      <c r="Y45" s="16"/>
      <c r="Z45" s="45"/>
      <c r="AA45" s="63"/>
      <c r="AB45" s="63"/>
    </row>
    <row r="46" spans="1:28" ht="15.75" x14ac:dyDescent="0.25">
      <c r="A46" s="46" t="s">
        <v>280</v>
      </c>
      <c r="B46" s="146"/>
      <c r="C46" s="99"/>
      <c r="D46" s="68"/>
      <c r="E46" s="16" t="s">
        <v>228</v>
      </c>
      <c r="F46" s="44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68"/>
      <c r="R46" s="16"/>
      <c r="S46" s="16"/>
      <c r="T46" s="16"/>
      <c r="U46" s="16"/>
      <c r="V46" s="16"/>
      <c r="W46" s="16"/>
      <c r="X46" s="16"/>
      <c r="Y46" s="16"/>
      <c r="Z46" s="45"/>
      <c r="AA46" s="63"/>
      <c r="AB46" s="63"/>
    </row>
    <row r="47" spans="1:28" ht="15.75" x14ac:dyDescent="0.25">
      <c r="A47" s="47" t="s">
        <v>40</v>
      </c>
      <c r="B47" s="145">
        <f>B48+B55+B58+B61+B68+B71+B74+B77+B80</f>
        <v>10</v>
      </c>
      <c r="C47" s="99"/>
      <c r="D47" s="68"/>
      <c r="E47" s="16" t="s">
        <v>228</v>
      </c>
      <c r="F47" s="44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68"/>
      <c r="R47" s="16"/>
      <c r="S47" s="16"/>
      <c r="T47" s="16"/>
      <c r="U47" s="16"/>
      <c r="V47" s="16"/>
      <c r="W47" s="16"/>
      <c r="X47" s="16"/>
      <c r="Y47" s="16"/>
      <c r="Z47" s="45"/>
      <c r="AA47" s="63"/>
      <c r="AB47" s="63"/>
    </row>
    <row r="48" spans="1:28" ht="15.75" x14ac:dyDescent="0.25">
      <c r="A48" s="46" t="s">
        <v>5</v>
      </c>
      <c r="B48" s="145">
        <f>B49+B52</f>
        <v>10</v>
      </c>
      <c r="C48" s="99"/>
      <c r="D48" s="68"/>
      <c r="E48" s="16" t="s">
        <v>228</v>
      </c>
      <c r="F48" s="44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68"/>
      <c r="R48" s="16"/>
      <c r="S48" s="16"/>
      <c r="T48" s="16"/>
      <c r="U48" s="16"/>
      <c r="V48" s="16"/>
      <c r="W48" s="16"/>
      <c r="X48" s="16"/>
      <c r="Y48" s="16"/>
      <c r="Z48" s="45"/>
      <c r="AA48" s="63"/>
      <c r="AB48" s="63"/>
    </row>
    <row r="49" spans="1:28" ht="15.75" x14ac:dyDescent="0.25">
      <c r="A49" s="2" t="s">
        <v>274</v>
      </c>
      <c r="B49" s="145">
        <f>B50+B51</f>
        <v>0</v>
      </c>
      <c r="C49" s="99"/>
      <c r="D49" s="68"/>
      <c r="E49" s="16" t="s">
        <v>228</v>
      </c>
      <c r="F49" s="44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68"/>
      <c r="R49" s="16"/>
      <c r="S49" s="16"/>
      <c r="T49" s="16"/>
      <c r="U49" s="16"/>
      <c r="V49" s="16"/>
      <c r="W49" s="16"/>
      <c r="X49" s="16"/>
      <c r="Y49" s="16"/>
      <c r="Z49" s="45"/>
      <c r="AA49" s="63"/>
      <c r="AB49" s="63"/>
    </row>
    <row r="50" spans="1:28" ht="15.75" x14ac:dyDescent="0.25">
      <c r="A50" s="2" t="s">
        <v>277</v>
      </c>
      <c r="B50" s="146"/>
      <c r="C50" s="99"/>
      <c r="D50" s="68"/>
      <c r="E50" s="16" t="s">
        <v>228</v>
      </c>
      <c r="F50" s="44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68"/>
      <c r="R50" s="16"/>
      <c r="S50" s="16"/>
      <c r="T50" s="16"/>
      <c r="U50" s="16"/>
      <c r="V50" s="16"/>
      <c r="W50" s="16"/>
      <c r="X50" s="16"/>
      <c r="Y50" s="16"/>
      <c r="Z50" s="45"/>
      <c r="AA50" s="63"/>
      <c r="AB50" s="63"/>
    </row>
    <row r="51" spans="1:28" ht="15.75" x14ac:dyDescent="0.25">
      <c r="A51" s="2" t="s">
        <v>278</v>
      </c>
      <c r="B51" s="146"/>
      <c r="C51" s="99"/>
      <c r="D51" s="68"/>
      <c r="E51" s="16" t="s">
        <v>228</v>
      </c>
      <c r="F51" s="160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68"/>
      <c r="R51" s="16"/>
      <c r="S51" s="16"/>
      <c r="T51" s="16"/>
      <c r="U51" s="16"/>
      <c r="V51" s="16"/>
      <c r="W51" s="16"/>
      <c r="X51" s="16"/>
      <c r="Y51" s="16"/>
      <c r="Z51" s="45"/>
      <c r="AA51" s="63"/>
      <c r="AB51" s="63"/>
    </row>
    <row r="52" spans="1:28" ht="15.75" x14ac:dyDescent="0.25">
      <c r="A52" s="2" t="s">
        <v>6</v>
      </c>
      <c r="B52" s="145">
        <f>B53+B54</f>
        <v>10</v>
      </c>
      <c r="C52" s="99"/>
      <c r="D52" s="68"/>
      <c r="E52" s="16" t="s">
        <v>228</v>
      </c>
      <c r="F52" s="44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68"/>
      <c r="R52" s="16"/>
      <c r="S52" s="16"/>
      <c r="T52" s="16"/>
      <c r="U52" s="16"/>
      <c r="V52" s="16"/>
      <c r="W52" s="16"/>
      <c r="X52" s="16"/>
      <c r="Y52" s="16"/>
      <c r="Z52" s="45"/>
      <c r="AA52" s="63"/>
      <c r="AB52" s="63"/>
    </row>
    <row r="53" spans="1:28" ht="15.75" x14ac:dyDescent="0.25">
      <c r="A53" s="2" t="s">
        <v>275</v>
      </c>
      <c r="B53" s="146">
        <v>10</v>
      </c>
      <c r="C53" s="99"/>
      <c r="D53" s="68"/>
      <c r="E53" s="16" t="s">
        <v>228</v>
      </c>
      <c r="F53" s="44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68"/>
      <c r="R53" s="16"/>
      <c r="S53" s="16"/>
      <c r="T53" s="16"/>
      <c r="U53" s="16"/>
      <c r="V53" s="16"/>
      <c r="W53" s="16"/>
      <c r="X53" s="16"/>
      <c r="Y53" s="16"/>
      <c r="Z53" s="45"/>
      <c r="AA53" s="63"/>
      <c r="AB53" s="63"/>
    </row>
    <row r="54" spans="1:28" ht="15.75" x14ac:dyDescent="0.25">
      <c r="A54" s="2" t="s">
        <v>276</v>
      </c>
      <c r="B54" s="146"/>
      <c r="C54" s="99"/>
      <c r="D54" s="68"/>
      <c r="E54" s="16" t="s">
        <v>228</v>
      </c>
      <c r="F54" s="44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68"/>
      <c r="R54" s="16"/>
      <c r="S54" s="16"/>
      <c r="T54" s="16"/>
      <c r="U54" s="16"/>
      <c r="V54" s="16"/>
      <c r="W54" s="16"/>
      <c r="X54" s="16"/>
      <c r="Y54" s="16"/>
      <c r="Z54" s="45"/>
      <c r="AA54" s="63"/>
      <c r="AB54" s="63"/>
    </row>
    <row r="55" spans="1:28" ht="15.75" x14ac:dyDescent="0.25">
      <c r="A55" s="46" t="s">
        <v>41</v>
      </c>
      <c r="B55" s="145">
        <f>B56+B57</f>
        <v>0</v>
      </c>
      <c r="C55" s="99"/>
      <c r="D55" s="68"/>
      <c r="E55" s="16" t="s">
        <v>228</v>
      </c>
      <c r="F55" s="44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68"/>
      <c r="R55" s="16"/>
      <c r="S55" s="16"/>
      <c r="T55" s="16"/>
      <c r="U55" s="16"/>
      <c r="V55" s="16"/>
      <c r="W55" s="16"/>
      <c r="X55" s="16"/>
      <c r="Y55" s="16"/>
      <c r="Z55" s="45"/>
      <c r="AA55" s="63"/>
      <c r="AB55" s="63"/>
    </row>
    <row r="56" spans="1:28" ht="15.75" x14ac:dyDescent="0.25">
      <c r="A56" s="2" t="s">
        <v>42</v>
      </c>
      <c r="B56" s="146"/>
      <c r="C56" s="99"/>
      <c r="D56" s="67"/>
      <c r="E56" s="70" t="s">
        <v>228</v>
      </c>
      <c r="F56" s="72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67"/>
      <c r="R56" s="16"/>
      <c r="S56" s="16"/>
      <c r="T56" s="16"/>
      <c r="U56" s="16"/>
      <c r="V56" s="16"/>
      <c r="W56" s="16"/>
      <c r="X56" s="16"/>
      <c r="Y56" s="16"/>
      <c r="Z56" s="45"/>
      <c r="AA56" s="63"/>
      <c r="AB56" s="63"/>
    </row>
    <row r="57" spans="1:28" ht="15.75" x14ac:dyDescent="0.25">
      <c r="A57" s="2" t="s">
        <v>189</v>
      </c>
      <c r="B57" s="146"/>
      <c r="C57" s="99"/>
      <c r="D57" s="68"/>
      <c r="E57" s="71" t="s">
        <v>228</v>
      </c>
      <c r="F57" s="44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68"/>
      <c r="R57" s="16"/>
      <c r="S57" s="16"/>
      <c r="T57" s="16"/>
      <c r="U57" s="16"/>
      <c r="V57" s="16"/>
      <c r="W57" s="16"/>
      <c r="X57" s="16"/>
      <c r="Y57" s="16"/>
      <c r="Z57" s="45"/>
      <c r="AA57" s="63"/>
      <c r="AB57" s="63"/>
    </row>
    <row r="58" spans="1:28" ht="15.75" x14ac:dyDescent="0.25">
      <c r="A58" s="46" t="s">
        <v>43</v>
      </c>
      <c r="B58" s="145">
        <f>B59+B60</f>
        <v>0</v>
      </c>
      <c r="C58" s="99"/>
      <c r="D58" s="68"/>
      <c r="E58" s="71" t="s">
        <v>228</v>
      </c>
      <c r="F58" s="44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68"/>
      <c r="R58" s="16"/>
      <c r="S58" s="16"/>
      <c r="T58" s="16"/>
      <c r="U58" s="16"/>
      <c r="V58" s="16"/>
      <c r="W58" s="16"/>
      <c r="X58" s="16"/>
      <c r="Y58" s="16"/>
      <c r="Z58" s="45"/>
      <c r="AA58" s="63"/>
      <c r="AB58" s="63"/>
    </row>
    <row r="59" spans="1:28" ht="15.75" x14ac:dyDescent="0.25">
      <c r="A59" s="2" t="s">
        <v>44</v>
      </c>
      <c r="B59" s="146"/>
      <c r="C59" s="99"/>
      <c r="D59" s="68"/>
      <c r="E59" s="71" t="s">
        <v>228</v>
      </c>
      <c r="F59" s="44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68"/>
      <c r="R59" s="16"/>
      <c r="S59" s="16"/>
      <c r="T59" s="16"/>
      <c r="U59" s="16"/>
      <c r="V59" s="16"/>
      <c r="W59" s="16"/>
      <c r="X59" s="16"/>
      <c r="Y59" s="16"/>
      <c r="Z59" s="45"/>
      <c r="AA59" s="63"/>
      <c r="AB59" s="63"/>
    </row>
    <row r="60" spans="1:28" ht="15.75" x14ac:dyDescent="0.25">
      <c r="A60" s="2" t="s">
        <v>190</v>
      </c>
      <c r="B60" s="146"/>
      <c r="C60" s="99"/>
      <c r="D60" s="68"/>
      <c r="E60" s="16" t="s">
        <v>228</v>
      </c>
      <c r="F60" s="44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68"/>
      <c r="R60" s="16"/>
      <c r="S60" s="16"/>
      <c r="T60" s="16"/>
      <c r="U60" s="16"/>
      <c r="V60" s="16"/>
      <c r="W60" s="16"/>
      <c r="X60" s="16"/>
      <c r="Y60" s="16"/>
      <c r="Z60" s="45"/>
      <c r="AA60" s="63"/>
      <c r="AB60" s="63"/>
    </row>
    <row r="61" spans="1:28" ht="15.75" x14ac:dyDescent="0.25">
      <c r="A61" s="46" t="s">
        <v>7</v>
      </c>
      <c r="B61" s="145">
        <f>B62+B65</f>
        <v>0</v>
      </c>
      <c r="C61" s="99"/>
      <c r="D61" s="68"/>
      <c r="E61" s="16" t="s">
        <v>228</v>
      </c>
      <c r="F61" s="44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68"/>
      <c r="R61" s="16"/>
      <c r="S61" s="16"/>
      <c r="T61" s="16"/>
      <c r="U61" s="16"/>
      <c r="V61" s="16"/>
      <c r="W61" s="16"/>
      <c r="X61" s="16"/>
      <c r="Y61" s="16"/>
      <c r="Z61" s="45"/>
      <c r="AA61" s="63"/>
      <c r="AB61" s="63"/>
    </row>
    <row r="62" spans="1:28" ht="15.75" x14ac:dyDescent="0.25">
      <c r="A62" s="2" t="s">
        <v>45</v>
      </c>
      <c r="B62" s="145">
        <f>B63+B64</f>
        <v>0</v>
      </c>
      <c r="C62" s="99"/>
      <c r="D62" s="68"/>
      <c r="E62" s="16" t="s">
        <v>228</v>
      </c>
      <c r="F62" s="44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68"/>
      <c r="R62" s="16"/>
      <c r="S62" s="16"/>
      <c r="T62" s="16"/>
      <c r="U62" s="16"/>
      <c r="V62" s="16"/>
      <c r="W62" s="16"/>
      <c r="X62" s="16"/>
      <c r="Y62" s="16"/>
      <c r="Z62" s="45"/>
      <c r="AA62" s="63"/>
      <c r="AB62" s="63"/>
    </row>
    <row r="63" spans="1:28" ht="15.75" x14ac:dyDescent="0.25">
      <c r="A63" s="2" t="s">
        <v>46</v>
      </c>
      <c r="B63" s="146"/>
      <c r="C63" s="99"/>
      <c r="D63" s="68"/>
      <c r="E63" s="16" t="s">
        <v>228</v>
      </c>
      <c r="F63" s="44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68"/>
      <c r="R63" s="16"/>
      <c r="S63" s="16"/>
      <c r="T63" s="16"/>
      <c r="U63" s="16"/>
      <c r="V63" s="16"/>
      <c r="W63" s="16"/>
      <c r="X63" s="16"/>
      <c r="Y63" s="16"/>
      <c r="Z63" s="45"/>
      <c r="AA63" s="63"/>
      <c r="AB63" s="63"/>
    </row>
    <row r="64" spans="1:28" ht="15.75" x14ac:dyDescent="0.25">
      <c r="A64" s="2" t="s">
        <v>191</v>
      </c>
      <c r="B64" s="146"/>
      <c r="C64" s="99"/>
      <c r="D64" s="68"/>
      <c r="E64" s="16" t="s">
        <v>228</v>
      </c>
      <c r="F64" s="44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68"/>
      <c r="R64" s="16"/>
      <c r="S64" s="16"/>
      <c r="T64" s="16"/>
      <c r="U64" s="16"/>
      <c r="V64" s="16"/>
      <c r="W64" s="16"/>
      <c r="X64" s="16"/>
      <c r="Y64" s="16"/>
      <c r="Z64" s="45"/>
      <c r="AA64" s="63"/>
      <c r="AB64" s="63"/>
    </row>
    <row r="65" spans="1:28" ht="15.75" x14ac:dyDescent="0.25">
      <c r="A65" s="2" t="s">
        <v>47</v>
      </c>
      <c r="B65" s="145">
        <f>B66+B67</f>
        <v>0</v>
      </c>
      <c r="C65" s="99"/>
      <c r="D65" s="68"/>
      <c r="E65" s="16" t="s">
        <v>228</v>
      </c>
      <c r="F65" s="44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68"/>
      <c r="R65" s="16"/>
      <c r="S65" s="16"/>
      <c r="T65" s="16"/>
      <c r="U65" s="16"/>
      <c r="V65" s="16"/>
      <c r="W65" s="16"/>
      <c r="X65" s="16"/>
      <c r="Y65" s="16"/>
      <c r="Z65" s="45"/>
      <c r="AA65" s="63"/>
      <c r="AB65" s="63"/>
    </row>
    <row r="66" spans="1:28" ht="15.75" x14ac:dyDescent="0.25">
      <c r="A66" s="2" t="s">
        <v>48</v>
      </c>
      <c r="B66" s="146"/>
      <c r="C66" s="99"/>
      <c r="D66" s="68"/>
      <c r="E66" s="16" t="s">
        <v>228</v>
      </c>
      <c r="F66" s="44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68"/>
      <c r="R66" s="16"/>
      <c r="S66" s="16"/>
      <c r="T66" s="16"/>
      <c r="U66" s="16"/>
      <c r="V66" s="16"/>
      <c r="W66" s="16"/>
      <c r="X66" s="16"/>
      <c r="Y66" s="16"/>
      <c r="Z66" s="45"/>
      <c r="AA66" s="63"/>
      <c r="AB66" s="63"/>
    </row>
    <row r="67" spans="1:28" ht="15.75" x14ac:dyDescent="0.25">
      <c r="A67" s="2" t="s">
        <v>192</v>
      </c>
      <c r="B67" s="146"/>
      <c r="C67" s="99"/>
      <c r="D67" s="68"/>
      <c r="E67" s="16" t="s">
        <v>228</v>
      </c>
      <c r="F67" s="44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68"/>
      <c r="R67" s="16"/>
      <c r="S67" s="16"/>
      <c r="T67" s="16"/>
      <c r="U67" s="16"/>
      <c r="V67" s="16"/>
      <c r="W67" s="16"/>
      <c r="X67" s="16"/>
      <c r="Y67" s="16"/>
      <c r="Z67" s="45"/>
      <c r="AA67" s="63"/>
      <c r="AB67" s="63"/>
    </row>
    <row r="68" spans="1:28" ht="15.75" x14ac:dyDescent="0.25">
      <c r="A68" s="46" t="s">
        <v>49</v>
      </c>
      <c r="B68" s="145">
        <f>B69+B70</f>
        <v>0</v>
      </c>
      <c r="C68" s="99"/>
      <c r="D68" s="68"/>
      <c r="E68" s="16" t="s">
        <v>228</v>
      </c>
      <c r="F68" s="44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68"/>
      <c r="R68" s="16"/>
      <c r="S68" s="16"/>
      <c r="T68" s="16"/>
      <c r="U68" s="16"/>
      <c r="V68" s="16"/>
      <c r="W68" s="16"/>
      <c r="X68" s="16"/>
      <c r="Y68" s="16"/>
      <c r="Z68" s="45"/>
      <c r="AA68" s="63"/>
      <c r="AB68" s="63"/>
    </row>
    <row r="69" spans="1:28" ht="15.75" x14ac:dyDescent="0.25">
      <c r="A69" s="2" t="s">
        <v>50</v>
      </c>
      <c r="B69" s="146"/>
      <c r="C69" s="99"/>
      <c r="D69" s="68"/>
      <c r="E69" s="16" t="s">
        <v>228</v>
      </c>
      <c r="F69" s="44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68"/>
      <c r="R69" s="16"/>
      <c r="S69" s="16"/>
      <c r="T69" s="16"/>
      <c r="U69" s="16"/>
      <c r="V69" s="16"/>
      <c r="W69" s="16"/>
      <c r="X69" s="16"/>
      <c r="Y69" s="16"/>
      <c r="Z69" s="45"/>
      <c r="AA69" s="63"/>
      <c r="AB69" s="63"/>
    </row>
    <row r="70" spans="1:28" ht="15.75" x14ac:dyDescent="0.25">
      <c r="A70" s="2" t="s">
        <v>193</v>
      </c>
      <c r="B70" s="146"/>
      <c r="C70" s="99"/>
      <c r="D70" s="68"/>
      <c r="E70" s="16" t="s">
        <v>228</v>
      </c>
      <c r="F70" s="44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68"/>
      <c r="R70" s="16"/>
      <c r="S70" s="16"/>
      <c r="T70" s="16"/>
      <c r="U70" s="16"/>
      <c r="V70" s="16"/>
      <c r="W70" s="16"/>
      <c r="X70" s="16"/>
      <c r="Y70" s="16"/>
      <c r="Z70" s="45"/>
      <c r="AA70" s="63"/>
      <c r="AB70" s="63"/>
    </row>
    <row r="71" spans="1:28" ht="15.75" x14ac:dyDescent="0.25">
      <c r="A71" s="46" t="s">
        <v>51</v>
      </c>
      <c r="B71" s="145">
        <f>B72+B73</f>
        <v>0</v>
      </c>
      <c r="C71" s="99"/>
      <c r="D71" s="68"/>
      <c r="E71" s="16" t="s">
        <v>228</v>
      </c>
      <c r="F71" s="44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68"/>
      <c r="R71" s="16"/>
      <c r="S71" s="16"/>
      <c r="T71" s="16"/>
      <c r="U71" s="16"/>
      <c r="V71" s="16"/>
      <c r="W71" s="16"/>
      <c r="X71" s="16"/>
      <c r="Y71" s="16"/>
      <c r="Z71" s="45"/>
      <c r="AA71" s="63"/>
      <c r="AB71" s="63"/>
    </row>
    <row r="72" spans="1:28" ht="15.75" x14ac:dyDescent="0.25">
      <c r="A72" s="2" t="s">
        <v>52</v>
      </c>
      <c r="B72" s="146"/>
      <c r="C72" s="99"/>
      <c r="D72" s="68"/>
      <c r="E72" s="16" t="s">
        <v>228</v>
      </c>
      <c r="F72" s="44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68"/>
      <c r="R72" s="16"/>
      <c r="S72" s="16"/>
      <c r="T72" s="16"/>
      <c r="U72" s="16"/>
      <c r="V72" s="16"/>
      <c r="W72" s="16"/>
      <c r="X72" s="16"/>
      <c r="Y72" s="16"/>
      <c r="Z72" s="45"/>
      <c r="AA72" s="63"/>
      <c r="AB72" s="63"/>
    </row>
    <row r="73" spans="1:28" ht="15.75" x14ac:dyDescent="0.25">
      <c r="A73" s="2" t="s">
        <v>194</v>
      </c>
      <c r="B73" s="146"/>
      <c r="C73" s="99"/>
      <c r="D73" s="68"/>
      <c r="E73" s="16" t="s">
        <v>228</v>
      </c>
      <c r="F73" s="44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68"/>
      <c r="R73" s="16"/>
      <c r="S73" s="16"/>
      <c r="T73" s="16"/>
      <c r="U73" s="16"/>
      <c r="V73" s="16"/>
      <c r="W73" s="16"/>
      <c r="X73" s="16"/>
      <c r="Y73" s="16"/>
      <c r="Z73" s="45"/>
      <c r="AA73" s="63"/>
      <c r="AB73" s="63"/>
    </row>
    <row r="74" spans="1:28" ht="15.75" x14ac:dyDescent="0.25">
      <c r="A74" s="46" t="s">
        <v>53</v>
      </c>
      <c r="B74" s="145">
        <f>B75+B76</f>
        <v>0</v>
      </c>
      <c r="C74" s="99"/>
      <c r="D74" s="68"/>
      <c r="E74" s="16" t="s">
        <v>228</v>
      </c>
      <c r="F74" s="160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68"/>
      <c r="R74" s="16"/>
      <c r="S74" s="16"/>
      <c r="T74" s="16"/>
      <c r="U74" s="16"/>
      <c r="V74" s="16"/>
      <c r="W74" s="16"/>
      <c r="X74" s="16"/>
      <c r="Y74" s="16"/>
      <c r="Z74" s="45"/>
      <c r="AA74" s="63"/>
      <c r="AB74" s="63"/>
    </row>
    <row r="75" spans="1:28" ht="15.75" x14ac:dyDescent="0.25">
      <c r="A75" s="2" t="s">
        <v>54</v>
      </c>
      <c r="B75" s="146"/>
      <c r="C75" s="99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16"/>
      <c r="S75" s="16"/>
      <c r="T75" s="16"/>
      <c r="U75" s="16"/>
      <c r="V75" s="16"/>
      <c r="W75" s="16"/>
      <c r="X75" s="16"/>
      <c r="Y75" s="16"/>
      <c r="Z75" s="45"/>
      <c r="AA75" s="63"/>
      <c r="AB75" s="63"/>
    </row>
    <row r="76" spans="1:28" ht="15.75" x14ac:dyDescent="0.25">
      <c r="A76" s="2" t="s">
        <v>195</v>
      </c>
      <c r="B76" s="146"/>
      <c r="C76" s="99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45"/>
      <c r="AA76" s="63"/>
      <c r="AB76" s="63"/>
    </row>
    <row r="77" spans="1:28" ht="15.75" x14ac:dyDescent="0.25">
      <c r="A77" s="46" t="s">
        <v>319</v>
      </c>
      <c r="B77" s="145">
        <f>B78+B79</f>
        <v>0</v>
      </c>
      <c r="C77" s="99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45"/>
      <c r="AA77" s="63"/>
      <c r="AB77" s="63"/>
    </row>
    <row r="78" spans="1:28" ht="15.75" x14ac:dyDescent="0.25">
      <c r="A78" s="2" t="s">
        <v>72</v>
      </c>
      <c r="B78" s="146"/>
      <c r="C78" s="99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45"/>
      <c r="AA78" s="63"/>
      <c r="AB78" s="63"/>
    </row>
    <row r="79" spans="1:28" ht="15.75" x14ac:dyDescent="0.25">
      <c r="A79" s="55" t="s">
        <v>196</v>
      </c>
      <c r="B79" s="146"/>
      <c r="C79" s="99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45"/>
      <c r="AA79" s="63"/>
      <c r="AB79" s="63"/>
    </row>
    <row r="80" spans="1:28" ht="15.75" x14ac:dyDescent="0.25">
      <c r="A80" s="46" t="s">
        <v>271</v>
      </c>
      <c r="B80" s="145">
        <f>B81+B82</f>
        <v>0</v>
      </c>
      <c r="C80" s="99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45"/>
      <c r="AA80" s="63"/>
      <c r="AB80" s="63"/>
    </row>
    <row r="81" spans="1:28" ht="15.75" x14ac:dyDescent="0.25">
      <c r="A81" s="2" t="s">
        <v>272</v>
      </c>
      <c r="B81" s="146"/>
      <c r="C81" s="99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45"/>
      <c r="AA81" s="63"/>
      <c r="AB81" s="63"/>
    </row>
    <row r="82" spans="1:28" ht="15.75" x14ac:dyDescent="0.25">
      <c r="A82" s="55" t="s">
        <v>273</v>
      </c>
      <c r="B82" s="146">
        <v>0</v>
      </c>
      <c r="C82" s="99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45"/>
      <c r="AA82" s="63"/>
      <c r="AB82" s="63"/>
    </row>
    <row r="83" spans="1:28" ht="15.75" x14ac:dyDescent="0.25">
      <c r="A83" s="56" t="s">
        <v>55</v>
      </c>
      <c r="B83" s="145">
        <f>B84+B97+B100+B103+B110+B113+B116+B119</f>
        <v>10</v>
      </c>
      <c r="C83" s="99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45"/>
      <c r="AA83" s="63"/>
      <c r="AB83" s="63"/>
    </row>
    <row r="84" spans="1:28" ht="15.75" x14ac:dyDescent="0.25">
      <c r="A84" s="57" t="s">
        <v>56</v>
      </c>
      <c r="B84" s="145">
        <f>B85+B88+B91+B94</f>
        <v>10</v>
      </c>
      <c r="C84" s="99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45"/>
      <c r="AA84" s="63"/>
      <c r="AB84" s="63"/>
    </row>
    <row r="85" spans="1:28" ht="15.75" x14ac:dyDescent="0.25">
      <c r="A85" s="55" t="s">
        <v>57</v>
      </c>
      <c r="B85" s="145">
        <f>B86+B87</f>
        <v>0</v>
      </c>
      <c r="C85" s="99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45"/>
      <c r="AA85" s="63"/>
      <c r="AB85" s="63"/>
    </row>
    <row r="86" spans="1:28" ht="15.75" x14ac:dyDescent="0.25">
      <c r="A86" s="55" t="s">
        <v>58</v>
      </c>
      <c r="B86" s="146"/>
      <c r="C86" s="99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45"/>
      <c r="AA86" s="63"/>
      <c r="AB86" s="63"/>
    </row>
    <row r="87" spans="1:28" ht="15.75" x14ac:dyDescent="0.25">
      <c r="A87" s="55" t="s">
        <v>197</v>
      </c>
      <c r="B87" s="146"/>
      <c r="C87" s="99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45"/>
      <c r="AA87" s="63"/>
      <c r="AB87" s="63"/>
    </row>
    <row r="88" spans="1:28" ht="15.75" x14ac:dyDescent="0.25">
      <c r="A88" s="55" t="s">
        <v>237</v>
      </c>
      <c r="B88" s="145">
        <f>B89+B90</f>
        <v>10</v>
      </c>
      <c r="C88" s="99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45"/>
      <c r="AA88" s="63"/>
      <c r="AB88" s="63"/>
    </row>
    <row r="89" spans="1:28" ht="15.75" x14ac:dyDescent="0.25">
      <c r="A89" s="55" t="s">
        <v>59</v>
      </c>
      <c r="B89" s="146">
        <v>10</v>
      </c>
      <c r="C89" s="99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45"/>
      <c r="AA89" s="63"/>
      <c r="AB89" s="63"/>
    </row>
    <row r="90" spans="1:28" ht="15.75" x14ac:dyDescent="0.25">
      <c r="A90" s="55" t="s">
        <v>198</v>
      </c>
      <c r="B90" s="146"/>
      <c r="C90" s="99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45"/>
      <c r="AA90" s="63"/>
      <c r="AB90" s="63"/>
    </row>
    <row r="91" spans="1:28" ht="15.75" x14ac:dyDescent="0.25">
      <c r="A91" s="55" t="s">
        <v>60</v>
      </c>
      <c r="B91" s="145">
        <f>B92+B93</f>
        <v>0</v>
      </c>
      <c r="C91" s="99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45"/>
      <c r="AA91" s="63"/>
      <c r="AB91" s="63"/>
    </row>
    <row r="92" spans="1:28" ht="15.75" x14ac:dyDescent="0.25">
      <c r="A92" s="55" t="s">
        <v>61</v>
      </c>
      <c r="B92" s="146"/>
      <c r="C92" s="99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45"/>
      <c r="AA92" s="63"/>
      <c r="AB92" s="63"/>
    </row>
    <row r="93" spans="1:28" ht="15.75" x14ac:dyDescent="0.25">
      <c r="A93" s="55" t="s">
        <v>199</v>
      </c>
      <c r="B93" s="146"/>
      <c r="C93" s="99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45"/>
      <c r="AA93" s="63"/>
      <c r="AB93" s="63"/>
    </row>
    <row r="94" spans="1:28" ht="15.75" x14ac:dyDescent="0.25">
      <c r="A94" s="55" t="s">
        <v>62</v>
      </c>
      <c r="B94" s="145">
        <f>B95+B96</f>
        <v>0</v>
      </c>
      <c r="C94" s="99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45"/>
      <c r="AA94" s="63"/>
      <c r="AB94" s="63"/>
    </row>
    <row r="95" spans="1:28" ht="15.75" x14ac:dyDescent="0.25">
      <c r="A95" s="55" t="s">
        <v>63</v>
      </c>
      <c r="B95" s="146"/>
      <c r="C95" s="99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45"/>
      <c r="AA95" s="63"/>
      <c r="AB95" s="63"/>
    </row>
    <row r="96" spans="1:28" ht="15.75" x14ac:dyDescent="0.25">
      <c r="A96" s="55" t="s">
        <v>200</v>
      </c>
      <c r="B96" s="146"/>
      <c r="C96" s="99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45"/>
      <c r="AA96" s="63"/>
      <c r="AB96" s="63"/>
    </row>
    <row r="97" spans="1:28" ht="15.75" x14ac:dyDescent="0.25">
      <c r="A97" s="57" t="s">
        <v>64</v>
      </c>
      <c r="B97" s="145">
        <f>B98+B99</f>
        <v>0</v>
      </c>
      <c r="C97" s="99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45"/>
      <c r="AA97" s="63"/>
      <c r="AB97" s="63"/>
    </row>
    <row r="98" spans="1:28" ht="15.75" x14ac:dyDescent="0.25">
      <c r="A98" s="55" t="s">
        <v>65</v>
      </c>
      <c r="B98" s="146"/>
      <c r="C98" s="99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45"/>
      <c r="AA98" s="63"/>
      <c r="AB98" s="63"/>
    </row>
    <row r="99" spans="1:28" ht="15.75" x14ac:dyDescent="0.25">
      <c r="A99" s="55" t="s">
        <v>201</v>
      </c>
      <c r="B99" s="146"/>
      <c r="C99" s="99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45"/>
      <c r="AA99" s="63"/>
      <c r="AB99" s="63"/>
    </row>
    <row r="100" spans="1:28" ht="15.75" x14ac:dyDescent="0.25">
      <c r="A100" s="57" t="s">
        <v>66</v>
      </c>
      <c r="B100" s="145">
        <f>B101+B102</f>
        <v>0</v>
      </c>
      <c r="C100" s="99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45"/>
      <c r="AA100" s="63"/>
      <c r="AB100" s="63"/>
    </row>
    <row r="101" spans="1:28" ht="15.75" x14ac:dyDescent="0.25">
      <c r="A101" s="55" t="s">
        <v>67</v>
      </c>
      <c r="B101" s="146"/>
      <c r="C101" s="99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45"/>
      <c r="AA101" s="63"/>
      <c r="AB101" s="63"/>
    </row>
    <row r="102" spans="1:28" ht="15.75" x14ac:dyDescent="0.25">
      <c r="A102" s="55" t="s">
        <v>202</v>
      </c>
      <c r="B102" s="146"/>
      <c r="C102" s="99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45"/>
      <c r="AA102" s="63"/>
      <c r="AB102" s="63"/>
    </row>
    <row r="103" spans="1:28" ht="15.75" x14ac:dyDescent="0.25">
      <c r="A103" s="57" t="s">
        <v>68</v>
      </c>
      <c r="B103" s="145">
        <f>B104+B107</f>
        <v>0</v>
      </c>
      <c r="C103" s="99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45"/>
      <c r="AA103" s="63"/>
      <c r="AB103" s="63"/>
    </row>
    <row r="104" spans="1:28" ht="15.75" x14ac:dyDescent="0.25">
      <c r="A104" s="55" t="s">
        <v>238</v>
      </c>
      <c r="B104" s="145">
        <f>B105+B106</f>
        <v>0</v>
      </c>
      <c r="C104" s="99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45"/>
      <c r="AA104" s="63"/>
      <c r="AB104" s="63"/>
    </row>
    <row r="105" spans="1:28" ht="15.75" x14ac:dyDescent="0.25">
      <c r="A105" s="2" t="s">
        <v>239</v>
      </c>
      <c r="B105" s="146"/>
      <c r="C105" s="99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45"/>
      <c r="AA105" s="63"/>
      <c r="AB105" s="63"/>
    </row>
    <row r="106" spans="1:28" ht="15.75" x14ac:dyDescent="0.25">
      <c r="A106" s="2" t="s">
        <v>240</v>
      </c>
      <c r="B106" s="146"/>
      <c r="C106" s="99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45"/>
      <c r="AA106" s="63"/>
      <c r="AB106" s="63"/>
    </row>
    <row r="107" spans="1:28" ht="15.75" x14ac:dyDescent="0.25">
      <c r="A107" s="2" t="s">
        <v>241</v>
      </c>
      <c r="B107" s="145">
        <f>B108+B109</f>
        <v>0</v>
      </c>
      <c r="C107" s="99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45"/>
      <c r="AA107" s="63"/>
      <c r="AB107" s="63"/>
    </row>
    <row r="108" spans="1:28" ht="15.75" x14ac:dyDescent="0.25">
      <c r="A108" s="2" t="s">
        <v>242</v>
      </c>
      <c r="B108" s="146"/>
      <c r="C108" s="99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45"/>
      <c r="AA108" s="63"/>
      <c r="AB108" s="63"/>
    </row>
    <row r="109" spans="1:28" ht="15.75" x14ac:dyDescent="0.25">
      <c r="A109" s="55" t="s">
        <v>243</v>
      </c>
      <c r="B109" s="146"/>
      <c r="C109" s="99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45"/>
      <c r="AA109" s="63"/>
      <c r="AB109" s="63"/>
    </row>
    <row r="110" spans="1:28" ht="15.75" x14ac:dyDescent="0.25">
      <c r="A110" s="57" t="s">
        <v>69</v>
      </c>
      <c r="B110" s="145">
        <f>B111+B112</f>
        <v>0</v>
      </c>
      <c r="C110" s="99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45"/>
      <c r="AA110" s="63"/>
      <c r="AB110" s="63"/>
    </row>
    <row r="111" spans="1:28" ht="15.75" x14ac:dyDescent="0.25">
      <c r="A111" s="55" t="s">
        <v>244</v>
      </c>
      <c r="B111" s="146"/>
      <c r="C111" s="99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45"/>
      <c r="AA111" s="63"/>
      <c r="AB111" s="63"/>
    </row>
    <row r="112" spans="1:28" ht="15.75" x14ac:dyDescent="0.25">
      <c r="A112" s="55" t="s">
        <v>245</v>
      </c>
      <c r="B112" s="146"/>
      <c r="C112" s="99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45"/>
      <c r="AA112" s="63"/>
      <c r="AB112" s="63"/>
    </row>
    <row r="113" spans="1:28" ht="15.75" x14ac:dyDescent="0.25">
      <c r="A113" s="57" t="s">
        <v>70</v>
      </c>
      <c r="B113" s="145">
        <f>B114+B115</f>
        <v>0</v>
      </c>
      <c r="C113" s="99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45"/>
      <c r="AA113" s="63"/>
      <c r="AB113" s="63"/>
    </row>
    <row r="114" spans="1:28" ht="15.75" x14ac:dyDescent="0.25">
      <c r="A114" s="55" t="s">
        <v>246</v>
      </c>
      <c r="B114" s="146"/>
      <c r="C114" s="99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45"/>
      <c r="AA114" s="63"/>
      <c r="AB114" s="63"/>
    </row>
    <row r="115" spans="1:28" ht="15.75" x14ac:dyDescent="0.25">
      <c r="A115" s="55" t="s">
        <v>247</v>
      </c>
      <c r="B115" s="146"/>
      <c r="C115" s="99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45"/>
      <c r="AA115" s="63"/>
      <c r="AB115" s="63"/>
    </row>
    <row r="116" spans="1:28" ht="15.75" x14ac:dyDescent="0.25">
      <c r="A116" s="57" t="s">
        <v>71</v>
      </c>
      <c r="B116" s="145">
        <f>B117+B118</f>
        <v>0</v>
      </c>
      <c r="C116" s="99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45"/>
      <c r="AA116" s="63"/>
      <c r="AB116" s="63"/>
    </row>
    <row r="117" spans="1:28" ht="15.75" x14ac:dyDescent="0.25">
      <c r="A117" s="55" t="s">
        <v>248</v>
      </c>
      <c r="B117" s="146"/>
      <c r="C117" s="99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45"/>
      <c r="AA117" s="63"/>
      <c r="AB117" s="63"/>
    </row>
    <row r="118" spans="1:28" ht="15.75" x14ac:dyDescent="0.25">
      <c r="A118" s="55" t="s">
        <v>249</v>
      </c>
      <c r="B118" s="146"/>
      <c r="C118" s="99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45"/>
      <c r="AA118" s="63"/>
      <c r="AB118" s="63"/>
    </row>
    <row r="119" spans="1:28" ht="15.75" x14ac:dyDescent="0.25">
      <c r="A119" s="57" t="s">
        <v>320</v>
      </c>
      <c r="B119" s="145">
        <f>B120+B121</f>
        <v>0</v>
      </c>
      <c r="C119" s="99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45"/>
      <c r="AA119" s="63"/>
      <c r="AB119" s="63"/>
    </row>
    <row r="120" spans="1:28" ht="15.75" x14ac:dyDescent="0.25">
      <c r="A120" s="55" t="s">
        <v>250</v>
      </c>
      <c r="B120" s="146"/>
      <c r="C120" s="99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45"/>
      <c r="AA120" s="63"/>
      <c r="AB120" s="63"/>
    </row>
    <row r="121" spans="1:28" ht="15.75" x14ac:dyDescent="0.25">
      <c r="A121" s="55" t="s">
        <v>251</v>
      </c>
      <c r="B121" s="146"/>
      <c r="C121" s="99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45"/>
      <c r="AA121" s="63"/>
      <c r="AB121" s="63"/>
    </row>
    <row r="122" spans="1:28" ht="15.75" x14ac:dyDescent="0.25">
      <c r="A122" s="57" t="s">
        <v>270</v>
      </c>
      <c r="B122" s="146">
        <v>0</v>
      </c>
      <c r="C122" s="99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45"/>
      <c r="AA122" s="63"/>
      <c r="AB122" s="63"/>
    </row>
    <row r="123" spans="1:28" ht="15.75" x14ac:dyDescent="0.25">
      <c r="A123" s="56" t="s">
        <v>73</v>
      </c>
      <c r="B123" s="145">
        <f>B124+B146+B153+B156+B160+B163+B166+B169+B172</f>
        <v>0</v>
      </c>
      <c r="C123" s="99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45"/>
      <c r="AA123" s="63"/>
      <c r="AB123" s="63"/>
    </row>
    <row r="124" spans="1:28" ht="15.75" x14ac:dyDescent="0.25">
      <c r="A124" s="57" t="s">
        <v>8</v>
      </c>
      <c r="B124" s="145">
        <f>B125+B132+B135+B139</f>
        <v>0</v>
      </c>
      <c r="C124" s="99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45"/>
      <c r="AA124" s="63"/>
      <c r="AB124" s="63"/>
    </row>
    <row r="125" spans="1:28" ht="15.75" x14ac:dyDescent="0.25">
      <c r="A125" s="55" t="s">
        <v>9</v>
      </c>
      <c r="B125" s="145">
        <f>B126+B129</f>
        <v>0</v>
      </c>
      <c r="C125" s="99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45"/>
      <c r="AA125" s="63"/>
      <c r="AB125" s="63"/>
    </row>
    <row r="126" spans="1:28" ht="15.75" x14ac:dyDescent="0.25">
      <c r="A126" s="55" t="s">
        <v>264</v>
      </c>
      <c r="B126" s="145">
        <f>B127+B128</f>
        <v>0</v>
      </c>
      <c r="C126" s="99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45"/>
      <c r="AA126" s="63"/>
      <c r="AB126" s="63"/>
    </row>
    <row r="127" spans="1:28" ht="15.75" x14ac:dyDescent="0.25">
      <c r="A127" s="55" t="s">
        <v>265</v>
      </c>
      <c r="B127" s="146"/>
      <c r="C127" s="99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45"/>
      <c r="AA127" s="63"/>
      <c r="AB127" s="63"/>
    </row>
    <row r="128" spans="1:28" ht="15.75" x14ac:dyDescent="0.25">
      <c r="A128" s="55" t="s">
        <v>266</v>
      </c>
      <c r="B128" s="146"/>
      <c r="C128" s="99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45"/>
      <c r="AA128" s="63"/>
      <c r="AB128" s="63"/>
    </row>
    <row r="129" spans="1:28" ht="15.75" x14ac:dyDescent="0.25">
      <c r="A129" s="55" t="s">
        <v>267</v>
      </c>
      <c r="B129" s="145">
        <f>B130+B131</f>
        <v>0</v>
      </c>
      <c r="C129" s="99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45"/>
      <c r="AA129" s="63"/>
      <c r="AB129" s="63"/>
    </row>
    <row r="130" spans="1:28" ht="15.75" x14ac:dyDescent="0.25">
      <c r="A130" s="55" t="s">
        <v>268</v>
      </c>
      <c r="B130" s="146"/>
      <c r="C130" s="99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45"/>
      <c r="AA130" s="63"/>
      <c r="AB130" s="63"/>
    </row>
    <row r="131" spans="1:28" ht="15.75" x14ac:dyDescent="0.25">
      <c r="A131" s="55" t="s">
        <v>269</v>
      </c>
      <c r="B131" s="146"/>
      <c r="C131" s="99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45"/>
      <c r="AA131" s="63"/>
      <c r="AB131" s="63"/>
    </row>
    <row r="132" spans="1:28" ht="15.75" x14ac:dyDescent="0.25">
      <c r="A132" s="55" t="s">
        <v>10</v>
      </c>
      <c r="B132" s="145">
        <f>B133+B134</f>
        <v>0</v>
      </c>
      <c r="C132" s="99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45"/>
      <c r="AA132" s="63"/>
      <c r="AB132" s="63"/>
    </row>
    <row r="133" spans="1:28" ht="15.75" x14ac:dyDescent="0.25">
      <c r="A133" s="55" t="s">
        <v>74</v>
      </c>
      <c r="B133" s="146"/>
      <c r="C133" s="99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45"/>
      <c r="AA133" s="63"/>
      <c r="AB133" s="63"/>
    </row>
    <row r="134" spans="1:28" ht="15.75" x14ac:dyDescent="0.25">
      <c r="A134" s="55" t="s">
        <v>203</v>
      </c>
      <c r="B134" s="146"/>
      <c r="C134" s="99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45"/>
      <c r="AA134" s="63"/>
      <c r="AB134" s="63"/>
    </row>
    <row r="135" spans="1:28" ht="15.75" x14ac:dyDescent="0.25">
      <c r="A135" s="55" t="s">
        <v>11</v>
      </c>
      <c r="B135" s="145">
        <f>B136+B137</f>
        <v>0</v>
      </c>
      <c r="C135" s="99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45"/>
      <c r="AA135" s="63"/>
      <c r="AB135" s="63"/>
    </row>
    <row r="136" spans="1:28" ht="15.75" x14ac:dyDescent="0.25">
      <c r="A136" s="55" t="s">
        <v>75</v>
      </c>
      <c r="B136" s="146"/>
      <c r="C136" s="99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45"/>
      <c r="AA136" s="63"/>
      <c r="AB136" s="63"/>
    </row>
    <row r="137" spans="1:28" ht="15.75" x14ac:dyDescent="0.25">
      <c r="A137" s="55" t="s">
        <v>204</v>
      </c>
      <c r="B137" s="146"/>
      <c r="C137" s="99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45"/>
      <c r="AA137" s="63"/>
      <c r="AB137" s="63"/>
    </row>
    <row r="138" spans="1:28" ht="15.75" x14ac:dyDescent="0.25">
      <c r="A138" s="55" t="s">
        <v>321</v>
      </c>
      <c r="B138" s="148"/>
      <c r="C138" s="99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45"/>
      <c r="AA138" s="63"/>
      <c r="AB138" s="63"/>
    </row>
    <row r="139" spans="1:28" ht="15.75" x14ac:dyDescent="0.25">
      <c r="A139" s="55" t="s">
        <v>322</v>
      </c>
      <c r="B139" s="145">
        <f>B140+B143</f>
        <v>0</v>
      </c>
      <c r="C139" s="99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45"/>
      <c r="AA139" s="63"/>
      <c r="AB139" s="63"/>
    </row>
    <row r="140" spans="1:28" ht="15.75" x14ac:dyDescent="0.25">
      <c r="A140" s="55" t="s">
        <v>150</v>
      </c>
      <c r="B140" s="145">
        <f>B141+B142</f>
        <v>0</v>
      </c>
      <c r="C140" s="99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45"/>
      <c r="AA140" s="63"/>
      <c r="AB140" s="63"/>
    </row>
    <row r="141" spans="1:28" ht="15.75" x14ac:dyDescent="0.25">
      <c r="A141" s="55" t="s">
        <v>151</v>
      </c>
      <c r="B141" s="146"/>
      <c r="C141" s="99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45"/>
      <c r="AA141" s="63"/>
      <c r="AB141" s="63"/>
    </row>
    <row r="142" spans="1:28" ht="15.75" x14ac:dyDescent="0.25">
      <c r="A142" s="55" t="s">
        <v>252</v>
      </c>
      <c r="B142" s="146"/>
      <c r="C142" s="99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45"/>
      <c r="AA142" s="63"/>
      <c r="AB142" s="63"/>
    </row>
    <row r="143" spans="1:28" ht="15.75" x14ac:dyDescent="0.25">
      <c r="A143" s="55" t="s">
        <v>152</v>
      </c>
      <c r="B143" s="145">
        <f>B144+B145</f>
        <v>0</v>
      </c>
      <c r="C143" s="99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45"/>
      <c r="AA143" s="63"/>
      <c r="AB143" s="63"/>
    </row>
    <row r="144" spans="1:28" ht="15.75" x14ac:dyDescent="0.25">
      <c r="A144" s="55" t="s">
        <v>153</v>
      </c>
      <c r="B144" s="146"/>
      <c r="C144" s="99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45"/>
      <c r="AA144" s="63"/>
      <c r="AB144" s="63"/>
    </row>
    <row r="145" spans="1:28" ht="15.75" x14ac:dyDescent="0.25">
      <c r="A145" s="55" t="s">
        <v>205</v>
      </c>
      <c r="B145" s="146"/>
      <c r="C145" s="99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45"/>
      <c r="AA145" s="63"/>
      <c r="AB145" s="63"/>
    </row>
    <row r="146" spans="1:28" ht="15.75" x14ac:dyDescent="0.25">
      <c r="A146" s="57" t="s">
        <v>76</v>
      </c>
      <c r="B146" s="145">
        <f>B147+B150</f>
        <v>0</v>
      </c>
      <c r="C146" s="99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45"/>
      <c r="AA146" s="63"/>
      <c r="AB146" s="63"/>
    </row>
    <row r="147" spans="1:28" ht="15.75" x14ac:dyDescent="0.25">
      <c r="A147" s="2" t="s">
        <v>77</v>
      </c>
      <c r="B147" s="145">
        <f>B148+B149</f>
        <v>0</v>
      </c>
      <c r="C147" s="99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45"/>
      <c r="AA147" s="63"/>
      <c r="AB147" s="63"/>
    </row>
    <row r="148" spans="1:28" ht="15.75" x14ac:dyDescent="0.25">
      <c r="A148" s="2" t="s">
        <v>78</v>
      </c>
      <c r="B148" s="146"/>
      <c r="C148" s="99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45"/>
      <c r="AA148" s="63"/>
      <c r="AB148" s="63"/>
    </row>
    <row r="149" spans="1:28" ht="15.75" x14ac:dyDescent="0.25">
      <c r="A149" s="2" t="s">
        <v>206</v>
      </c>
      <c r="B149" s="146"/>
      <c r="C149" s="99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45"/>
      <c r="AA149" s="63"/>
      <c r="AB149" s="63"/>
    </row>
    <row r="150" spans="1:28" ht="15.75" x14ac:dyDescent="0.25">
      <c r="A150" s="2" t="s">
        <v>79</v>
      </c>
      <c r="B150" s="145">
        <f>B151+B152</f>
        <v>0</v>
      </c>
      <c r="C150" s="99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45"/>
      <c r="AA150" s="63"/>
      <c r="AB150" s="63"/>
    </row>
    <row r="151" spans="1:28" ht="15.75" x14ac:dyDescent="0.25">
      <c r="A151" s="2" t="s">
        <v>80</v>
      </c>
      <c r="B151" s="146"/>
      <c r="C151" s="99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45"/>
      <c r="AA151" s="63"/>
      <c r="AB151" s="63"/>
    </row>
    <row r="152" spans="1:28" ht="15.75" x14ac:dyDescent="0.25">
      <c r="A152" s="55" t="s">
        <v>207</v>
      </c>
      <c r="B152" s="146"/>
      <c r="C152" s="99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45"/>
      <c r="AA152" s="63"/>
      <c r="AB152" s="63"/>
    </row>
    <row r="153" spans="1:28" ht="15.75" x14ac:dyDescent="0.25">
      <c r="A153" s="57" t="s">
        <v>81</v>
      </c>
      <c r="B153" s="145">
        <f>B154+B155</f>
        <v>0</v>
      </c>
      <c r="C153" s="99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45"/>
      <c r="AA153" s="63"/>
      <c r="AB153" s="63"/>
    </row>
    <row r="154" spans="1:28" ht="15.75" x14ac:dyDescent="0.25">
      <c r="A154" s="55" t="s">
        <v>82</v>
      </c>
      <c r="B154" s="146"/>
      <c r="C154" s="99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45"/>
      <c r="AA154" s="63"/>
      <c r="AB154" s="63"/>
    </row>
    <row r="155" spans="1:28" ht="15.75" x14ac:dyDescent="0.25">
      <c r="A155" s="55" t="s">
        <v>208</v>
      </c>
      <c r="B155" s="146"/>
      <c r="C155" s="99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45"/>
      <c r="AA155" s="63"/>
      <c r="AB155" s="63"/>
    </row>
    <row r="156" spans="1:28" ht="15.75" x14ac:dyDescent="0.25">
      <c r="A156" s="57" t="s">
        <v>12</v>
      </c>
      <c r="B156" s="145">
        <f>B157</f>
        <v>0</v>
      </c>
      <c r="C156" s="99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45"/>
      <c r="AA156" s="63"/>
      <c r="AB156" s="63"/>
    </row>
    <row r="157" spans="1:28" ht="15.75" x14ac:dyDescent="0.25">
      <c r="A157" s="55" t="s">
        <v>83</v>
      </c>
      <c r="B157" s="145">
        <f>B158+B159</f>
        <v>0</v>
      </c>
      <c r="C157" s="99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45"/>
      <c r="AA157" s="63"/>
      <c r="AB157" s="63"/>
    </row>
    <row r="158" spans="1:28" ht="15.75" x14ac:dyDescent="0.25">
      <c r="A158" s="2" t="s">
        <v>84</v>
      </c>
      <c r="B158" s="146"/>
      <c r="C158" s="99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45"/>
      <c r="AA158" s="63"/>
      <c r="AB158" s="63"/>
    </row>
    <row r="159" spans="1:28" ht="15.75" x14ac:dyDescent="0.25">
      <c r="A159" s="2" t="s">
        <v>209</v>
      </c>
      <c r="B159" s="146"/>
      <c r="C159" s="99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45"/>
      <c r="AA159" s="63"/>
      <c r="AB159" s="63"/>
    </row>
    <row r="160" spans="1:28" ht="15.75" x14ac:dyDescent="0.25">
      <c r="A160" s="57" t="s">
        <v>233</v>
      </c>
      <c r="B160" s="145">
        <f>B161+B162</f>
        <v>0</v>
      </c>
      <c r="C160" s="99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45"/>
      <c r="AA160" s="63"/>
      <c r="AB160" s="63"/>
    </row>
    <row r="161" spans="1:28" ht="15.75" x14ac:dyDescent="0.25">
      <c r="A161" s="55" t="s">
        <v>281</v>
      </c>
      <c r="B161" s="146"/>
      <c r="C161" s="99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45"/>
      <c r="AA161" s="63"/>
      <c r="AB161" s="63"/>
    </row>
    <row r="162" spans="1:28" ht="15.75" x14ac:dyDescent="0.25">
      <c r="A162" s="55" t="s">
        <v>282</v>
      </c>
      <c r="B162" s="146"/>
      <c r="C162" s="99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45"/>
      <c r="AA162" s="63"/>
      <c r="AB162" s="63"/>
    </row>
    <row r="163" spans="1:28" ht="15.75" x14ac:dyDescent="0.25">
      <c r="A163" s="57" t="s">
        <v>13</v>
      </c>
      <c r="B163" s="145">
        <f>B164+B165</f>
        <v>0</v>
      </c>
      <c r="C163" s="99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45"/>
      <c r="AA163" s="63"/>
      <c r="AB163" s="63"/>
    </row>
    <row r="164" spans="1:28" ht="15.75" x14ac:dyDescent="0.25">
      <c r="A164" s="55" t="s">
        <v>85</v>
      </c>
      <c r="B164" s="146"/>
      <c r="C164" s="99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45"/>
      <c r="AA164" s="63"/>
      <c r="AB164" s="63"/>
    </row>
    <row r="165" spans="1:28" ht="15.75" x14ac:dyDescent="0.25">
      <c r="A165" s="55" t="s">
        <v>210</v>
      </c>
      <c r="B165" s="146"/>
      <c r="C165" s="99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45"/>
      <c r="AA165" s="63"/>
      <c r="AB165" s="63"/>
    </row>
    <row r="166" spans="1:28" ht="15.75" x14ac:dyDescent="0.25">
      <c r="A166" s="57" t="s">
        <v>14</v>
      </c>
      <c r="B166" s="145">
        <f>B167+B168</f>
        <v>0</v>
      </c>
      <c r="C166" s="99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45"/>
      <c r="AA166" s="63"/>
      <c r="AB166" s="63"/>
    </row>
    <row r="167" spans="1:28" ht="15.75" x14ac:dyDescent="0.25">
      <c r="A167" s="55" t="s">
        <v>253</v>
      </c>
      <c r="B167" s="146"/>
      <c r="C167" s="99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45"/>
      <c r="AA167" s="63"/>
      <c r="AB167" s="63"/>
    </row>
    <row r="168" spans="1:28" ht="15.75" x14ac:dyDescent="0.25">
      <c r="A168" s="55" t="s">
        <v>254</v>
      </c>
      <c r="B168" s="146"/>
      <c r="C168" s="99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45"/>
      <c r="AA168" s="63"/>
      <c r="AB168" s="63"/>
    </row>
    <row r="169" spans="1:28" ht="15.75" x14ac:dyDescent="0.25">
      <c r="A169" s="57" t="s">
        <v>323</v>
      </c>
      <c r="B169" s="145">
        <f>B170+B171</f>
        <v>0</v>
      </c>
      <c r="C169" s="99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45"/>
      <c r="AA169" s="63"/>
      <c r="AB169" s="63"/>
    </row>
    <row r="170" spans="1:28" ht="15.75" x14ac:dyDescent="0.25">
      <c r="A170" s="55" t="s">
        <v>255</v>
      </c>
      <c r="B170" s="146"/>
      <c r="C170" s="99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45"/>
      <c r="AA170" s="63"/>
      <c r="AB170" s="63"/>
    </row>
    <row r="171" spans="1:28" ht="15.75" x14ac:dyDescent="0.25">
      <c r="A171" s="55" t="s">
        <v>256</v>
      </c>
      <c r="B171" s="146"/>
      <c r="C171" s="99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45"/>
      <c r="AA171" s="63"/>
      <c r="AB171" s="63"/>
    </row>
    <row r="172" spans="1:28" ht="15.75" x14ac:dyDescent="0.25">
      <c r="A172" s="57" t="s">
        <v>234</v>
      </c>
      <c r="B172" s="145">
        <f>B174+B173</f>
        <v>0</v>
      </c>
      <c r="C172" s="99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45"/>
      <c r="AA172" s="63"/>
      <c r="AB172" s="63"/>
    </row>
    <row r="173" spans="1:28" ht="15.75" x14ac:dyDescent="0.25">
      <c r="A173" s="55" t="s">
        <v>235</v>
      </c>
      <c r="B173" s="147"/>
      <c r="C173" s="99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45"/>
      <c r="AA173" s="63"/>
      <c r="AB173" s="63"/>
    </row>
    <row r="174" spans="1:28" ht="15.75" x14ac:dyDescent="0.25">
      <c r="A174" s="55" t="s">
        <v>236</v>
      </c>
      <c r="B174" s="146"/>
      <c r="C174" s="99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45"/>
      <c r="AA174" s="63"/>
      <c r="AB174" s="63"/>
    </row>
    <row r="175" spans="1:28" ht="15.75" x14ac:dyDescent="0.25">
      <c r="A175" s="62" t="s">
        <v>86</v>
      </c>
      <c r="B175" s="148"/>
      <c r="C175" s="99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45"/>
      <c r="AA175" s="63"/>
      <c r="AB175" s="63"/>
    </row>
    <row r="176" spans="1:28" ht="15.75" x14ac:dyDescent="0.25">
      <c r="A176" s="81" t="s">
        <v>87</v>
      </c>
      <c r="B176" s="145">
        <f>B178+B177</f>
        <v>0</v>
      </c>
      <c r="C176" s="99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45"/>
      <c r="AA176" s="63"/>
      <c r="AB176" s="63"/>
    </row>
    <row r="177" spans="1:28" ht="15.75" x14ac:dyDescent="0.25">
      <c r="A177" s="55" t="s">
        <v>257</v>
      </c>
      <c r="B177" s="146"/>
      <c r="C177" s="99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45"/>
      <c r="AA177" s="63"/>
      <c r="AB177" s="63"/>
    </row>
    <row r="178" spans="1:28" ht="15.75" x14ac:dyDescent="0.25">
      <c r="A178" s="55" t="s">
        <v>258</v>
      </c>
      <c r="B178" s="146"/>
      <c r="C178" s="99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45"/>
      <c r="AA178" s="63"/>
      <c r="AB178" s="63"/>
    </row>
    <row r="179" spans="1:28" ht="15.75" x14ac:dyDescent="0.25">
      <c r="A179" s="62" t="s">
        <v>88</v>
      </c>
      <c r="B179" s="146"/>
      <c r="C179" s="99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45"/>
      <c r="AA179" s="63"/>
      <c r="AB179" s="63"/>
    </row>
    <row r="180" spans="1:28" ht="15.75" x14ac:dyDescent="0.25">
      <c r="A180" s="81" t="s">
        <v>15</v>
      </c>
      <c r="B180" s="145">
        <f>B181+B182</f>
        <v>0</v>
      </c>
      <c r="C180" s="99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45"/>
      <c r="AA180" s="63"/>
      <c r="AB180" s="63"/>
    </row>
    <row r="181" spans="1:28" ht="15.75" x14ac:dyDescent="0.25">
      <c r="A181" s="55" t="s">
        <v>16</v>
      </c>
      <c r="B181" s="146"/>
      <c r="C181" s="99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45"/>
      <c r="AA181" s="63"/>
      <c r="AB181" s="63"/>
    </row>
    <row r="182" spans="1:28" ht="15.75" x14ac:dyDescent="0.25">
      <c r="A182" s="55" t="s">
        <v>211</v>
      </c>
      <c r="B182" s="146"/>
      <c r="C182" s="99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45"/>
      <c r="AA182" s="63"/>
      <c r="AB182" s="63"/>
    </row>
    <row r="183" spans="1:28" ht="15.75" x14ac:dyDescent="0.25">
      <c r="A183" s="62" t="s">
        <v>124</v>
      </c>
      <c r="B183" s="146"/>
      <c r="C183" s="99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45"/>
      <c r="AA183" s="63"/>
      <c r="AB183" s="63"/>
    </row>
    <row r="184" spans="1:28" ht="15.75" x14ac:dyDescent="0.25">
      <c r="A184" s="62" t="s">
        <v>89</v>
      </c>
      <c r="B184" s="146"/>
      <c r="C184" s="99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45"/>
      <c r="AA184" s="63"/>
      <c r="AB184" s="63"/>
    </row>
    <row r="185" spans="1:28" ht="15.75" x14ac:dyDescent="0.25">
      <c r="A185" s="62" t="s">
        <v>285</v>
      </c>
      <c r="B185" s="159"/>
      <c r="C185" s="99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45"/>
      <c r="AA185" s="63"/>
      <c r="AB185" s="63"/>
    </row>
    <row r="186" spans="1:28" ht="15.75" x14ac:dyDescent="0.25">
      <c r="A186" s="81" t="s">
        <v>434</v>
      </c>
      <c r="B186" s="145">
        <f>B187</f>
        <v>0</v>
      </c>
      <c r="C186" s="99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45"/>
      <c r="AA186" s="63"/>
      <c r="AB186" s="63"/>
    </row>
    <row r="187" spans="1:28" ht="15.75" x14ac:dyDescent="0.25">
      <c r="A187" s="55" t="s">
        <v>435</v>
      </c>
      <c r="B187" s="159"/>
      <c r="C187" s="99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45"/>
      <c r="AA187" s="63"/>
      <c r="AB187" s="63"/>
    </row>
    <row r="188" spans="1:28" ht="15.75" x14ac:dyDescent="0.25">
      <c r="A188" s="81" t="s">
        <v>436</v>
      </c>
      <c r="B188" s="145">
        <f>SUM(B189:B191)</f>
        <v>0</v>
      </c>
      <c r="C188" s="99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45"/>
      <c r="AA188" s="63"/>
      <c r="AB188" s="63"/>
    </row>
    <row r="189" spans="1:28" ht="15.75" x14ac:dyDescent="0.25">
      <c r="A189" s="55" t="s">
        <v>324</v>
      </c>
      <c r="B189" s="146"/>
      <c r="C189" s="99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45"/>
      <c r="AA189" s="63"/>
      <c r="AB189" s="63"/>
    </row>
    <row r="190" spans="1:28" ht="15.75" x14ac:dyDescent="0.25">
      <c r="A190" s="55" t="s">
        <v>437</v>
      </c>
      <c r="B190" s="146"/>
      <c r="C190" s="99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45"/>
      <c r="AA190" s="63"/>
      <c r="AB190" s="63"/>
    </row>
    <row r="191" spans="1:28" ht="15.75" x14ac:dyDescent="0.25">
      <c r="A191" s="55" t="s">
        <v>438</v>
      </c>
      <c r="B191" s="146"/>
      <c r="C191" s="99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45"/>
      <c r="AA191" s="63"/>
      <c r="AB191" s="63"/>
    </row>
    <row r="192" spans="1:28" ht="15.75" x14ac:dyDescent="0.25">
      <c r="A192" s="81" t="s">
        <v>439</v>
      </c>
      <c r="B192" s="145">
        <f>SUM(B193:B195)</f>
        <v>0</v>
      </c>
      <c r="C192" s="99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45"/>
      <c r="AA192" s="63"/>
      <c r="AB192" s="63"/>
    </row>
    <row r="193" spans="1:28" ht="15.75" x14ac:dyDescent="0.25">
      <c r="A193" s="55" t="s">
        <v>440</v>
      </c>
      <c r="B193" s="146"/>
      <c r="C193" s="99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45"/>
      <c r="AA193" s="63"/>
      <c r="AB193" s="63"/>
    </row>
    <row r="194" spans="1:28" ht="15.75" x14ac:dyDescent="0.25">
      <c r="A194" s="55" t="s">
        <v>441</v>
      </c>
      <c r="B194" s="146"/>
      <c r="C194" s="99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45"/>
      <c r="AA194" s="63"/>
      <c r="AB194" s="63"/>
    </row>
    <row r="195" spans="1:28" ht="15.75" x14ac:dyDescent="0.25">
      <c r="A195" s="55" t="s">
        <v>442</v>
      </c>
      <c r="B195" s="146"/>
      <c r="C195" s="99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45"/>
      <c r="AA195" s="63"/>
      <c r="AB195" s="63"/>
    </row>
    <row r="196" spans="1:28" ht="15.75" x14ac:dyDescent="0.25">
      <c r="A196" s="62" t="s">
        <v>90</v>
      </c>
      <c r="B196" s="145"/>
      <c r="C196" s="99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45"/>
      <c r="AA196" s="63"/>
      <c r="AB196" s="63"/>
    </row>
    <row r="197" spans="1:28" ht="15.75" x14ac:dyDescent="0.25">
      <c r="A197" s="57" t="s">
        <v>91</v>
      </c>
      <c r="B197" s="145">
        <f>B198+B199+B200</f>
        <v>0</v>
      </c>
      <c r="C197" s="99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45"/>
      <c r="AA197" s="63"/>
      <c r="AB197" s="63"/>
    </row>
    <row r="198" spans="1:28" ht="15.75" x14ac:dyDescent="0.25">
      <c r="A198" s="55" t="s">
        <v>92</v>
      </c>
      <c r="B198" s="146"/>
      <c r="C198" s="99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45"/>
      <c r="AA198" s="63"/>
      <c r="AB198" s="63"/>
    </row>
    <row r="199" spans="1:28" ht="15.75" x14ac:dyDescent="0.25">
      <c r="A199" s="55" t="s">
        <v>93</v>
      </c>
      <c r="B199" s="146"/>
      <c r="C199" s="99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45"/>
      <c r="AA199" s="63"/>
      <c r="AB199" s="63"/>
    </row>
    <row r="200" spans="1:28" ht="15.75" x14ac:dyDescent="0.25">
      <c r="A200" s="55" t="s">
        <v>94</v>
      </c>
      <c r="B200" s="146"/>
      <c r="C200" s="99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45"/>
      <c r="AA200" s="63"/>
      <c r="AB200" s="63"/>
    </row>
    <row r="201" spans="1:28" ht="15.75" x14ac:dyDescent="0.25">
      <c r="A201" s="57" t="s">
        <v>95</v>
      </c>
      <c r="B201" s="145">
        <f>B202+B203+B204+B205</f>
        <v>0</v>
      </c>
      <c r="C201" s="99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45"/>
      <c r="AA201" s="63"/>
      <c r="AB201" s="63"/>
    </row>
    <row r="202" spans="1:28" ht="15.75" x14ac:dyDescent="0.25">
      <c r="A202" s="55" t="s">
        <v>96</v>
      </c>
      <c r="B202" s="146"/>
      <c r="C202" s="99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45"/>
      <c r="AA202" s="63"/>
      <c r="AB202" s="63"/>
    </row>
    <row r="203" spans="1:28" ht="15.75" customHeight="1" x14ac:dyDescent="0.25">
      <c r="A203" s="55" t="s">
        <v>98</v>
      </c>
      <c r="B203" s="146"/>
      <c r="C203" s="99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45"/>
      <c r="AA203" s="63"/>
      <c r="AB203" s="63"/>
    </row>
    <row r="204" spans="1:28" ht="12.75" customHeight="1" x14ac:dyDescent="0.25">
      <c r="A204" s="55" t="s">
        <v>97</v>
      </c>
      <c r="B204" s="146"/>
      <c r="C204" s="99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45"/>
      <c r="AA204" s="63"/>
      <c r="AB204" s="63"/>
    </row>
    <row r="205" spans="1:28" ht="26.25" x14ac:dyDescent="0.25">
      <c r="A205" s="55" t="s">
        <v>99</v>
      </c>
      <c r="B205" s="146"/>
      <c r="C205" s="99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45"/>
      <c r="AA205" s="63"/>
      <c r="AB205" s="63"/>
    </row>
    <row r="206" spans="1:28" ht="15.75" x14ac:dyDescent="0.25">
      <c r="A206" s="57" t="s">
        <v>100</v>
      </c>
      <c r="B206" s="145">
        <f>B207+B208+B209+B210</f>
        <v>0</v>
      </c>
      <c r="C206" s="99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45"/>
      <c r="AA206" s="63"/>
      <c r="AB206" s="63"/>
    </row>
    <row r="207" spans="1:28" ht="18.75" customHeight="1" x14ac:dyDescent="0.25">
      <c r="A207" s="55" t="s">
        <v>101</v>
      </c>
      <c r="B207" s="146"/>
      <c r="C207" s="99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45"/>
      <c r="AA207" s="63"/>
      <c r="AB207" s="63"/>
    </row>
    <row r="208" spans="1:28" ht="15.75" x14ac:dyDescent="0.25">
      <c r="A208" s="55" t="s">
        <v>102</v>
      </c>
      <c r="B208" s="146"/>
      <c r="C208" s="99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45"/>
      <c r="AA208" s="63"/>
      <c r="AB208" s="63"/>
    </row>
    <row r="209" spans="1:28" ht="15.75" customHeight="1" x14ac:dyDescent="0.25">
      <c r="A209" s="55" t="s">
        <v>103</v>
      </c>
      <c r="B209" s="146"/>
      <c r="C209" s="99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45"/>
      <c r="AA209" s="63"/>
      <c r="AB209" s="63"/>
    </row>
    <row r="210" spans="1:28" ht="26.25" x14ac:dyDescent="0.25">
      <c r="A210" s="55" t="s">
        <v>104</v>
      </c>
      <c r="B210" s="146"/>
      <c r="C210" s="99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45"/>
      <c r="AA210" s="63"/>
      <c r="AB210" s="63"/>
    </row>
    <row r="211" spans="1:28" ht="15.75" x14ac:dyDescent="0.25">
      <c r="A211" s="57" t="s">
        <v>105</v>
      </c>
      <c r="B211" s="145">
        <f>B212+B215+B218+B221</f>
        <v>0</v>
      </c>
      <c r="C211" s="99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45"/>
      <c r="AA211" s="63"/>
      <c r="AB211" s="63"/>
    </row>
    <row r="212" spans="1:28" ht="15.75" x14ac:dyDescent="0.25">
      <c r="A212" s="55" t="s">
        <v>106</v>
      </c>
      <c r="B212" s="145">
        <f>B213+B214</f>
        <v>0</v>
      </c>
      <c r="C212" s="99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45"/>
      <c r="AA212" s="63"/>
      <c r="AB212" s="63"/>
    </row>
    <row r="213" spans="1:28" ht="15.75" x14ac:dyDescent="0.25">
      <c r="A213" s="55" t="s">
        <v>107</v>
      </c>
      <c r="B213" s="146"/>
      <c r="C213" s="99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45"/>
      <c r="AA213" s="63"/>
      <c r="AB213" s="63"/>
    </row>
    <row r="214" spans="1:28" ht="15.75" x14ac:dyDescent="0.25">
      <c r="A214" s="55" t="s">
        <v>259</v>
      </c>
      <c r="B214" s="146"/>
      <c r="C214" s="99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45"/>
      <c r="AA214" s="63"/>
      <c r="AB214" s="63"/>
    </row>
    <row r="215" spans="1:28" ht="15.75" x14ac:dyDescent="0.25">
      <c r="A215" s="55" t="s">
        <v>108</v>
      </c>
      <c r="B215" s="145">
        <f>B216+B217</f>
        <v>0</v>
      </c>
      <c r="C215" s="99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45"/>
      <c r="AA215" s="63"/>
      <c r="AB215" s="63"/>
    </row>
    <row r="216" spans="1:28" ht="15.75" x14ac:dyDescent="0.25">
      <c r="A216" s="55" t="s">
        <v>111</v>
      </c>
      <c r="B216" s="146"/>
      <c r="C216" s="99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45"/>
      <c r="AA216" s="63"/>
      <c r="AB216" s="63"/>
    </row>
    <row r="217" spans="1:28" ht="15.75" x14ac:dyDescent="0.25">
      <c r="A217" s="55" t="s">
        <v>212</v>
      </c>
      <c r="B217" s="146"/>
      <c r="C217" s="99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45"/>
      <c r="AA217" s="63"/>
      <c r="AB217" s="63"/>
    </row>
    <row r="218" spans="1:28" ht="15.75" customHeight="1" x14ac:dyDescent="0.25">
      <c r="A218" s="55" t="s">
        <v>109</v>
      </c>
      <c r="B218" s="145">
        <f>B219+B220</f>
        <v>0</v>
      </c>
      <c r="C218" s="99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45"/>
      <c r="AA218" s="63"/>
      <c r="AB218" s="63"/>
    </row>
    <row r="219" spans="1:28" ht="15.75" x14ac:dyDescent="0.25">
      <c r="A219" s="55" t="s">
        <v>110</v>
      </c>
      <c r="B219" s="147"/>
      <c r="C219" s="99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45"/>
      <c r="AA219" s="63"/>
      <c r="AB219" s="63"/>
    </row>
    <row r="220" spans="1:28" ht="15.75" customHeight="1" x14ac:dyDescent="0.25">
      <c r="A220" s="55" t="s">
        <v>213</v>
      </c>
      <c r="B220" s="147"/>
      <c r="C220" s="99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45"/>
      <c r="AA220" s="63"/>
      <c r="AB220" s="63"/>
    </row>
    <row r="221" spans="1:28" ht="26.25" x14ac:dyDescent="0.25">
      <c r="A221" s="55" t="s">
        <v>112</v>
      </c>
      <c r="B221" s="145">
        <f>B222+B223</f>
        <v>0</v>
      </c>
      <c r="C221" s="99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45"/>
      <c r="AA221" s="63"/>
      <c r="AB221" s="63"/>
    </row>
    <row r="222" spans="1:28" ht="15.75" x14ac:dyDescent="0.25">
      <c r="A222" s="55" t="s">
        <v>113</v>
      </c>
      <c r="B222" s="146"/>
      <c r="C222" s="99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45"/>
      <c r="AA222" s="63"/>
      <c r="AB222" s="63"/>
    </row>
    <row r="223" spans="1:28" ht="15.75" x14ac:dyDescent="0.25">
      <c r="A223" s="55" t="s">
        <v>214</v>
      </c>
      <c r="B223" s="146"/>
      <c r="C223" s="99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45"/>
      <c r="AA223" s="63"/>
      <c r="AB223" s="63"/>
    </row>
    <row r="224" spans="1:28" ht="15.75" x14ac:dyDescent="0.25">
      <c r="A224" s="57" t="s">
        <v>114</v>
      </c>
      <c r="B224" s="145">
        <f>B225+B228+B231</f>
        <v>0</v>
      </c>
      <c r="C224" s="99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45"/>
      <c r="AA224" s="63"/>
      <c r="AB224" s="63"/>
    </row>
    <row r="225" spans="1:28" ht="15.75" x14ac:dyDescent="0.25">
      <c r="A225" s="55" t="s">
        <v>115</v>
      </c>
      <c r="B225" s="145">
        <f>B226+B227</f>
        <v>0</v>
      </c>
      <c r="C225" s="99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45"/>
      <c r="AA225" s="63"/>
      <c r="AB225" s="63"/>
    </row>
    <row r="226" spans="1:28" ht="15.75" x14ac:dyDescent="0.25">
      <c r="A226" s="55" t="s">
        <v>116</v>
      </c>
      <c r="B226" s="146"/>
      <c r="C226" s="99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45"/>
      <c r="AA226" s="63"/>
      <c r="AB226" s="63"/>
    </row>
    <row r="227" spans="1:28" ht="15.75" x14ac:dyDescent="0.25">
      <c r="A227" s="55" t="s">
        <v>215</v>
      </c>
      <c r="B227" s="146"/>
      <c r="C227" s="99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45"/>
      <c r="AA227" s="63"/>
      <c r="AB227" s="63"/>
    </row>
    <row r="228" spans="1:28" ht="15.75" x14ac:dyDescent="0.25">
      <c r="A228" s="55" t="s">
        <v>117</v>
      </c>
      <c r="B228" s="145">
        <f>B229+B230</f>
        <v>0</v>
      </c>
      <c r="C228" s="99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45"/>
      <c r="AA228" s="63"/>
      <c r="AB228" s="63"/>
    </row>
    <row r="229" spans="1:28" ht="15.75" x14ac:dyDescent="0.25">
      <c r="A229" s="55" t="s">
        <v>118</v>
      </c>
      <c r="B229" s="146"/>
      <c r="C229" s="99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45"/>
      <c r="AA229" s="63"/>
      <c r="AB229" s="63"/>
    </row>
    <row r="230" spans="1:28" ht="15.75" customHeight="1" x14ac:dyDescent="0.25">
      <c r="A230" s="55" t="s">
        <v>216</v>
      </c>
      <c r="B230" s="146"/>
      <c r="C230" s="99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45"/>
      <c r="AA230" s="63"/>
      <c r="AB230" s="63"/>
    </row>
    <row r="231" spans="1:28" ht="26.25" x14ac:dyDescent="0.25">
      <c r="A231" s="55" t="s">
        <v>119</v>
      </c>
      <c r="B231" s="145">
        <f>B232+B233</f>
        <v>0</v>
      </c>
      <c r="C231" s="99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45"/>
      <c r="AA231" s="63"/>
      <c r="AB231" s="63"/>
    </row>
    <row r="232" spans="1:28" ht="15.75" x14ac:dyDescent="0.25">
      <c r="A232" s="55" t="s">
        <v>120</v>
      </c>
      <c r="B232" s="146"/>
      <c r="C232" s="99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45"/>
      <c r="AA232" s="63"/>
      <c r="AB232" s="63"/>
    </row>
    <row r="233" spans="1:28" ht="15.75" x14ac:dyDescent="0.25">
      <c r="A233" s="55" t="s">
        <v>217</v>
      </c>
      <c r="B233" s="146"/>
      <c r="C233" s="99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45"/>
      <c r="AA233" s="63"/>
      <c r="AB233" s="63"/>
    </row>
    <row r="234" spans="1:28" ht="15.75" x14ac:dyDescent="0.25">
      <c r="A234" s="57" t="s">
        <v>121</v>
      </c>
      <c r="B234" s="145">
        <f>B235+B238+B241</f>
        <v>0</v>
      </c>
      <c r="C234" s="99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45"/>
      <c r="AA234" s="63"/>
      <c r="AB234" s="63"/>
    </row>
    <row r="235" spans="1:28" ht="15.75" x14ac:dyDescent="0.25">
      <c r="A235" s="55" t="s">
        <v>122</v>
      </c>
      <c r="B235" s="145">
        <f>B236+B237</f>
        <v>0</v>
      </c>
      <c r="C235" s="99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45"/>
      <c r="AA235" s="63"/>
      <c r="AB235" s="63"/>
    </row>
    <row r="236" spans="1:28" ht="15.75" x14ac:dyDescent="0.25">
      <c r="A236" s="55" t="s">
        <v>123</v>
      </c>
      <c r="B236" s="146"/>
      <c r="C236" s="99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45"/>
      <c r="AA236" s="63"/>
      <c r="AB236" s="63"/>
    </row>
    <row r="237" spans="1:28" ht="15.75" x14ac:dyDescent="0.25">
      <c r="A237" s="55" t="s">
        <v>218</v>
      </c>
      <c r="B237" s="146"/>
      <c r="C237" s="99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45"/>
      <c r="AA237" s="63"/>
      <c r="AB237" s="63"/>
    </row>
    <row r="238" spans="1:28" ht="15.75" x14ac:dyDescent="0.25">
      <c r="A238" s="55" t="s">
        <v>125</v>
      </c>
      <c r="B238" s="145">
        <f>B239+B240</f>
        <v>0</v>
      </c>
      <c r="C238" s="99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45"/>
      <c r="AA238" s="63"/>
      <c r="AB238" s="63"/>
    </row>
    <row r="239" spans="1:28" ht="15.75" x14ac:dyDescent="0.25">
      <c r="A239" s="55" t="s">
        <v>126</v>
      </c>
      <c r="B239" s="146"/>
      <c r="C239" s="99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45"/>
      <c r="AA239" s="63"/>
      <c r="AB239" s="63"/>
    </row>
    <row r="240" spans="1:28" ht="15.75" customHeight="1" x14ac:dyDescent="0.25">
      <c r="A240" s="55" t="s">
        <v>219</v>
      </c>
      <c r="B240" s="146"/>
      <c r="C240" s="99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45"/>
      <c r="AA240" s="63"/>
      <c r="AB240" s="63"/>
    </row>
    <row r="241" spans="1:28" ht="26.25" x14ac:dyDescent="0.25">
      <c r="A241" s="55" t="s">
        <v>127</v>
      </c>
      <c r="B241" s="145">
        <f>B242+B243</f>
        <v>0</v>
      </c>
      <c r="C241" s="99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45"/>
      <c r="AA241" s="63"/>
      <c r="AB241" s="63"/>
    </row>
    <row r="242" spans="1:28" ht="15.75" x14ac:dyDescent="0.25">
      <c r="A242" s="55" t="s">
        <v>128</v>
      </c>
      <c r="B242" s="146"/>
      <c r="C242" s="99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45"/>
      <c r="AA242" s="63"/>
      <c r="AB242" s="63"/>
    </row>
    <row r="243" spans="1:28" ht="15.75" x14ac:dyDescent="0.25">
      <c r="A243" s="55" t="s">
        <v>220</v>
      </c>
      <c r="B243" s="146"/>
      <c r="C243" s="99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45"/>
      <c r="AA243" s="63"/>
      <c r="AB243" s="63"/>
    </row>
    <row r="244" spans="1:28" ht="15.75" x14ac:dyDescent="0.25">
      <c r="A244" s="57" t="s">
        <v>284</v>
      </c>
      <c r="B244" s="146"/>
      <c r="C244" s="99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45"/>
      <c r="AA244" s="63"/>
      <c r="AB244" s="63"/>
    </row>
    <row r="245" spans="1:28" ht="15.75" x14ac:dyDescent="0.25">
      <c r="A245" s="58" t="s">
        <v>129</v>
      </c>
      <c r="B245" s="145">
        <f>B246+B247</f>
        <v>10</v>
      </c>
      <c r="C245" s="99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45"/>
      <c r="AA245" s="63"/>
      <c r="AB245" s="63"/>
    </row>
    <row r="246" spans="1:28" ht="15.75" x14ac:dyDescent="0.25">
      <c r="A246" s="55" t="s">
        <v>260</v>
      </c>
      <c r="B246" s="146">
        <v>10</v>
      </c>
      <c r="C246" s="99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45"/>
      <c r="AA246" s="63"/>
      <c r="AB246" s="63"/>
    </row>
    <row r="247" spans="1:28" ht="15.75" x14ac:dyDescent="0.25">
      <c r="A247" s="55" t="s">
        <v>261</v>
      </c>
      <c r="B247" s="146"/>
      <c r="C247" s="99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45"/>
      <c r="AA247" s="63"/>
      <c r="AB247" s="63"/>
    </row>
    <row r="248" spans="1:28" ht="15.75" x14ac:dyDescent="0.25">
      <c r="A248" s="55" t="s">
        <v>130</v>
      </c>
      <c r="B248" s="145">
        <f>B249+B250</f>
        <v>0</v>
      </c>
      <c r="C248" s="99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45"/>
      <c r="AA248" s="63"/>
      <c r="AB248" s="63"/>
    </row>
    <row r="249" spans="1:28" ht="15.75" x14ac:dyDescent="0.25">
      <c r="A249" s="55" t="s">
        <v>262</v>
      </c>
      <c r="B249" s="146"/>
      <c r="C249" s="99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45"/>
      <c r="AA249" s="63"/>
      <c r="AB249" s="63"/>
    </row>
    <row r="250" spans="1:28" ht="15.75" x14ac:dyDescent="0.25">
      <c r="A250" s="55" t="s">
        <v>263</v>
      </c>
      <c r="B250" s="146"/>
      <c r="C250" s="99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45"/>
      <c r="AA250" s="63"/>
      <c r="AB250" s="63"/>
    </row>
    <row r="251" spans="1:28" ht="15.75" x14ac:dyDescent="0.25">
      <c r="A251" s="62" t="s">
        <v>325</v>
      </c>
      <c r="B251" s="149"/>
      <c r="C251" s="99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45"/>
      <c r="AA251" s="63"/>
      <c r="AB251" s="63"/>
    </row>
    <row r="252" spans="1:28" ht="15.75" x14ac:dyDescent="0.25">
      <c r="A252" s="62" t="s">
        <v>326</v>
      </c>
      <c r="B252" s="149"/>
      <c r="C252" s="99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45"/>
      <c r="AA252" s="63"/>
      <c r="AB252" s="63"/>
    </row>
    <row r="253" spans="1:28" ht="15.75" x14ac:dyDescent="0.25">
      <c r="A253" s="62" t="s">
        <v>327</v>
      </c>
      <c r="B253" s="145">
        <f>B254+B255+B256+B257+B258+B259+B260+B261+B262</f>
        <v>0</v>
      </c>
      <c r="C253" s="99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45"/>
      <c r="AA253" s="63"/>
      <c r="AB253" s="63"/>
    </row>
    <row r="254" spans="1:28" ht="18.75" customHeight="1" x14ac:dyDescent="0.25">
      <c r="A254" s="55" t="s">
        <v>329</v>
      </c>
      <c r="B254" s="146"/>
      <c r="C254" s="99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45"/>
      <c r="AA254" s="63"/>
      <c r="AB254" s="63"/>
    </row>
    <row r="255" spans="1:28" ht="15.75" x14ac:dyDescent="0.25">
      <c r="A255" s="55" t="s">
        <v>328</v>
      </c>
      <c r="B255" s="146"/>
      <c r="C255" s="99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45"/>
      <c r="AA255" s="63"/>
      <c r="AB255" s="63"/>
    </row>
    <row r="256" spans="1:28" ht="15.75" customHeight="1" x14ac:dyDescent="0.25">
      <c r="A256" s="55" t="s">
        <v>330</v>
      </c>
      <c r="B256" s="146"/>
      <c r="C256" s="99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45"/>
      <c r="AA256" s="63"/>
      <c r="AB256" s="63"/>
    </row>
    <row r="257" spans="1:28" ht="15.75" x14ac:dyDescent="0.25">
      <c r="A257" s="55" t="s">
        <v>331</v>
      </c>
      <c r="B257" s="146"/>
      <c r="C257" s="99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45"/>
      <c r="AA257" s="63"/>
      <c r="AB257" s="63"/>
    </row>
    <row r="258" spans="1:28" ht="15.75" x14ac:dyDescent="0.25">
      <c r="A258" s="55" t="s">
        <v>332</v>
      </c>
      <c r="B258" s="146"/>
      <c r="C258" s="99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45"/>
      <c r="AA258" s="63"/>
      <c r="AB258" s="63"/>
    </row>
    <row r="259" spans="1:28" ht="15.75" x14ac:dyDescent="0.25">
      <c r="A259" s="55" t="s">
        <v>333</v>
      </c>
      <c r="B259" s="146"/>
      <c r="C259" s="99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45"/>
      <c r="AA259" s="63"/>
      <c r="AB259" s="63"/>
    </row>
    <row r="260" spans="1:28" ht="15.75" x14ac:dyDescent="0.25">
      <c r="A260" s="55" t="s">
        <v>334</v>
      </c>
      <c r="B260" s="146"/>
      <c r="C260" s="99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45"/>
      <c r="AA260" s="63"/>
      <c r="AB260" s="63"/>
    </row>
    <row r="261" spans="1:28" ht="15.75" x14ac:dyDescent="0.25">
      <c r="A261" s="55" t="s">
        <v>335</v>
      </c>
      <c r="B261" s="146"/>
      <c r="C261" s="99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45"/>
      <c r="AA261" s="63"/>
      <c r="AB261" s="63"/>
    </row>
    <row r="262" spans="1:28" ht="15.75" x14ac:dyDescent="0.25">
      <c r="A262" s="55" t="s">
        <v>336</v>
      </c>
      <c r="B262" s="146"/>
      <c r="C262" s="99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45"/>
      <c r="AA262" s="63"/>
      <c r="AB262" s="63"/>
    </row>
    <row r="263" spans="1:28" ht="15.75" x14ac:dyDescent="0.25">
      <c r="A263" s="76" t="s">
        <v>337</v>
      </c>
      <c r="B263" s="151"/>
      <c r="C263" s="99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45"/>
      <c r="AA263" s="63"/>
      <c r="AB263" s="63"/>
    </row>
    <row r="264" spans="1:28" ht="15.75" x14ac:dyDescent="0.25">
      <c r="A264" s="57" t="s">
        <v>131</v>
      </c>
      <c r="B264" s="150">
        <f>B265+B266+B267+B268</f>
        <v>0</v>
      </c>
      <c r="C264" s="99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45"/>
      <c r="AA264" s="63"/>
      <c r="AB264" s="63"/>
    </row>
    <row r="265" spans="1:28" ht="15.75" x14ac:dyDescent="0.25">
      <c r="A265" s="55" t="s">
        <v>132</v>
      </c>
      <c r="B265" s="146"/>
      <c r="C265" s="99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45"/>
      <c r="AA265" s="63"/>
      <c r="AB265" s="63"/>
    </row>
    <row r="266" spans="1:28" ht="15.75" x14ac:dyDescent="0.25">
      <c r="A266" s="55" t="s">
        <v>133</v>
      </c>
      <c r="B266" s="146"/>
      <c r="C266" s="99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45"/>
      <c r="AA266" s="63"/>
      <c r="AB266" s="63"/>
    </row>
    <row r="267" spans="1:28" ht="15.75" x14ac:dyDescent="0.25">
      <c r="A267" s="55" t="s">
        <v>134</v>
      </c>
      <c r="B267" s="146"/>
      <c r="C267" s="99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45"/>
      <c r="AA267" s="63"/>
      <c r="AB267" s="63"/>
    </row>
    <row r="268" spans="1:28" ht="26.25" x14ac:dyDescent="0.25">
      <c r="A268" s="58" t="s">
        <v>154</v>
      </c>
      <c r="B268" s="146"/>
      <c r="C268" s="99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45"/>
      <c r="AA268" s="63"/>
      <c r="AB268" s="63"/>
    </row>
    <row r="269" spans="1:28" ht="15.75" x14ac:dyDescent="0.25">
      <c r="A269" s="57" t="s">
        <v>338</v>
      </c>
      <c r="B269" s="146"/>
      <c r="C269" s="99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45"/>
      <c r="AA269" s="63"/>
      <c r="AB269" s="63"/>
    </row>
    <row r="270" spans="1:28" ht="15.75" x14ac:dyDescent="0.25">
      <c r="A270" s="76" t="s">
        <v>17</v>
      </c>
      <c r="B270" s="151"/>
      <c r="C270" s="99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45"/>
      <c r="AA270" s="63"/>
      <c r="AB270" s="63"/>
    </row>
    <row r="271" spans="1:28" ht="15.75" x14ac:dyDescent="0.25">
      <c r="A271" s="59" t="s">
        <v>135</v>
      </c>
      <c r="B271" s="152"/>
      <c r="C271" s="99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45"/>
      <c r="AA271" s="63"/>
      <c r="AB271" s="63"/>
    </row>
    <row r="272" spans="1:28" ht="15.75" x14ac:dyDescent="0.25">
      <c r="A272" s="59" t="s">
        <v>225</v>
      </c>
      <c r="B272" s="146"/>
      <c r="C272" s="99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45"/>
      <c r="AA272" s="63"/>
      <c r="AB272" s="63"/>
    </row>
    <row r="273" spans="1:28" ht="15.75" x14ac:dyDescent="0.25">
      <c r="A273" s="59" t="s">
        <v>226</v>
      </c>
      <c r="B273" s="146"/>
      <c r="C273" s="99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45"/>
      <c r="AA273" s="63"/>
      <c r="AB273" s="63"/>
    </row>
    <row r="274" spans="1:28" ht="15.75" x14ac:dyDescent="0.25">
      <c r="A274" s="59" t="s">
        <v>339</v>
      </c>
      <c r="B274" s="149"/>
      <c r="C274" s="99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45"/>
      <c r="AA274" s="63"/>
      <c r="AB274" s="63"/>
    </row>
    <row r="275" spans="1:28" ht="15.75" x14ac:dyDescent="0.25">
      <c r="A275" s="59" t="s">
        <v>340</v>
      </c>
      <c r="B275" s="149"/>
      <c r="C275" s="99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45"/>
      <c r="AA275" s="63"/>
      <c r="AB275" s="63"/>
    </row>
    <row r="276" spans="1:28" ht="15.75" x14ac:dyDescent="0.25">
      <c r="A276" s="76" t="s">
        <v>341</v>
      </c>
      <c r="B276" s="151"/>
      <c r="C276" s="99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45"/>
      <c r="AA276" s="63"/>
      <c r="AB276" s="63"/>
    </row>
    <row r="277" spans="1:28" ht="15.75" x14ac:dyDescent="0.25">
      <c r="A277" s="57" t="s">
        <v>342</v>
      </c>
      <c r="B277" s="145">
        <f>B278+B281</f>
        <v>0</v>
      </c>
      <c r="C277" s="99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45"/>
      <c r="AA277" s="63"/>
      <c r="AB277" s="63"/>
    </row>
    <row r="278" spans="1:28" ht="15.75" x14ac:dyDescent="0.25">
      <c r="A278" s="55" t="s">
        <v>346</v>
      </c>
      <c r="B278" s="145">
        <f>B279+B280</f>
        <v>0</v>
      </c>
      <c r="C278" s="99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45"/>
      <c r="AA278" s="63"/>
      <c r="AB278" s="63"/>
    </row>
    <row r="279" spans="1:28" ht="15.75" x14ac:dyDescent="0.25">
      <c r="A279" s="55" t="s">
        <v>347</v>
      </c>
      <c r="B279" s="146"/>
      <c r="C279" s="99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45"/>
      <c r="AA279" s="63"/>
      <c r="AB279" s="63"/>
    </row>
    <row r="280" spans="1:28" ht="15.75" x14ac:dyDescent="0.25">
      <c r="A280" s="55" t="s">
        <v>350</v>
      </c>
      <c r="B280" s="146"/>
      <c r="C280" s="99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45"/>
      <c r="AA280" s="63"/>
      <c r="AB280" s="63"/>
    </row>
    <row r="281" spans="1:28" ht="15.75" x14ac:dyDescent="0.25">
      <c r="A281" s="55" t="s">
        <v>348</v>
      </c>
      <c r="B281" s="145">
        <f>B282+B283</f>
        <v>0</v>
      </c>
      <c r="C281" s="99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45"/>
      <c r="AA281" s="63"/>
      <c r="AB281" s="63"/>
    </row>
    <row r="282" spans="1:28" ht="15.75" x14ac:dyDescent="0.25">
      <c r="A282" s="55" t="s">
        <v>349</v>
      </c>
      <c r="B282" s="146"/>
      <c r="C282" s="99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45"/>
      <c r="AA282" s="63"/>
      <c r="AB282" s="63"/>
    </row>
    <row r="283" spans="1:28" ht="15.75" x14ac:dyDescent="0.25">
      <c r="A283" s="55" t="s">
        <v>351</v>
      </c>
      <c r="B283" s="146"/>
      <c r="C283" s="99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45"/>
      <c r="AA283" s="63"/>
      <c r="AB283" s="63"/>
    </row>
    <row r="284" spans="1:28" ht="15.75" x14ac:dyDescent="0.25">
      <c r="A284" s="57" t="s">
        <v>345</v>
      </c>
      <c r="B284" s="145">
        <f>B285+B288</f>
        <v>0</v>
      </c>
      <c r="C284" s="99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45"/>
      <c r="AA284" s="63"/>
      <c r="AB284" s="63"/>
    </row>
    <row r="285" spans="1:28" ht="15.75" x14ac:dyDescent="0.25">
      <c r="A285" s="55" t="s">
        <v>352</v>
      </c>
      <c r="B285" s="145">
        <f>B286+B287</f>
        <v>0</v>
      </c>
      <c r="C285" s="99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45"/>
      <c r="AA285" s="63"/>
      <c r="AB285" s="63"/>
    </row>
    <row r="286" spans="1:28" ht="15.75" x14ac:dyDescent="0.25">
      <c r="A286" s="55" t="s">
        <v>343</v>
      </c>
      <c r="B286" s="146"/>
      <c r="C286" s="99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45"/>
      <c r="AA286" s="63"/>
      <c r="AB286" s="63"/>
    </row>
    <row r="287" spans="1:28" ht="15.75" x14ac:dyDescent="0.25">
      <c r="A287" s="55" t="s">
        <v>353</v>
      </c>
      <c r="B287" s="146"/>
      <c r="C287" s="99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45"/>
      <c r="AA287" s="63"/>
      <c r="AB287" s="63"/>
    </row>
    <row r="288" spans="1:28" ht="15.75" x14ac:dyDescent="0.25">
      <c r="A288" s="55" t="s">
        <v>354</v>
      </c>
      <c r="B288" s="145">
        <f>B289+B290</f>
        <v>0</v>
      </c>
      <c r="C288" s="99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45"/>
      <c r="AA288" s="63"/>
      <c r="AB288" s="63"/>
    </row>
    <row r="289" spans="1:28" ht="15.75" x14ac:dyDescent="0.25">
      <c r="A289" s="55" t="s">
        <v>344</v>
      </c>
      <c r="B289" s="146"/>
      <c r="C289" s="99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45"/>
      <c r="AA289" s="63"/>
      <c r="AB289" s="63"/>
    </row>
    <row r="290" spans="1:28" ht="15.75" x14ac:dyDescent="0.25">
      <c r="A290" s="55" t="s">
        <v>355</v>
      </c>
      <c r="B290" s="146"/>
      <c r="C290" s="99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45"/>
      <c r="AA290" s="63"/>
      <c r="AB290" s="63"/>
    </row>
    <row r="291" spans="1:28" ht="15.75" x14ac:dyDescent="0.25">
      <c r="A291" s="78" t="s">
        <v>18</v>
      </c>
      <c r="B291" s="155"/>
      <c r="C291" s="99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45"/>
      <c r="AA291" s="63"/>
      <c r="AB291" s="63"/>
    </row>
    <row r="292" spans="1:28" ht="15.75" x14ac:dyDescent="0.25">
      <c r="A292" s="79" t="s">
        <v>19</v>
      </c>
      <c r="B292" s="156"/>
      <c r="C292" s="99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45"/>
      <c r="AA292" s="63"/>
      <c r="AB292" s="63"/>
    </row>
    <row r="293" spans="1:28" ht="15.75" x14ac:dyDescent="0.25">
      <c r="A293" s="74" t="s">
        <v>20</v>
      </c>
      <c r="B293" s="153"/>
      <c r="C293" s="99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45"/>
      <c r="AA293" s="63"/>
      <c r="AB293" s="63"/>
    </row>
    <row r="294" spans="1:28" ht="15.75" x14ac:dyDescent="0.25">
      <c r="A294" s="80" t="s">
        <v>21</v>
      </c>
      <c r="B294" s="157"/>
      <c r="C294" s="99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45"/>
      <c r="AA294" s="63"/>
      <c r="AB294" s="63"/>
    </row>
    <row r="295" spans="1:28" ht="15.75" x14ac:dyDescent="0.25">
      <c r="A295" s="75" t="s">
        <v>137</v>
      </c>
      <c r="B295" s="154"/>
      <c r="C295" s="99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45"/>
      <c r="AA295" s="63"/>
      <c r="AB295" s="63"/>
    </row>
    <row r="296" spans="1:28" ht="15.75" x14ac:dyDescent="0.25">
      <c r="A296" s="57" t="s">
        <v>138</v>
      </c>
      <c r="B296" s="152"/>
      <c r="C296" s="99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45"/>
      <c r="AA296" s="63"/>
      <c r="AB296" s="63"/>
    </row>
    <row r="297" spans="1:28" ht="15.75" x14ac:dyDescent="0.25">
      <c r="A297" s="57" t="s">
        <v>136</v>
      </c>
      <c r="B297" s="145">
        <f>B298+B301+B304+B307+B310+B312</f>
        <v>0</v>
      </c>
      <c r="C297" s="99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45"/>
      <c r="AA297" s="63"/>
      <c r="AB297" s="63"/>
    </row>
    <row r="298" spans="1:28" ht="15.75" x14ac:dyDescent="0.25">
      <c r="A298" s="60" t="s">
        <v>155</v>
      </c>
      <c r="B298" s="145">
        <f>B299+B300</f>
        <v>0</v>
      </c>
      <c r="C298" s="99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45"/>
      <c r="AA298" s="63"/>
      <c r="AB298" s="63"/>
    </row>
    <row r="299" spans="1:28" ht="15.75" x14ac:dyDescent="0.25">
      <c r="A299" s="55" t="s">
        <v>139</v>
      </c>
      <c r="B299" s="146"/>
      <c r="C299" s="99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45"/>
      <c r="AA299" s="63"/>
      <c r="AB299" s="63"/>
    </row>
    <row r="300" spans="1:28" ht="15.75" x14ac:dyDescent="0.25">
      <c r="A300" s="55" t="s">
        <v>221</v>
      </c>
      <c r="B300" s="146"/>
      <c r="C300" s="99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45"/>
      <c r="AA300" s="63"/>
      <c r="AB300" s="63"/>
    </row>
    <row r="301" spans="1:28" ht="15.75" x14ac:dyDescent="0.25">
      <c r="A301" s="55" t="s">
        <v>140</v>
      </c>
      <c r="B301" s="145">
        <f>B302+B303</f>
        <v>0</v>
      </c>
      <c r="C301" s="99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45"/>
      <c r="AA301" s="63"/>
      <c r="AB301" s="63"/>
    </row>
    <row r="302" spans="1:28" ht="15.75" x14ac:dyDescent="0.25">
      <c r="A302" s="55" t="s">
        <v>141</v>
      </c>
      <c r="B302" s="146"/>
      <c r="C302" s="99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45"/>
      <c r="AA302" s="63"/>
      <c r="AB302" s="63"/>
    </row>
    <row r="303" spans="1:28" ht="15.75" x14ac:dyDescent="0.25">
      <c r="A303" s="55" t="s">
        <v>222</v>
      </c>
      <c r="B303" s="146"/>
      <c r="C303" s="99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45"/>
      <c r="AA303" s="63"/>
      <c r="AB303" s="63"/>
    </row>
    <row r="304" spans="1:28" ht="15.75" x14ac:dyDescent="0.25">
      <c r="A304" s="55" t="s">
        <v>142</v>
      </c>
      <c r="B304" s="145">
        <f>B305+B306</f>
        <v>0</v>
      </c>
      <c r="C304" s="99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45"/>
      <c r="AA304" s="63"/>
      <c r="AB304" s="63"/>
    </row>
    <row r="305" spans="1:28" ht="15.75" x14ac:dyDescent="0.25">
      <c r="A305" s="55" t="s">
        <v>22</v>
      </c>
      <c r="B305" s="146"/>
      <c r="C305" s="99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45"/>
      <c r="AA305" s="63"/>
      <c r="AB305" s="63"/>
    </row>
    <row r="306" spans="1:28" ht="15.75" x14ac:dyDescent="0.25">
      <c r="A306" s="55" t="s">
        <v>223</v>
      </c>
      <c r="B306" s="146"/>
      <c r="C306" s="99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45"/>
      <c r="AA306" s="63"/>
      <c r="AB306" s="63"/>
    </row>
    <row r="307" spans="1:28" ht="15.75" x14ac:dyDescent="0.25">
      <c r="A307" s="55" t="s">
        <v>143</v>
      </c>
      <c r="B307" s="145">
        <f>B308+B309</f>
        <v>0</v>
      </c>
      <c r="C307" s="99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45"/>
      <c r="AA307" s="63"/>
      <c r="AB307" s="63"/>
    </row>
    <row r="308" spans="1:28" ht="15.75" x14ac:dyDescent="0.25">
      <c r="A308" s="55" t="s">
        <v>144</v>
      </c>
      <c r="B308" s="146"/>
      <c r="C308" s="99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45"/>
      <c r="AA308" s="63"/>
      <c r="AB308" s="63"/>
    </row>
    <row r="309" spans="1:28" ht="15.75" x14ac:dyDescent="0.25">
      <c r="A309" s="55" t="s">
        <v>224</v>
      </c>
      <c r="B309" s="146"/>
      <c r="C309" s="99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45"/>
      <c r="AA309" s="63"/>
      <c r="AB309" s="63"/>
    </row>
    <row r="310" spans="1:28" ht="15.75" x14ac:dyDescent="0.25">
      <c r="A310" s="55" t="s">
        <v>145</v>
      </c>
      <c r="B310" s="148"/>
      <c r="C310" s="99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45"/>
      <c r="AA310" s="63"/>
      <c r="AB310" s="63"/>
    </row>
    <row r="311" spans="1:28" ht="15.75" x14ac:dyDescent="0.25">
      <c r="A311" s="60" t="s">
        <v>146</v>
      </c>
      <c r="B311" s="145"/>
      <c r="C311" s="99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45"/>
      <c r="AA311" s="63"/>
      <c r="AB311" s="63"/>
    </row>
    <row r="312" spans="1:28" ht="15.75" x14ac:dyDescent="0.25">
      <c r="A312" s="55" t="s">
        <v>147</v>
      </c>
      <c r="B312" s="146"/>
      <c r="C312" s="99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45"/>
      <c r="AA312" s="63"/>
      <c r="AB312" s="63"/>
    </row>
    <row r="313" spans="1:28" ht="25.5" x14ac:dyDescent="0.25">
      <c r="A313" s="61" t="s">
        <v>230</v>
      </c>
      <c r="B313" s="147"/>
      <c r="C313" s="99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45"/>
      <c r="AA313" s="63"/>
      <c r="AB313" s="63"/>
    </row>
    <row r="314" spans="1:28" ht="15.75" x14ac:dyDescent="0.25">
      <c r="A314" s="57" t="s">
        <v>148</v>
      </c>
      <c r="B314" s="149"/>
      <c r="C314" s="99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45"/>
      <c r="AA314" s="63"/>
      <c r="AB314" s="63"/>
    </row>
    <row r="315" spans="1:28" ht="26.25" x14ac:dyDescent="0.25">
      <c r="A315" s="76" t="s">
        <v>356</v>
      </c>
      <c r="B315" s="151"/>
      <c r="C315" s="99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45"/>
      <c r="AA315" s="63"/>
      <c r="AB315" s="63"/>
    </row>
    <row r="316" spans="1:28" ht="15.75" x14ac:dyDescent="0.25">
      <c r="A316" s="57" t="s">
        <v>149</v>
      </c>
      <c r="B316" s="148"/>
      <c r="C316" s="99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45"/>
      <c r="AA316" s="63"/>
      <c r="AB316" s="63"/>
    </row>
    <row r="317" spans="1:28" ht="15.75" x14ac:dyDescent="0.25">
      <c r="A317" s="55" t="s">
        <v>357</v>
      </c>
      <c r="B317" s="145">
        <f>B318+B319</f>
        <v>0</v>
      </c>
      <c r="C317" s="99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45"/>
      <c r="AA317" s="63"/>
      <c r="AB317" s="63"/>
    </row>
    <row r="318" spans="1:28" ht="15.75" x14ac:dyDescent="0.25">
      <c r="A318" s="55" t="s">
        <v>22</v>
      </c>
      <c r="B318" s="146"/>
      <c r="C318" s="99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45"/>
      <c r="AA318" s="63"/>
      <c r="AB318" s="63"/>
    </row>
    <row r="319" spans="1:28" ht="15.75" x14ac:dyDescent="0.25">
      <c r="A319" s="55" t="s">
        <v>223</v>
      </c>
      <c r="B319" s="146"/>
      <c r="C319" s="99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45"/>
      <c r="AA319" s="63"/>
      <c r="AB319" s="63"/>
    </row>
    <row r="320" spans="1:28" s="267" customFormat="1" ht="18.75" customHeight="1" x14ac:dyDescent="0.2">
      <c r="A320" s="268" t="s">
        <v>444</v>
      </c>
      <c r="B320" s="270"/>
      <c r="C320" s="263"/>
      <c r="D320" s="264"/>
      <c r="E320" s="264"/>
      <c r="F320" s="264"/>
      <c r="G320" s="264"/>
      <c r="H320" s="264"/>
      <c r="I320" s="264"/>
      <c r="J320" s="264"/>
      <c r="K320" s="264"/>
      <c r="L320" s="264"/>
      <c r="M320" s="264"/>
      <c r="N320" s="264"/>
      <c r="O320" s="264"/>
      <c r="P320" s="264"/>
      <c r="Q320" s="264"/>
      <c r="R320" s="264"/>
      <c r="S320" s="264"/>
      <c r="T320" s="264"/>
      <c r="U320" s="264"/>
      <c r="V320" s="264"/>
      <c r="W320" s="264"/>
      <c r="X320" s="264"/>
      <c r="Y320" s="264"/>
      <c r="Z320" s="265"/>
      <c r="AA320" s="266"/>
      <c r="AB320" s="266"/>
    </row>
    <row r="321" spans="1:28" s="267" customFormat="1" ht="18.75" customHeight="1" x14ac:dyDescent="0.2">
      <c r="A321" s="269" t="s">
        <v>446</v>
      </c>
      <c r="B321" s="152"/>
      <c r="C321" s="263"/>
      <c r="D321" s="264"/>
      <c r="E321" s="264"/>
      <c r="F321" s="264"/>
      <c r="G321" s="264"/>
      <c r="H321" s="264"/>
      <c r="I321" s="264"/>
      <c r="J321" s="264"/>
      <c r="K321" s="264"/>
      <c r="L321" s="264"/>
      <c r="M321" s="264"/>
      <c r="N321" s="264"/>
      <c r="O321" s="264"/>
      <c r="P321" s="264"/>
      <c r="Q321" s="264"/>
      <c r="R321" s="264"/>
      <c r="S321" s="264"/>
      <c r="T321" s="264"/>
      <c r="U321" s="264"/>
      <c r="V321" s="264"/>
      <c r="W321" s="264"/>
      <c r="X321" s="264"/>
      <c r="Y321" s="264"/>
      <c r="Z321" s="265"/>
      <c r="AA321" s="266"/>
      <c r="AB321" s="266"/>
    </row>
    <row r="322" spans="1:28" s="267" customFormat="1" ht="18.75" customHeight="1" x14ac:dyDescent="0.2">
      <c r="A322" s="269" t="s">
        <v>447</v>
      </c>
      <c r="B322" s="148"/>
      <c r="C322" s="263"/>
      <c r="D322" s="264"/>
      <c r="E322" s="264"/>
      <c r="F322" s="264"/>
      <c r="G322" s="264"/>
      <c r="H322" s="264"/>
      <c r="I322" s="264"/>
      <c r="J322" s="264"/>
      <c r="K322" s="264"/>
      <c r="L322" s="264"/>
      <c r="M322" s="264"/>
      <c r="N322" s="264"/>
      <c r="O322" s="264"/>
      <c r="P322" s="264"/>
      <c r="Q322" s="264"/>
      <c r="R322" s="264"/>
      <c r="S322" s="264"/>
      <c r="T322" s="264"/>
      <c r="U322" s="264"/>
      <c r="V322" s="264"/>
      <c r="W322" s="264"/>
      <c r="X322" s="264"/>
      <c r="Y322" s="264"/>
      <c r="Z322" s="265"/>
      <c r="AA322" s="266"/>
      <c r="AB322" s="266"/>
    </row>
    <row r="323" spans="1:28" ht="30" customHeight="1" x14ac:dyDescent="0.25">
      <c r="A323" s="268" t="s">
        <v>445</v>
      </c>
      <c r="B323" s="146"/>
      <c r="C323" s="99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45"/>
      <c r="AA323" s="63"/>
      <c r="AB323" s="63"/>
    </row>
    <row r="324" spans="1:28" ht="15.75" x14ac:dyDescent="0.25">
      <c r="A324" s="52"/>
      <c r="B324" s="50"/>
      <c r="C324" s="99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45"/>
      <c r="AA324" s="63"/>
      <c r="AB324" s="63"/>
    </row>
    <row r="325" spans="1:28" ht="15.75" x14ac:dyDescent="0.25">
      <c r="A325" s="53"/>
      <c r="B325" s="50"/>
      <c r="C325" s="99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45"/>
      <c r="AA325" s="63"/>
      <c r="AB325" s="63"/>
    </row>
    <row r="326" spans="1:28" ht="15.75" x14ac:dyDescent="0.25">
      <c r="A326" s="41"/>
      <c r="B326" s="42"/>
      <c r="C326" s="99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45"/>
      <c r="AA326" s="63"/>
      <c r="AB326" s="63"/>
    </row>
  </sheetData>
  <sheetProtection sheet="1" objects="1" scenarios="1" selectLockedCells="1"/>
  <mergeCells count="2">
    <mergeCell ref="E11:F11"/>
    <mergeCell ref="F15:P15"/>
  </mergeCells>
  <dataValidations count="8">
    <dataValidation allowBlank="1" showInputMessage="1" showErrorMessage="1" prompt="Limit your input in a maximum of 70 characters per bullet." sqref="F17:F74"/>
    <dataValidation allowBlank="1" showInputMessage="1" showErrorMessage="1" prompt="Limit your input in a maximum of 80 characters per bullet." sqref="F13:F14"/>
    <dataValidation type="whole" allowBlank="1" showInputMessage="1" showErrorMessage="1" sqref="G68:P119 R68:Y119 D75:F119 Q75:Q119 B71:C122">
      <formula1>0</formula1>
      <formula2>10000000000000000000</formula2>
    </dataValidation>
    <dataValidation type="whole" allowBlank="1" showInputMessage="1" showErrorMessage="1" sqref="D217:Y263 D120:Y173 B176 B218:C275 B123:C174 C320:C322">
      <formula1>0</formula1>
      <formula2>1000000000000000000</formula2>
    </dataValidation>
    <dataValidation type="whole" allowBlank="1" showInputMessage="1" showErrorMessage="1" sqref="D38:D55 G16:P67 B15:C70 D19:D36 Q19:Q36 R15:Z67 Q38:Q55 D57:D74 Q57:Q74 Z68:Z326">
      <formula1>0</formula1>
      <formula2>1E+22</formula2>
    </dataValidation>
    <dataValidation type="whole" allowBlank="1" showInputMessage="1" showErrorMessage="1" sqref="D264:Y299 C276:C277 B276 D320:Y322">
      <formula1>0</formula1>
      <formula2>100000000000000000</formula2>
    </dataValidation>
    <dataValidation type="whole" allowBlank="1" showInputMessage="1" showErrorMessage="1" sqref="B277:B319 C278:C317 D300:Y319 D323:Y326 B321:B323">
      <formula1>0</formula1>
      <formula2>1E+24</formula2>
    </dataValidation>
    <dataValidation type="whole" allowBlank="1" showInputMessage="1" showErrorMessage="1" sqref="B175 D174:Y216 B177:B217 C175:C217 C318:C319">
      <formula1>0</formula1>
      <formula2>100000000000000000000</formula2>
    </dataValidation>
  </dataValidations>
  <pageMargins left="0.7" right="0.7" top="0.75" bottom="0.75" header="0.3" footer="0.3"/>
  <pageSetup paperSize="768" orientation="portrait" horizontalDpi="0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326"/>
  <sheetViews>
    <sheetView workbookViewId="0">
      <pane ySplit="13" topLeftCell="A182" activePane="bottomLeft" state="frozen"/>
      <selection pane="bottomLeft" activeCell="B184" sqref="B184"/>
    </sheetView>
  </sheetViews>
  <sheetFormatPr defaultRowHeight="12.75" x14ac:dyDescent="0.2"/>
  <cols>
    <col min="1" max="1" width="39.140625" style="1" customWidth="1"/>
    <col min="2" max="2" width="36.42578125" style="31" customWidth="1"/>
    <col min="3" max="3" width="7.28515625" style="100" customWidth="1"/>
    <col min="4" max="4" width="3.28515625" style="65" customWidth="1"/>
    <col min="5" max="5" width="1.85546875" style="65" customWidth="1"/>
    <col min="6" max="6" width="8.42578125" style="65" customWidth="1"/>
    <col min="7" max="16" width="9.140625" style="65"/>
    <col min="17" max="17" width="2.7109375" style="65" customWidth="1"/>
    <col min="18" max="28" width="9.140625" style="65"/>
  </cols>
  <sheetData>
    <row r="1" spans="1:30" x14ac:dyDescent="0.2">
      <c r="A1" s="13"/>
      <c r="B1" s="29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63"/>
      <c r="AB1" s="63"/>
    </row>
    <row r="2" spans="1:30" x14ac:dyDescent="0.2">
      <c r="A2" s="13"/>
      <c r="B2" s="29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63"/>
      <c r="AB2" s="63"/>
    </row>
    <row r="3" spans="1:30" x14ac:dyDescent="0.2">
      <c r="A3" s="13"/>
      <c r="B3" s="29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63"/>
      <c r="AB3" s="63"/>
    </row>
    <row r="4" spans="1:30" x14ac:dyDescent="0.2">
      <c r="A4" s="13"/>
      <c r="B4" s="29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63"/>
      <c r="AB4" s="63"/>
    </row>
    <row r="5" spans="1:30" x14ac:dyDescent="0.2">
      <c r="A5" s="13"/>
      <c r="B5" s="29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63"/>
      <c r="AB5" s="63"/>
    </row>
    <row r="6" spans="1:30" x14ac:dyDescent="0.2">
      <c r="A6" s="13"/>
      <c r="B6" s="2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63"/>
      <c r="AB6" s="63"/>
    </row>
    <row r="7" spans="1:30" x14ac:dyDescent="0.2">
      <c r="A7" s="13"/>
      <c r="B7" s="29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63"/>
      <c r="AB7" s="63"/>
    </row>
    <row r="8" spans="1:30" x14ac:dyDescent="0.2">
      <c r="A8" s="13"/>
      <c r="B8" s="29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63"/>
      <c r="AB8" s="63"/>
    </row>
    <row r="9" spans="1:30" x14ac:dyDescent="0.2">
      <c r="A9" s="14"/>
      <c r="B9" s="29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63"/>
      <c r="AB9" s="63"/>
    </row>
    <row r="10" spans="1:30" x14ac:dyDescent="0.2">
      <c r="A10" s="15"/>
      <c r="B10" s="29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63"/>
      <c r="AB10" s="63"/>
    </row>
    <row r="11" spans="1:30" ht="15.75" x14ac:dyDescent="0.25">
      <c r="A11" s="5" t="s">
        <v>0</v>
      </c>
      <c r="B11" s="12" t="s">
        <v>232</v>
      </c>
      <c r="C11" s="17"/>
      <c r="D11" s="17"/>
      <c r="E11" s="325"/>
      <c r="F11" s="325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63"/>
      <c r="AB11" s="63"/>
      <c r="AC11" s="3"/>
      <c r="AD11" s="3"/>
    </row>
    <row r="12" spans="1:30" x14ac:dyDescent="0.2">
      <c r="A12" s="48" t="s">
        <v>1</v>
      </c>
      <c r="B12" s="11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25"/>
      <c r="AA12" s="63"/>
      <c r="AB12" s="63"/>
    </row>
    <row r="13" spans="1:30" x14ac:dyDescent="0.2">
      <c r="A13" s="73" t="s">
        <v>3</v>
      </c>
      <c r="B13" s="77"/>
      <c r="C13" s="19"/>
      <c r="D13" s="19"/>
      <c r="E13" s="70"/>
      <c r="F13" s="70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63"/>
      <c r="AB13" s="63"/>
    </row>
    <row r="14" spans="1:30" x14ac:dyDescent="0.2">
      <c r="A14" s="51" t="s">
        <v>4</v>
      </c>
      <c r="B14" s="49"/>
      <c r="C14" s="98"/>
      <c r="D14" s="19"/>
      <c r="E14" s="70"/>
      <c r="F14" s="70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63"/>
      <c r="AB14" s="63"/>
    </row>
    <row r="15" spans="1:30" ht="15.75" x14ac:dyDescent="0.25">
      <c r="A15" s="47" t="s">
        <v>23</v>
      </c>
      <c r="B15" s="145">
        <f>B16+B23+B30+B33+B40+B43</f>
        <v>41</v>
      </c>
      <c r="C15" s="99"/>
      <c r="D15" s="69"/>
      <c r="E15" s="69"/>
      <c r="F15" s="326" t="s">
        <v>227</v>
      </c>
      <c r="G15" s="326"/>
      <c r="H15" s="326"/>
      <c r="I15" s="326"/>
      <c r="J15" s="326"/>
      <c r="K15" s="326"/>
      <c r="L15" s="326"/>
      <c r="M15" s="326"/>
      <c r="N15" s="326"/>
      <c r="O15" s="326"/>
      <c r="P15" s="326"/>
      <c r="Q15" s="69"/>
      <c r="R15" s="16"/>
      <c r="S15" s="16"/>
      <c r="T15" s="16"/>
      <c r="U15" s="16"/>
      <c r="V15" s="16"/>
      <c r="W15" s="16"/>
      <c r="X15" s="16"/>
      <c r="Y15" s="16"/>
      <c r="Z15" s="45"/>
      <c r="AA15" s="63"/>
      <c r="AB15" s="63"/>
    </row>
    <row r="16" spans="1:30" ht="15.75" x14ac:dyDescent="0.25">
      <c r="A16" s="46" t="s">
        <v>24</v>
      </c>
      <c r="B16" s="145">
        <f>B17+B20</f>
        <v>41</v>
      </c>
      <c r="C16" s="99"/>
      <c r="D16" s="66"/>
      <c r="E16" s="18"/>
      <c r="F16" s="18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66"/>
      <c r="R16" s="16"/>
      <c r="S16" s="16"/>
      <c r="T16" s="16"/>
      <c r="U16" s="16"/>
      <c r="V16" s="16"/>
      <c r="W16" s="16"/>
      <c r="X16" s="16"/>
      <c r="Y16" s="16"/>
      <c r="Z16" s="45"/>
      <c r="AA16" s="63"/>
      <c r="AB16" s="63"/>
    </row>
    <row r="17" spans="1:28" ht="15.75" x14ac:dyDescent="0.25">
      <c r="A17" s="2" t="s">
        <v>25</v>
      </c>
      <c r="B17" s="145">
        <f>B18+B19</f>
        <v>41</v>
      </c>
      <c r="C17" s="99"/>
      <c r="D17" s="67"/>
      <c r="E17" s="70" t="s">
        <v>228</v>
      </c>
      <c r="F17" s="161" t="s">
        <v>358</v>
      </c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67"/>
      <c r="R17" s="16"/>
      <c r="S17" s="16"/>
      <c r="T17" s="16"/>
      <c r="U17" s="16"/>
      <c r="V17" s="16"/>
      <c r="W17" s="16"/>
      <c r="X17" s="16"/>
      <c r="Y17" s="16"/>
      <c r="Z17" s="45"/>
      <c r="AA17" s="63"/>
      <c r="AB17" s="63"/>
    </row>
    <row r="18" spans="1:28" ht="15.75" x14ac:dyDescent="0.25">
      <c r="A18" s="2" t="s">
        <v>26</v>
      </c>
      <c r="B18" s="146">
        <v>20</v>
      </c>
      <c r="C18" s="99"/>
      <c r="D18" s="67"/>
      <c r="E18" s="70" t="s">
        <v>228</v>
      </c>
      <c r="F18" s="72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67"/>
      <c r="R18" s="16"/>
      <c r="S18" s="16"/>
      <c r="T18" s="16"/>
      <c r="U18" s="16"/>
      <c r="V18" s="16"/>
      <c r="W18" s="16"/>
      <c r="X18" s="16"/>
      <c r="Y18" s="16"/>
      <c r="Z18" s="45"/>
      <c r="AA18" s="63"/>
      <c r="AB18" s="63"/>
    </row>
    <row r="19" spans="1:28" ht="15.75" x14ac:dyDescent="0.25">
      <c r="A19" s="2" t="s">
        <v>182</v>
      </c>
      <c r="B19" s="146">
        <v>21</v>
      </c>
      <c r="C19" s="99"/>
      <c r="D19" s="68"/>
      <c r="E19" s="71" t="s">
        <v>228</v>
      </c>
      <c r="F19" s="44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68"/>
      <c r="R19" s="16"/>
      <c r="S19" s="16"/>
      <c r="T19" s="16"/>
      <c r="U19" s="16"/>
      <c r="V19" s="16"/>
      <c r="W19" s="16"/>
      <c r="X19" s="16"/>
      <c r="Y19" s="16"/>
      <c r="Z19" s="45"/>
      <c r="AA19" s="63"/>
      <c r="AB19" s="63"/>
    </row>
    <row r="20" spans="1:28" ht="15.75" x14ac:dyDescent="0.25">
      <c r="A20" s="2" t="s">
        <v>6</v>
      </c>
      <c r="B20" s="145">
        <f>B21+B22</f>
        <v>0</v>
      </c>
      <c r="C20" s="99"/>
      <c r="D20" s="68"/>
      <c r="E20" s="71" t="s">
        <v>228</v>
      </c>
      <c r="F20" s="44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68"/>
      <c r="R20" s="16"/>
      <c r="S20" s="16"/>
      <c r="T20" s="16"/>
      <c r="U20" s="16"/>
      <c r="V20" s="16"/>
      <c r="W20" s="16"/>
      <c r="X20" s="16"/>
      <c r="Y20" s="16"/>
      <c r="Z20" s="45"/>
      <c r="AA20" s="63"/>
      <c r="AB20" s="63"/>
    </row>
    <row r="21" spans="1:28" ht="15.75" x14ac:dyDescent="0.25">
      <c r="A21" s="2" t="s">
        <v>27</v>
      </c>
      <c r="B21" s="146"/>
      <c r="C21" s="99"/>
      <c r="D21" s="68"/>
      <c r="E21" s="71" t="s">
        <v>228</v>
      </c>
      <c r="F21" s="44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68"/>
      <c r="R21" s="16"/>
      <c r="S21" s="16"/>
      <c r="T21" s="16"/>
      <c r="U21" s="16"/>
      <c r="V21" s="16"/>
      <c r="W21" s="16"/>
      <c r="X21" s="16"/>
      <c r="Y21" s="16"/>
      <c r="Z21" s="45"/>
      <c r="AA21" s="63"/>
      <c r="AB21" s="63"/>
    </row>
    <row r="22" spans="1:28" ht="15.75" x14ac:dyDescent="0.25">
      <c r="A22" s="2" t="s">
        <v>183</v>
      </c>
      <c r="B22" s="146"/>
      <c r="C22" s="99"/>
      <c r="D22" s="68"/>
      <c r="E22" s="16" t="s">
        <v>228</v>
      </c>
      <c r="F22" s="44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68"/>
      <c r="R22" s="16"/>
      <c r="S22" s="16"/>
      <c r="T22" s="16"/>
      <c r="U22" s="16"/>
      <c r="V22" s="16"/>
      <c r="W22" s="16"/>
      <c r="X22" s="16"/>
      <c r="Y22" s="16"/>
      <c r="Z22" s="45"/>
      <c r="AA22" s="63"/>
      <c r="AB22" s="63"/>
    </row>
    <row r="23" spans="1:28" ht="15.75" x14ac:dyDescent="0.25">
      <c r="A23" s="46" t="s">
        <v>28</v>
      </c>
      <c r="B23" s="145">
        <f>B24+B27</f>
        <v>0</v>
      </c>
      <c r="C23" s="99"/>
      <c r="D23" s="68"/>
      <c r="E23" s="16" t="s">
        <v>228</v>
      </c>
      <c r="F23" s="44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68"/>
      <c r="R23" s="16"/>
      <c r="S23" s="16"/>
      <c r="T23" s="16"/>
      <c r="U23" s="16"/>
      <c r="V23" s="16"/>
      <c r="W23" s="16"/>
      <c r="X23" s="16"/>
      <c r="Y23" s="16"/>
      <c r="Z23" s="45"/>
      <c r="AA23" s="63"/>
      <c r="AB23" s="63"/>
    </row>
    <row r="24" spans="1:28" ht="15.75" x14ac:dyDescent="0.25">
      <c r="A24" s="2" t="s">
        <v>29</v>
      </c>
      <c r="B24" s="145">
        <f>B25+B26</f>
        <v>0</v>
      </c>
      <c r="C24" s="99"/>
      <c r="D24" s="68"/>
      <c r="E24" s="16" t="s">
        <v>228</v>
      </c>
      <c r="F24" s="44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68"/>
      <c r="R24" s="16"/>
      <c r="S24" s="16"/>
      <c r="T24" s="16"/>
      <c r="U24" s="16"/>
      <c r="V24" s="16"/>
      <c r="W24" s="16"/>
      <c r="X24" s="16"/>
      <c r="Y24" s="16"/>
      <c r="Z24" s="45"/>
      <c r="AA24" s="63"/>
      <c r="AB24" s="63"/>
    </row>
    <row r="25" spans="1:28" ht="15.75" x14ac:dyDescent="0.25">
      <c r="A25" s="2" t="s">
        <v>30</v>
      </c>
      <c r="B25" s="146"/>
      <c r="C25" s="99"/>
      <c r="D25" s="68"/>
      <c r="E25" s="16" t="s">
        <v>228</v>
      </c>
      <c r="F25" s="44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68"/>
      <c r="R25" s="16"/>
      <c r="S25" s="16"/>
      <c r="T25" s="16"/>
      <c r="U25" s="16"/>
      <c r="V25" s="16"/>
      <c r="W25" s="16"/>
      <c r="X25" s="16"/>
      <c r="Y25" s="16"/>
      <c r="Z25" s="45"/>
      <c r="AA25" s="63"/>
      <c r="AB25" s="63"/>
    </row>
    <row r="26" spans="1:28" ht="15.75" x14ac:dyDescent="0.25">
      <c r="A26" s="2" t="s">
        <v>184</v>
      </c>
      <c r="B26" s="146"/>
      <c r="C26" s="99"/>
      <c r="D26" s="68"/>
      <c r="E26" s="16" t="s">
        <v>228</v>
      </c>
      <c r="F26" s="44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68"/>
      <c r="R26" s="16"/>
      <c r="S26" s="16"/>
      <c r="T26" s="16"/>
      <c r="U26" s="16"/>
      <c r="V26" s="16"/>
      <c r="W26" s="16"/>
      <c r="X26" s="16"/>
      <c r="Y26" s="16"/>
      <c r="Z26" s="45"/>
      <c r="AA26" s="63"/>
      <c r="AB26" s="63"/>
    </row>
    <row r="27" spans="1:28" ht="15.75" x14ac:dyDescent="0.25">
      <c r="A27" s="2" t="s">
        <v>31</v>
      </c>
      <c r="B27" s="145">
        <f>B28+B29</f>
        <v>0</v>
      </c>
      <c r="C27" s="99"/>
      <c r="D27" s="68"/>
      <c r="E27" s="16" t="s">
        <v>228</v>
      </c>
      <c r="F27" s="44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68"/>
      <c r="R27" s="16"/>
      <c r="S27" s="16"/>
      <c r="T27" s="16"/>
      <c r="U27" s="16"/>
      <c r="V27" s="16"/>
      <c r="W27" s="16"/>
      <c r="X27" s="16"/>
      <c r="Y27" s="16"/>
      <c r="Z27" s="45"/>
      <c r="AA27" s="63"/>
      <c r="AB27" s="63"/>
    </row>
    <row r="28" spans="1:28" ht="15.75" x14ac:dyDescent="0.25">
      <c r="A28" s="2" t="s">
        <v>32</v>
      </c>
      <c r="B28" s="146"/>
      <c r="C28" s="99"/>
      <c r="D28" s="68"/>
      <c r="E28" s="16" t="s">
        <v>228</v>
      </c>
      <c r="F28" s="44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68"/>
      <c r="R28" s="16"/>
      <c r="S28" s="16"/>
      <c r="T28" s="16"/>
      <c r="U28" s="16"/>
      <c r="V28" s="16"/>
      <c r="W28" s="16"/>
      <c r="X28" s="16"/>
      <c r="Y28" s="16"/>
      <c r="Z28" s="45"/>
      <c r="AA28" s="63"/>
      <c r="AB28" s="63"/>
    </row>
    <row r="29" spans="1:28" ht="15.75" x14ac:dyDescent="0.25">
      <c r="A29" s="2" t="s">
        <v>185</v>
      </c>
      <c r="B29" s="146"/>
      <c r="C29" s="99"/>
      <c r="D29" s="68"/>
      <c r="E29" s="16" t="s">
        <v>228</v>
      </c>
      <c r="F29" s="44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68"/>
      <c r="R29" s="16"/>
      <c r="S29" s="16"/>
      <c r="T29" s="16"/>
      <c r="U29" s="16"/>
      <c r="V29" s="16"/>
      <c r="W29" s="16"/>
      <c r="X29" s="16"/>
      <c r="Y29" s="16"/>
      <c r="Z29" s="45"/>
      <c r="AA29" s="63"/>
      <c r="AB29" s="63"/>
    </row>
    <row r="30" spans="1:28" ht="15.75" x14ac:dyDescent="0.25">
      <c r="A30" s="46" t="s">
        <v>33</v>
      </c>
      <c r="B30" s="145">
        <f>B31+B32</f>
        <v>0</v>
      </c>
      <c r="C30" s="99"/>
      <c r="D30" s="68"/>
      <c r="E30" s="16" t="s">
        <v>228</v>
      </c>
      <c r="F30" s="44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68"/>
      <c r="R30" s="16"/>
      <c r="S30" s="16"/>
      <c r="T30" s="16"/>
      <c r="U30" s="16"/>
      <c r="V30" s="16"/>
      <c r="W30" s="16"/>
      <c r="X30" s="16"/>
      <c r="Y30" s="16"/>
      <c r="Z30" s="45"/>
      <c r="AA30" s="63"/>
      <c r="AB30" s="63"/>
    </row>
    <row r="31" spans="1:28" ht="15.75" x14ac:dyDescent="0.25">
      <c r="A31" s="2" t="s">
        <v>34</v>
      </c>
      <c r="B31" s="146"/>
      <c r="C31" s="99"/>
      <c r="D31" s="68"/>
      <c r="E31" s="16" t="s">
        <v>228</v>
      </c>
      <c r="F31" s="44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68"/>
      <c r="R31" s="16"/>
      <c r="S31" s="16"/>
      <c r="T31" s="16"/>
      <c r="U31" s="16"/>
      <c r="V31" s="16"/>
      <c r="W31" s="16"/>
      <c r="X31" s="16"/>
      <c r="Y31" s="16"/>
      <c r="Z31" s="45"/>
      <c r="AA31" s="63"/>
      <c r="AB31" s="63"/>
    </row>
    <row r="32" spans="1:28" ht="15.75" x14ac:dyDescent="0.25">
      <c r="A32" s="2" t="s">
        <v>186</v>
      </c>
      <c r="B32" s="146"/>
      <c r="C32" s="99"/>
      <c r="D32" s="68"/>
      <c r="E32" s="16" t="s">
        <v>228</v>
      </c>
      <c r="F32" s="44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68"/>
      <c r="R32" s="16"/>
      <c r="S32" s="16"/>
      <c r="T32" s="16"/>
      <c r="U32" s="16"/>
      <c r="V32" s="16"/>
      <c r="W32" s="16"/>
      <c r="X32" s="16"/>
      <c r="Y32" s="16"/>
      <c r="Z32" s="45"/>
      <c r="AA32" s="63"/>
      <c r="AB32" s="63"/>
    </row>
    <row r="33" spans="1:28" ht="15.75" x14ac:dyDescent="0.25">
      <c r="A33" s="46" t="s">
        <v>35</v>
      </c>
      <c r="B33" s="145">
        <f>B34+B37</f>
        <v>0</v>
      </c>
      <c r="C33" s="99"/>
      <c r="D33" s="68"/>
      <c r="E33" s="16" t="s">
        <v>228</v>
      </c>
      <c r="F33" s="44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68"/>
      <c r="R33" s="16"/>
      <c r="S33" s="16"/>
      <c r="T33" s="16"/>
      <c r="U33" s="16"/>
      <c r="V33" s="16"/>
      <c r="W33" s="16"/>
      <c r="X33" s="16"/>
      <c r="Y33" s="16"/>
      <c r="Z33" s="45"/>
      <c r="AA33" s="63"/>
      <c r="AB33" s="63"/>
    </row>
    <row r="34" spans="1:28" ht="15.75" x14ac:dyDescent="0.25">
      <c r="A34" s="2" t="s">
        <v>36</v>
      </c>
      <c r="B34" s="145">
        <f>B35+B36</f>
        <v>0</v>
      </c>
      <c r="C34" s="99"/>
      <c r="D34" s="68"/>
      <c r="E34" s="16" t="s">
        <v>228</v>
      </c>
      <c r="F34" s="44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68"/>
      <c r="R34" s="16"/>
      <c r="S34" s="16"/>
      <c r="T34" s="16"/>
      <c r="U34" s="16"/>
      <c r="V34" s="16"/>
      <c r="W34" s="16"/>
      <c r="X34" s="16"/>
      <c r="Y34" s="16"/>
      <c r="Z34" s="45"/>
      <c r="AA34" s="63"/>
      <c r="AB34" s="63"/>
    </row>
    <row r="35" spans="1:28" ht="15.75" x14ac:dyDescent="0.25">
      <c r="A35" s="2" t="s">
        <v>37</v>
      </c>
      <c r="B35" s="146"/>
      <c r="C35" s="99"/>
      <c r="D35" s="68"/>
      <c r="E35" s="16" t="s">
        <v>228</v>
      </c>
      <c r="F35" s="44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68"/>
      <c r="R35" s="16"/>
      <c r="S35" s="16"/>
      <c r="T35" s="16"/>
      <c r="U35" s="16"/>
      <c r="V35" s="16"/>
      <c r="W35" s="16"/>
      <c r="X35" s="16"/>
      <c r="Y35" s="16"/>
      <c r="Z35" s="45"/>
      <c r="AA35" s="63"/>
      <c r="AB35" s="63"/>
    </row>
    <row r="36" spans="1:28" ht="15.75" x14ac:dyDescent="0.25">
      <c r="A36" s="2" t="s">
        <v>187</v>
      </c>
      <c r="B36" s="146"/>
      <c r="C36" s="99"/>
      <c r="D36" s="68"/>
      <c r="E36" s="16" t="s">
        <v>228</v>
      </c>
      <c r="F36" s="44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68"/>
      <c r="R36" s="16"/>
      <c r="S36" s="16"/>
      <c r="T36" s="16"/>
      <c r="U36" s="16"/>
      <c r="V36" s="16"/>
      <c r="W36" s="16"/>
      <c r="X36" s="16"/>
      <c r="Y36" s="16"/>
      <c r="Z36" s="45"/>
      <c r="AA36" s="63"/>
      <c r="AB36" s="63"/>
    </row>
    <row r="37" spans="1:28" ht="15.75" x14ac:dyDescent="0.25">
      <c r="A37" s="2" t="s">
        <v>38</v>
      </c>
      <c r="B37" s="145">
        <f>B38+B39</f>
        <v>0</v>
      </c>
      <c r="C37" s="99"/>
      <c r="D37" s="67"/>
      <c r="E37" s="70" t="s">
        <v>228</v>
      </c>
      <c r="F37" s="72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67"/>
      <c r="R37" s="16"/>
      <c r="S37" s="16"/>
      <c r="T37" s="16"/>
      <c r="U37" s="16"/>
      <c r="V37" s="16"/>
      <c r="W37" s="16"/>
      <c r="X37" s="16"/>
      <c r="Y37" s="16"/>
      <c r="Z37" s="45"/>
      <c r="AA37" s="63"/>
      <c r="AB37" s="63"/>
    </row>
    <row r="38" spans="1:28" ht="15.75" x14ac:dyDescent="0.25">
      <c r="A38" s="2" t="s">
        <v>39</v>
      </c>
      <c r="B38" s="146"/>
      <c r="C38" s="99"/>
      <c r="D38" s="68"/>
      <c r="E38" s="71" t="s">
        <v>228</v>
      </c>
      <c r="F38" s="44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68"/>
      <c r="R38" s="16"/>
      <c r="S38" s="16"/>
      <c r="T38" s="16"/>
      <c r="U38" s="16"/>
      <c r="V38" s="16"/>
      <c r="W38" s="16"/>
      <c r="X38" s="16"/>
      <c r="Y38" s="16"/>
      <c r="Z38" s="45"/>
      <c r="AA38" s="63"/>
      <c r="AB38" s="63"/>
    </row>
    <row r="39" spans="1:28" ht="15.75" x14ac:dyDescent="0.25">
      <c r="A39" s="2" t="s">
        <v>188</v>
      </c>
      <c r="B39" s="146"/>
      <c r="C39" s="99"/>
      <c r="D39" s="68"/>
      <c r="E39" s="71" t="s">
        <v>228</v>
      </c>
      <c r="F39" s="44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68"/>
      <c r="R39" s="16"/>
      <c r="S39" s="16"/>
      <c r="T39" s="16"/>
      <c r="U39" s="16"/>
      <c r="V39" s="16"/>
      <c r="W39" s="16"/>
      <c r="X39" s="16"/>
      <c r="Y39" s="16"/>
      <c r="Z39" s="45"/>
      <c r="AA39" s="63"/>
      <c r="AB39" s="63"/>
    </row>
    <row r="40" spans="1:28" ht="15.75" x14ac:dyDescent="0.25">
      <c r="A40" s="46" t="s">
        <v>279</v>
      </c>
      <c r="B40" s="145">
        <f>B41+B42</f>
        <v>0</v>
      </c>
      <c r="C40" s="99"/>
      <c r="D40" s="68"/>
      <c r="E40" s="71" t="s">
        <v>228</v>
      </c>
      <c r="F40" s="44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68"/>
      <c r="R40" s="16"/>
      <c r="S40" s="16"/>
      <c r="T40" s="16"/>
      <c r="U40" s="16"/>
      <c r="V40" s="16"/>
      <c r="W40" s="16"/>
      <c r="X40" s="16"/>
      <c r="Y40" s="16"/>
      <c r="Z40" s="45"/>
      <c r="AA40" s="63"/>
      <c r="AB40" s="63"/>
    </row>
    <row r="41" spans="1:28" ht="15.75" x14ac:dyDescent="0.25">
      <c r="A41" s="2" t="s">
        <v>317</v>
      </c>
      <c r="B41" s="146"/>
      <c r="C41" s="99"/>
      <c r="D41" s="68"/>
      <c r="E41" s="16" t="s">
        <v>228</v>
      </c>
      <c r="F41" s="44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68"/>
      <c r="R41" s="16"/>
      <c r="S41" s="16"/>
      <c r="T41" s="16"/>
      <c r="U41" s="16"/>
      <c r="V41" s="16"/>
      <c r="W41" s="16"/>
      <c r="X41" s="16"/>
      <c r="Y41" s="16"/>
      <c r="Z41" s="45"/>
      <c r="AA41" s="63"/>
      <c r="AB41" s="63"/>
    </row>
    <row r="42" spans="1:28" ht="15.75" x14ac:dyDescent="0.25">
      <c r="A42" s="2" t="s">
        <v>318</v>
      </c>
      <c r="B42" s="146"/>
      <c r="C42" s="99"/>
      <c r="D42" s="68"/>
      <c r="E42" s="16" t="s">
        <v>228</v>
      </c>
      <c r="F42" s="44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68"/>
      <c r="R42" s="16"/>
      <c r="S42" s="16"/>
      <c r="T42" s="16"/>
      <c r="U42" s="16"/>
      <c r="V42" s="16"/>
      <c r="W42" s="16"/>
      <c r="X42" s="16"/>
      <c r="Y42" s="16"/>
      <c r="Z42" s="45"/>
      <c r="AA42" s="63"/>
      <c r="AB42" s="63"/>
    </row>
    <row r="43" spans="1:28" ht="15.75" x14ac:dyDescent="0.25">
      <c r="A43" s="46" t="s">
        <v>314</v>
      </c>
      <c r="B43" s="145">
        <f>B44+B45</f>
        <v>0</v>
      </c>
      <c r="C43" s="99"/>
      <c r="D43" s="68"/>
      <c r="E43" s="16" t="s">
        <v>228</v>
      </c>
      <c r="F43" s="44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68"/>
      <c r="R43" s="16"/>
      <c r="S43" s="16"/>
      <c r="T43" s="16"/>
      <c r="U43" s="16"/>
      <c r="V43" s="16"/>
      <c r="W43" s="16"/>
      <c r="X43" s="16"/>
      <c r="Y43" s="16"/>
      <c r="Z43" s="45"/>
      <c r="AA43" s="63"/>
      <c r="AB43" s="63"/>
    </row>
    <row r="44" spans="1:28" ht="15.75" x14ac:dyDescent="0.25">
      <c r="A44" s="2" t="s">
        <v>315</v>
      </c>
      <c r="B44" s="146"/>
      <c r="C44" s="99"/>
      <c r="D44" s="68"/>
      <c r="E44" s="16" t="s">
        <v>228</v>
      </c>
      <c r="F44" s="44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68"/>
      <c r="R44" s="16"/>
      <c r="S44" s="16"/>
      <c r="T44" s="16"/>
      <c r="U44" s="16"/>
      <c r="V44" s="16"/>
      <c r="W44" s="16"/>
      <c r="X44" s="16"/>
      <c r="Y44" s="16"/>
      <c r="Z44" s="45"/>
      <c r="AA44" s="63"/>
      <c r="AB44" s="63"/>
    </row>
    <row r="45" spans="1:28" ht="15.75" x14ac:dyDescent="0.25">
      <c r="A45" s="2" t="s">
        <v>316</v>
      </c>
      <c r="B45" s="146"/>
      <c r="C45" s="99"/>
      <c r="D45" s="68"/>
      <c r="E45" s="16" t="s">
        <v>228</v>
      </c>
      <c r="F45" s="44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68"/>
      <c r="R45" s="16"/>
      <c r="S45" s="16"/>
      <c r="T45" s="16"/>
      <c r="U45" s="16"/>
      <c r="V45" s="16"/>
      <c r="W45" s="16"/>
      <c r="X45" s="16"/>
      <c r="Y45" s="16"/>
      <c r="Z45" s="45"/>
      <c r="AA45" s="63"/>
      <c r="AB45" s="63"/>
    </row>
    <row r="46" spans="1:28" ht="15.75" x14ac:dyDescent="0.25">
      <c r="A46" s="46" t="s">
        <v>280</v>
      </c>
      <c r="B46" s="146"/>
      <c r="C46" s="99"/>
      <c r="D46" s="68"/>
      <c r="E46" s="16" t="s">
        <v>228</v>
      </c>
      <c r="F46" s="44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68"/>
      <c r="R46" s="16"/>
      <c r="S46" s="16"/>
      <c r="T46" s="16"/>
      <c r="U46" s="16"/>
      <c r="V46" s="16"/>
      <c r="W46" s="16"/>
      <c r="X46" s="16"/>
      <c r="Y46" s="16"/>
      <c r="Z46" s="45"/>
      <c r="AA46" s="63"/>
      <c r="AB46" s="63"/>
    </row>
    <row r="47" spans="1:28" ht="15.75" x14ac:dyDescent="0.25">
      <c r="A47" s="47" t="s">
        <v>40</v>
      </c>
      <c r="B47" s="145">
        <f>B48+B55+B58+B61+B68+B71+B74+B77+B80</f>
        <v>76</v>
      </c>
      <c r="C47" s="99"/>
      <c r="D47" s="68"/>
      <c r="E47" s="16" t="s">
        <v>228</v>
      </c>
      <c r="F47" s="44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68"/>
      <c r="R47" s="16"/>
      <c r="S47" s="16"/>
      <c r="T47" s="16"/>
      <c r="U47" s="16"/>
      <c r="V47" s="16"/>
      <c r="W47" s="16"/>
      <c r="X47" s="16"/>
      <c r="Y47" s="16"/>
      <c r="Z47" s="45"/>
      <c r="AA47" s="63"/>
      <c r="AB47" s="63"/>
    </row>
    <row r="48" spans="1:28" ht="15.75" x14ac:dyDescent="0.25">
      <c r="A48" s="46" t="s">
        <v>5</v>
      </c>
      <c r="B48" s="145">
        <f>B49+B52</f>
        <v>76</v>
      </c>
      <c r="C48" s="99"/>
      <c r="D48" s="68"/>
      <c r="E48" s="16" t="s">
        <v>228</v>
      </c>
      <c r="F48" s="44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68"/>
      <c r="R48" s="16"/>
      <c r="S48" s="16"/>
      <c r="T48" s="16"/>
      <c r="U48" s="16"/>
      <c r="V48" s="16"/>
      <c r="W48" s="16"/>
      <c r="X48" s="16"/>
      <c r="Y48" s="16"/>
      <c r="Z48" s="45"/>
      <c r="AA48" s="63"/>
      <c r="AB48" s="63"/>
    </row>
    <row r="49" spans="1:28" ht="15.75" x14ac:dyDescent="0.25">
      <c r="A49" s="2" t="s">
        <v>274</v>
      </c>
      <c r="B49" s="145">
        <f>B50+B51</f>
        <v>76</v>
      </c>
      <c r="C49" s="99"/>
      <c r="D49" s="68"/>
      <c r="E49" s="16" t="s">
        <v>228</v>
      </c>
      <c r="F49" s="44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68"/>
      <c r="R49" s="16"/>
      <c r="S49" s="16"/>
      <c r="T49" s="16"/>
      <c r="U49" s="16"/>
      <c r="V49" s="16"/>
      <c r="W49" s="16"/>
      <c r="X49" s="16"/>
      <c r="Y49" s="16"/>
      <c r="Z49" s="45"/>
      <c r="AA49" s="63"/>
      <c r="AB49" s="63"/>
    </row>
    <row r="50" spans="1:28" ht="15.75" x14ac:dyDescent="0.25">
      <c r="A50" s="2" t="s">
        <v>277</v>
      </c>
      <c r="B50" s="146">
        <v>42</v>
      </c>
      <c r="C50" s="99"/>
      <c r="D50" s="68"/>
      <c r="E50" s="16" t="s">
        <v>228</v>
      </c>
      <c r="F50" s="44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68"/>
      <c r="R50" s="16"/>
      <c r="S50" s="16"/>
      <c r="T50" s="16"/>
      <c r="U50" s="16"/>
      <c r="V50" s="16"/>
      <c r="W50" s="16"/>
      <c r="X50" s="16"/>
      <c r="Y50" s="16"/>
      <c r="Z50" s="45"/>
      <c r="AA50" s="63"/>
      <c r="AB50" s="63"/>
    </row>
    <row r="51" spans="1:28" ht="15.75" x14ac:dyDescent="0.25">
      <c r="A51" s="2" t="s">
        <v>278</v>
      </c>
      <c r="B51" s="146">
        <v>34</v>
      </c>
      <c r="C51" s="99"/>
      <c r="D51" s="68"/>
      <c r="E51" s="16" t="s">
        <v>228</v>
      </c>
      <c r="F51" s="160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68"/>
      <c r="R51" s="16"/>
      <c r="S51" s="16"/>
      <c r="T51" s="16"/>
      <c r="U51" s="16"/>
      <c r="V51" s="16"/>
      <c r="W51" s="16"/>
      <c r="X51" s="16"/>
      <c r="Y51" s="16"/>
      <c r="Z51" s="45"/>
      <c r="AA51" s="63"/>
      <c r="AB51" s="63"/>
    </row>
    <row r="52" spans="1:28" ht="15.75" x14ac:dyDescent="0.25">
      <c r="A52" s="2" t="s">
        <v>6</v>
      </c>
      <c r="B52" s="145">
        <f>B53+B54</f>
        <v>0</v>
      </c>
      <c r="C52" s="99"/>
      <c r="D52" s="68"/>
      <c r="E52" s="16" t="s">
        <v>228</v>
      </c>
      <c r="F52" s="44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68"/>
      <c r="R52" s="16"/>
      <c r="S52" s="16"/>
      <c r="T52" s="16"/>
      <c r="U52" s="16"/>
      <c r="V52" s="16"/>
      <c r="W52" s="16"/>
      <c r="X52" s="16"/>
      <c r="Y52" s="16"/>
      <c r="Z52" s="45"/>
      <c r="AA52" s="63"/>
      <c r="AB52" s="63"/>
    </row>
    <row r="53" spans="1:28" ht="15.75" x14ac:dyDescent="0.25">
      <c r="A53" s="2" t="s">
        <v>275</v>
      </c>
      <c r="B53" s="146"/>
      <c r="C53" s="99"/>
      <c r="D53" s="68"/>
      <c r="E53" s="16" t="s">
        <v>228</v>
      </c>
      <c r="F53" s="44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68"/>
      <c r="R53" s="16"/>
      <c r="S53" s="16"/>
      <c r="T53" s="16"/>
      <c r="U53" s="16"/>
      <c r="V53" s="16"/>
      <c r="W53" s="16"/>
      <c r="X53" s="16"/>
      <c r="Y53" s="16"/>
      <c r="Z53" s="45"/>
      <c r="AA53" s="63"/>
      <c r="AB53" s="63"/>
    </row>
    <row r="54" spans="1:28" ht="15.75" x14ac:dyDescent="0.25">
      <c r="A54" s="2" t="s">
        <v>276</v>
      </c>
      <c r="B54" s="146"/>
      <c r="C54" s="99"/>
      <c r="D54" s="68"/>
      <c r="E54" s="16" t="s">
        <v>228</v>
      </c>
      <c r="F54" s="44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68"/>
      <c r="R54" s="16"/>
      <c r="S54" s="16"/>
      <c r="T54" s="16"/>
      <c r="U54" s="16"/>
      <c r="V54" s="16"/>
      <c r="W54" s="16"/>
      <c r="X54" s="16"/>
      <c r="Y54" s="16"/>
      <c r="Z54" s="45"/>
      <c r="AA54" s="63"/>
      <c r="AB54" s="63"/>
    </row>
    <row r="55" spans="1:28" ht="15.75" x14ac:dyDescent="0.25">
      <c r="A55" s="46" t="s">
        <v>41</v>
      </c>
      <c r="B55" s="145">
        <f>B56+B57</f>
        <v>0</v>
      </c>
      <c r="C55" s="99"/>
      <c r="D55" s="68"/>
      <c r="E55" s="16" t="s">
        <v>228</v>
      </c>
      <c r="F55" s="44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68"/>
      <c r="R55" s="16"/>
      <c r="S55" s="16"/>
      <c r="T55" s="16"/>
      <c r="U55" s="16"/>
      <c r="V55" s="16"/>
      <c r="W55" s="16"/>
      <c r="X55" s="16"/>
      <c r="Y55" s="16"/>
      <c r="Z55" s="45"/>
      <c r="AA55" s="63"/>
      <c r="AB55" s="63"/>
    </row>
    <row r="56" spans="1:28" ht="15.75" x14ac:dyDescent="0.25">
      <c r="A56" s="2" t="s">
        <v>42</v>
      </c>
      <c r="B56" s="146"/>
      <c r="C56" s="99"/>
      <c r="D56" s="67"/>
      <c r="E56" s="70" t="s">
        <v>228</v>
      </c>
      <c r="F56" s="72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67"/>
      <c r="R56" s="16"/>
      <c r="S56" s="16"/>
      <c r="T56" s="16"/>
      <c r="U56" s="16"/>
      <c r="V56" s="16"/>
      <c r="W56" s="16"/>
      <c r="X56" s="16"/>
      <c r="Y56" s="16"/>
      <c r="Z56" s="45"/>
      <c r="AA56" s="63"/>
      <c r="AB56" s="63"/>
    </row>
    <row r="57" spans="1:28" ht="15.75" x14ac:dyDescent="0.25">
      <c r="A57" s="2" t="s">
        <v>189</v>
      </c>
      <c r="B57" s="146"/>
      <c r="C57" s="99"/>
      <c r="D57" s="68"/>
      <c r="E57" s="71" t="s">
        <v>228</v>
      </c>
      <c r="F57" s="44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68"/>
      <c r="R57" s="16"/>
      <c r="S57" s="16"/>
      <c r="T57" s="16"/>
      <c r="U57" s="16"/>
      <c r="V57" s="16"/>
      <c r="W57" s="16"/>
      <c r="X57" s="16"/>
      <c r="Y57" s="16"/>
      <c r="Z57" s="45"/>
      <c r="AA57" s="63"/>
      <c r="AB57" s="63"/>
    </row>
    <row r="58" spans="1:28" ht="15.75" x14ac:dyDescent="0.25">
      <c r="A58" s="46" t="s">
        <v>43</v>
      </c>
      <c r="B58" s="145">
        <f>B59+B60</f>
        <v>0</v>
      </c>
      <c r="C58" s="99"/>
      <c r="D58" s="68"/>
      <c r="E58" s="71" t="s">
        <v>228</v>
      </c>
      <c r="F58" s="44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68"/>
      <c r="R58" s="16"/>
      <c r="S58" s="16"/>
      <c r="T58" s="16"/>
      <c r="U58" s="16"/>
      <c r="V58" s="16"/>
      <c r="W58" s="16"/>
      <c r="X58" s="16"/>
      <c r="Y58" s="16"/>
      <c r="Z58" s="45"/>
      <c r="AA58" s="63"/>
      <c r="AB58" s="63"/>
    </row>
    <row r="59" spans="1:28" ht="15.75" x14ac:dyDescent="0.25">
      <c r="A59" s="2" t="s">
        <v>44</v>
      </c>
      <c r="B59" s="146"/>
      <c r="C59" s="99"/>
      <c r="D59" s="68"/>
      <c r="E59" s="71" t="s">
        <v>228</v>
      </c>
      <c r="F59" s="44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68"/>
      <c r="R59" s="16"/>
      <c r="S59" s="16"/>
      <c r="T59" s="16"/>
      <c r="U59" s="16"/>
      <c r="V59" s="16"/>
      <c r="W59" s="16"/>
      <c r="X59" s="16"/>
      <c r="Y59" s="16"/>
      <c r="Z59" s="45"/>
      <c r="AA59" s="63"/>
      <c r="AB59" s="63"/>
    </row>
    <row r="60" spans="1:28" ht="15.75" x14ac:dyDescent="0.25">
      <c r="A60" s="2" t="s">
        <v>190</v>
      </c>
      <c r="B60" s="146"/>
      <c r="C60" s="99"/>
      <c r="D60" s="68"/>
      <c r="E60" s="16" t="s">
        <v>228</v>
      </c>
      <c r="F60" s="44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68"/>
      <c r="R60" s="16"/>
      <c r="S60" s="16"/>
      <c r="T60" s="16"/>
      <c r="U60" s="16"/>
      <c r="V60" s="16"/>
      <c r="W60" s="16"/>
      <c r="X60" s="16"/>
      <c r="Y60" s="16"/>
      <c r="Z60" s="45"/>
      <c r="AA60" s="63"/>
      <c r="AB60" s="63"/>
    </row>
    <row r="61" spans="1:28" ht="15.75" x14ac:dyDescent="0.25">
      <c r="A61" s="46" t="s">
        <v>7</v>
      </c>
      <c r="B61" s="145">
        <f>B62+B65</f>
        <v>0</v>
      </c>
      <c r="C61" s="99"/>
      <c r="D61" s="68"/>
      <c r="E61" s="16" t="s">
        <v>228</v>
      </c>
      <c r="F61" s="44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68"/>
      <c r="R61" s="16"/>
      <c r="S61" s="16"/>
      <c r="T61" s="16"/>
      <c r="U61" s="16"/>
      <c r="V61" s="16"/>
      <c r="W61" s="16"/>
      <c r="X61" s="16"/>
      <c r="Y61" s="16"/>
      <c r="Z61" s="45"/>
      <c r="AA61" s="63"/>
      <c r="AB61" s="63"/>
    </row>
    <row r="62" spans="1:28" ht="15.75" x14ac:dyDescent="0.25">
      <c r="A62" s="2" t="s">
        <v>45</v>
      </c>
      <c r="B62" s="145">
        <f>B63+B64</f>
        <v>0</v>
      </c>
      <c r="C62" s="99"/>
      <c r="D62" s="68"/>
      <c r="E62" s="16" t="s">
        <v>228</v>
      </c>
      <c r="F62" s="44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68"/>
      <c r="R62" s="16"/>
      <c r="S62" s="16"/>
      <c r="T62" s="16"/>
      <c r="U62" s="16"/>
      <c r="V62" s="16"/>
      <c r="W62" s="16"/>
      <c r="X62" s="16"/>
      <c r="Y62" s="16"/>
      <c r="Z62" s="45"/>
      <c r="AA62" s="63"/>
      <c r="AB62" s="63"/>
    </row>
    <row r="63" spans="1:28" ht="15.75" x14ac:dyDescent="0.25">
      <c r="A63" s="2" t="s">
        <v>46</v>
      </c>
      <c r="B63" s="146"/>
      <c r="C63" s="99"/>
      <c r="D63" s="68"/>
      <c r="E63" s="16" t="s">
        <v>228</v>
      </c>
      <c r="F63" s="44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68"/>
      <c r="R63" s="16"/>
      <c r="S63" s="16"/>
      <c r="T63" s="16"/>
      <c r="U63" s="16"/>
      <c r="V63" s="16"/>
      <c r="W63" s="16"/>
      <c r="X63" s="16"/>
      <c r="Y63" s="16"/>
      <c r="Z63" s="45"/>
      <c r="AA63" s="63"/>
      <c r="AB63" s="63"/>
    </row>
    <row r="64" spans="1:28" ht="15.75" x14ac:dyDescent="0.25">
      <c r="A64" s="2" t="s">
        <v>191</v>
      </c>
      <c r="B64" s="146"/>
      <c r="C64" s="99"/>
      <c r="D64" s="68"/>
      <c r="E64" s="16" t="s">
        <v>228</v>
      </c>
      <c r="F64" s="44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68"/>
      <c r="R64" s="16"/>
      <c r="S64" s="16"/>
      <c r="T64" s="16"/>
      <c r="U64" s="16"/>
      <c r="V64" s="16"/>
      <c r="W64" s="16"/>
      <c r="X64" s="16"/>
      <c r="Y64" s="16"/>
      <c r="Z64" s="45"/>
      <c r="AA64" s="63"/>
      <c r="AB64" s="63"/>
    </row>
    <row r="65" spans="1:28" ht="15.75" x14ac:dyDescent="0.25">
      <c r="A65" s="2" t="s">
        <v>47</v>
      </c>
      <c r="B65" s="145">
        <f>B66+B67</f>
        <v>0</v>
      </c>
      <c r="C65" s="99"/>
      <c r="D65" s="68"/>
      <c r="E65" s="16" t="s">
        <v>228</v>
      </c>
      <c r="F65" s="44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68"/>
      <c r="R65" s="16"/>
      <c r="S65" s="16"/>
      <c r="T65" s="16"/>
      <c r="U65" s="16"/>
      <c r="V65" s="16"/>
      <c r="W65" s="16"/>
      <c r="X65" s="16"/>
      <c r="Y65" s="16"/>
      <c r="Z65" s="45"/>
      <c r="AA65" s="63"/>
      <c r="AB65" s="63"/>
    </row>
    <row r="66" spans="1:28" ht="15.75" x14ac:dyDescent="0.25">
      <c r="A66" s="2" t="s">
        <v>48</v>
      </c>
      <c r="B66" s="146"/>
      <c r="C66" s="99"/>
      <c r="D66" s="68"/>
      <c r="E66" s="16" t="s">
        <v>228</v>
      </c>
      <c r="F66" s="44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68"/>
      <c r="R66" s="16"/>
      <c r="S66" s="16"/>
      <c r="T66" s="16"/>
      <c r="U66" s="16"/>
      <c r="V66" s="16"/>
      <c r="W66" s="16"/>
      <c r="X66" s="16"/>
      <c r="Y66" s="16"/>
      <c r="Z66" s="45"/>
      <c r="AA66" s="63"/>
      <c r="AB66" s="63"/>
    </row>
    <row r="67" spans="1:28" ht="15.75" x14ac:dyDescent="0.25">
      <c r="A67" s="2" t="s">
        <v>192</v>
      </c>
      <c r="B67" s="146"/>
      <c r="C67" s="99"/>
      <c r="D67" s="68"/>
      <c r="E67" s="16" t="s">
        <v>228</v>
      </c>
      <c r="F67" s="44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68"/>
      <c r="R67" s="16"/>
      <c r="S67" s="16"/>
      <c r="T67" s="16"/>
      <c r="U67" s="16"/>
      <c r="V67" s="16"/>
      <c r="W67" s="16"/>
      <c r="X67" s="16"/>
      <c r="Y67" s="16"/>
      <c r="Z67" s="45"/>
      <c r="AA67" s="63"/>
      <c r="AB67" s="63"/>
    </row>
    <row r="68" spans="1:28" ht="15.75" x14ac:dyDescent="0.25">
      <c r="A68" s="46" t="s">
        <v>49</v>
      </c>
      <c r="B68" s="145">
        <f>B69+B70</f>
        <v>0</v>
      </c>
      <c r="C68" s="99"/>
      <c r="D68" s="68"/>
      <c r="E68" s="16" t="s">
        <v>228</v>
      </c>
      <c r="F68" s="44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68"/>
      <c r="R68" s="16"/>
      <c r="S68" s="16"/>
      <c r="T68" s="16"/>
      <c r="U68" s="16"/>
      <c r="V68" s="16"/>
      <c r="W68" s="16"/>
      <c r="X68" s="16"/>
      <c r="Y68" s="16"/>
      <c r="Z68" s="45"/>
      <c r="AA68" s="63"/>
      <c r="AB68" s="63"/>
    </row>
    <row r="69" spans="1:28" ht="15.75" x14ac:dyDescent="0.25">
      <c r="A69" s="2" t="s">
        <v>50</v>
      </c>
      <c r="B69" s="146"/>
      <c r="C69" s="99"/>
      <c r="D69" s="68"/>
      <c r="E69" s="16" t="s">
        <v>228</v>
      </c>
      <c r="F69" s="44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68"/>
      <c r="R69" s="16"/>
      <c r="S69" s="16"/>
      <c r="T69" s="16"/>
      <c r="U69" s="16"/>
      <c r="V69" s="16"/>
      <c r="W69" s="16"/>
      <c r="X69" s="16"/>
      <c r="Y69" s="16"/>
      <c r="Z69" s="45"/>
      <c r="AA69" s="63"/>
      <c r="AB69" s="63"/>
    </row>
    <row r="70" spans="1:28" ht="15.75" x14ac:dyDescent="0.25">
      <c r="A70" s="2" t="s">
        <v>193</v>
      </c>
      <c r="B70" s="146"/>
      <c r="C70" s="99"/>
      <c r="D70" s="68"/>
      <c r="E70" s="16" t="s">
        <v>228</v>
      </c>
      <c r="F70" s="44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68"/>
      <c r="R70" s="16"/>
      <c r="S70" s="16"/>
      <c r="T70" s="16"/>
      <c r="U70" s="16"/>
      <c r="V70" s="16"/>
      <c r="W70" s="16"/>
      <c r="X70" s="16"/>
      <c r="Y70" s="16"/>
      <c r="Z70" s="45"/>
      <c r="AA70" s="63"/>
      <c r="AB70" s="63"/>
    </row>
    <row r="71" spans="1:28" ht="15.75" x14ac:dyDescent="0.25">
      <c r="A71" s="46" t="s">
        <v>51</v>
      </c>
      <c r="B71" s="145">
        <f>B72+B73</f>
        <v>0</v>
      </c>
      <c r="C71" s="99"/>
      <c r="D71" s="68"/>
      <c r="E71" s="16" t="s">
        <v>228</v>
      </c>
      <c r="F71" s="44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68"/>
      <c r="R71" s="16"/>
      <c r="S71" s="16"/>
      <c r="T71" s="16"/>
      <c r="U71" s="16"/>
      <c r="V71" s="16"/>
      <c r="W71" s="16"/>
      <c r="X71" s="16"/>
      <c r="Y71" s="16"/>
      <c r="Z71" s="45"/>
      <c r="AA71" s="63"/>
      <c r="AB71" s="63"/>
    </row>
    <row r="72" spans="1:28" ht="15.75" x14ac:dyDescent="0.25">
      <c r="A72" s="2" t="s">
        <v>52</v>
      </c>
      <c r="B72" s="146"/>
      <c r="C72" s="99"/>
      <c r="D72" s="68"/>
      <c r="E72" s="16" t="s">
        <v>228</v>
      </c>
      <c r="F72" s="44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68"/>
      <c r="R72" s="16"/>
      <c r="S72" s="16"/>
      <c r="T72" s="16"/>
      <c r="U72" s="16"/>
      <c r="V72" s="16"/>
      <c r="W72" s="16"/>
      <c r="X72" s="16"/>
      <c r="Y72" s="16"/>
      <c r="Z72" s="45"/>
      <c r="AA72" s="63"/>
      <c r="AB72" s="63"/>
    </row>
    <row r="73" spans="1:28" ht="15.75" x14ac:dyDescent="0.25">
      <c r="A73" s="2" t="s">
        <v>194</v>
      </c>
      <c r="B73" s="146"/>
      <c r="C73" s="99"/>
      <c r="D73" s="68"/>
      <c r="E73" s="16" t="s">
        <v>228</v>
      </c>
      <c r="F73" s="44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68"/>
      <c r="R73" s="16"/>
      <c r="S73" s="16"/>
      <c r="T73" s="16"/>
      <c r="U73" s="16"/>
      <c r="V73" s="16"/>
      <c r="W73" s="16"/>
      <c r="X73" s="16"/>
      <c r="Y73" s="16"/>
      <c r="Z73" s="45"/>
      <c r="AA73" s="63"/>
      <c r="AB73" s="63"/>
    </row>
    <row r="74" spans="1:28" ht="15.75" x14ac:dyDescent="0.25">
      <c r="A74" s="46" t="s">
        <v>53</v>
      </c>
      <c r="B74" s="145">
        <f>B75+B76</f>
        <v>0</v>
      </c>
      <c r="C74" s="99"/>
      <c r="D74" s="68"/>
      <c r="E74" s="16" t="s">
        <v>228</v>
      </c>
      <c r="F74" s="160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68"/>
      <c r="R74" s="16"/>
      <c r="S74" s="16"/>
      <c r="T74" s="16"/>
      <c r="U74" s="16"/>
      <c r="V74" s="16"/>
      <c r="W74" s="16"/>
      <c r="X74" s="16"/>
      <c r="Y74" s="16"/>
      <c r="Z74" s="45"/>
      <c r="AA74" s="63"/>
      <c r="AB74" s="63"/>
    </row>
    <row r="75" spans="1:28" ht="15.75" x14ac:dyDescent="0.25">
      <c r="A75" s="2" t="s">
        <v>54</v>
      </c>
      <c r="B75" s="146"/>
      <c r="C75" s="99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16"/>
      <c r="S75" s="16"/>
      <c r="T75" s="16"/>
      <c r="U75" s="16"/>
      <c r="V75" s="16"/>
      <c r="W75" s="16"/>
      <c r="X75" s="16"/>
      <c r="Y75" s="16"/>
      <c r="Z75" s="45"/>
      <c r="AA75" s="63"/>
      <c r="AB75" s="63"/>
    </row>
    <row r="76" spans="1:28" ht="15.75" x14ac:dyDescent="0.25">
      <c r="A76" s="2" t="s">
        <v>195</v>
      </c>
      <c r="B76" s="146"/>
      <c r="C76" s="99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45"/>
      <c r="AA76" s="63"/>
      <c r="AB76" s="63"/>
    </row>
    <row r="77" spans="1:28" ht="15.75" x14ac:dyDescent="0.25">
      <c r="A77" s="46" t="s">
        <v>319</v>
      </c>
      <c r="B77" s="145">
        <f>B78+B79</f>
        <v>0</v>
      </c>
      <c r="C77" s="99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45"/>
      <c r="AA77" s="63"/>
      <c r="AB77" s="63"/>
    </row>
    <row r="78" spans="1:28" ht="15.75" x14ac:dyDescent="0.25">
      <c r="A78" s="2" t="s">
        <v>72</v>
      </c>
      <c r="B78" s="146"/>
      <c r="C78" s="99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45"/>
      <c r="AA78" s="63"/>
      <c r="AB78" s="63"/>
    </row>
    <row r="79" spans="1:28" ht="15.75" x14ac:dyDescent="0.25">
      <c r="A79" s="55" t="s">
        <v>196</v>
      </c>
      <c r="B79" s="146"/>
      <c r="C79" s="99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45"/>
      <c r="AA79" s="63"/>
      <c r="AB79" s="63"/>
    </row>
    <row r="80" spans="1:28" ht="15.75" x14ac:dyDescent="0.25">
      <c r="A80" s="46" t="s">
        <v>271</v>
      </c>
      <c r="B80" s="145">
        <f>B81+B82</f>
        <v>0</v>
      </c>
      <c r="C80" s="99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45"/>
      <c r="AA80" s="63"/>
      <c r="AB80" s="63"/>
    </row>
    <row r="81" spans="1:28" ht="15.75" x14ac:dyDescent="0.25">
      <c r="A81" s="2" t="s">
        <v>272</v>
      </c>
      <c r="B81" s="146"/>
      <c r="C81" s="99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45"/>
      <c r="AA81" s="63"/>
      <c r="AB81" s="63"/>
    </row>
    <row r="82" spans="1:28" ht="15.75" x14ac:dyDescent="0.25">
      <c r="A82" s="55" t="s">
        <v>273</v>
      </c>
      <c r="B82" s="146">
        <v>0</v>
      </c>
      <c r="C82" s="99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45"/>
      <c r="AA82" s="63"/>
      <c r="AB82" s="63"/>
    </row>
    <row r="83" spans="1:28" ht="15.75" x14ac:dyDescent="0.25">
      <c r="A83" s="56" t="s">
        <v>55</v>
      </c>
      <c r="B83" s="145">
        <f>B84+B97+B100+B103+B110+B113+B116+B119</f>
        <v>84</v>
      </c>
      <c r="C83" s="99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45"/>
      <c r="AA83" s="63"/>
      <c r="AB83" s="63"/>
    </row>
    <row r="84" spans="1:28" ht="15.75" x14ac:dyDescent="0.25">
      <c r="A84" s="57" t="s">
        <v>56</v>
      </c>
      <c r="B84" s="145">
        <f>B85+B88+B91+B94</f>
        <v>84</v>
      </c>
      <c r="C84" s="99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45"/>
      <c r="AA84" s="63"/>
      <c r="AB84" s="63"/>
    </row>
    <row r="85" spans="1:28" ht="15.75" x14ac:dyDescent="0.25">
      <c r="A85" s="55" t="s">
        <v>57</v>
      </c>
      <c r="B85" s="145">
        <f>B86+B87</f>
        <v>83</v>
      </c>
      <c r="C85" s="99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45"/>
      <c r="AA85" s="63"/>
      <c r="AB85" s="63"/>
    </row>
    <row r="86" spans="1:28" ht="15.75" x14ac:dyDescent="0.25">
      <c r="A86" s="55" t="s">
        <v>58</v>
      </c>
      <c r="B86" s="146">
        <v>36</v>
      </c>
      <c r="C86" s="99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45"/>
      <c r="AA86" s="63"/>
      <c r="AB86" s="63"/>
    </row>
    <row r="87" spans="1:28" ht="15.75" x14ac:dyDescent="0.25">
      <c r="A87" s="55" t="s">
        <v>197</v>
      </c>
      <c r="B87" s="146">
        <v>47</v>
      </c>
      <c r="C87" s="99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45"/>
      <c r="AA87" s="63"/>
      <c r="AB87" s="63"/>
    </row>
    <row r="88" spans="1:28" ht="15.75" x14ac:dyDescent="0.25">
      <c r="A88" s="55" t="s">
        <v>237</v>
      </c>
      <c r="B88" s="145">
        <f>B89+B90</f>
        <v>1</v>
      </c>
      <c r="C88" s="99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45"/>
      <c r="AA88" s="63"/>
      <c r="AB88" s="63"/>
    </row>
    <row r="89" spans="1:28" ht="15.75" x14ac:dyDescent="0.25">
      <c r="A89" s="55" t="s">
        <v>59</v>
      </c>
      <c r="B89" s="146">
        <v>1</v>
      </c>
      <c r="C89" s="99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45"/>
      <c r="AA89" s="63"/>
      <c r="AB89" s="63"/>
    </row>
    <row r="90" spans="1:28" ht="15.75" x14ac:dyDescent="0.25">
      <c r="A90" s="55" t="s">
        <v>198</v>
      </c>
      <c r="B90" s="146"/>
      <c r="C90" s="99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45"/>
      <c r="AA90" s="63"/>
      <c r="AB90" s="63"/>
    </row>
    <row r="91" spans="1:28" ht="15.75" x14ac:dyDescent="0.25">
      <c r="A91" s="55" t="s">
        <v>60</v>
      </c>
      <c r="B91" s="145">
        <f>B92+B93</f>
        <v>0</v>
      </c>
      <c r="C91" s="99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45"/>
      <c r="AA91" s="63"/>
      <c r="AB91" s="63"/>
    </row>
    <row r="92" spans="1:28" ht="15.75" x14ac:dyDescent="0.25">
      <c r="A92" s="55" t="s">
        <v>61</v>
      </c>
      <c r="B92" s="146"/>
      <c r="C92" s="99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45"/>
      <c r="AA92" s="63"/>
      <c r="AB92" s="63"/>
    </row>
    <row r="93" spans="1:28" ht="15.75" x14ac:dyDescent="0.25">
      <c r="A93" s="55" t="s">
        <v>199</v>
      </c>
      <c r="B93" s="146"/>
      <c r="C93" s="99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45"/>
      <c r="AA93" s="63"/>
      <c r="AB93" s="63"/>
    </row>
    <row r="94" spans="1:28" ht="15.75" x14ac:dyDescent="0.25">
      <c r="A94" s="55" t="s">
        <v>62</v>
      </c>
      <c r="B94" s="145">
        <f>B95+B96</f>
        <v>0</v>
      </c>
      <c r="C94" s="99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45"/>
      <c r="AA94" s="63"/>
      <c r="AB94" s="63"/>
    </row>
    <row r="95" spans="1:28" ht="15.75" x14ac:dyDescent="0.25">
      <c r="A95" s="55" t="s">
        <v>63</v>
      </c>
      <c r="B95" s="146"/>
      <c r="C95" s="99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45"/>
      <c r="AA95" s="63"/>
      <c r="AB95" s="63"/>
    </row>
    <row r="96" spans="1:28" ht="15.75" x14ac:dyDescent="0.25">
      <c r="A96" s="55" t="s">
        <v>200</v>
      </c>
      <c r="B96" s="146"/>
      <c r="C96" s="99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45"/>
      <c r="AA96" s="63"/>
      <c r="AB96" s="63"/>
    </row>
    <row r="97" spans="1:28" ht="15.75" x14ac:dyDescent="0.25">
      <c r="A97" s="57" t="s">
        <v>64</v>
      </c>
      <c r="B97" s="145">
        <f>B98+B99</f>
        <v>0</v>
      </c>
      <c r="C97" s="99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45"/>
      <c r="AA97" s="63"/>
      <c r="AB97" s="63"/>
    </row>
    <row r="98" spans="1:28" ht="15.75" x14ac:dyDescent="0.25">
      <c r="A98" s="55" t="s">
        <v>65</v>
      </c>
      <c r="B98" s="146"/>
      <c r="C98" s="99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45"/>
      <c r="AA98" s="63"/>
      <c r="AB98" s="63"/>
    </row>
    <row r="99" spans="1:28" ht="15.75" x14ac:dyDescent="0.25">
      <c r="A99" s="55" t="s">
        <v>201</v>
      </c>
      <c r="B99" s="146"/>
      <c r="C99" s="99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45"/>
      <c r="AA99" s="63"/>
      <c r="AB99" s="63"/>
    </row>
    <row r="100" spans="1:28" ht="15.75" x14ac:dyDescent="0.25">
      <c r="A100" s="57" t="s">
        <v>66</v>
      </c>
      <c r="B100" s="145">
        <f>B101+B102</f>
        <v>0</v>
      </c>
      <c r="C100" s="99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45"/>
      <c r="AA100" s="63"/>
      <c r="AB100" s="63"/>
    </row>
    <row r="101" spans="1:28" ht="15.75" x14ac:dyDescent="0.25">
      <c r="A101" s="55" t="s">
        <v>67</v>
      </c>
      <c r="B101" s="146"/>
      <c r="C101" s="99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45"/>
      <c r="AA101" s="63"/>
      <c r="AB101" s="63"/>
    </row>
    <row r="102" spans="1:28" ht="15.75" x14ac:dyDescent="0.25">
      <c r="A102" s="55" t="s">
        <v>202</v>
      </c>
      <c r="B102" s="146"/>
      <c r="C102" s="99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45"/>
      <c r="AA102" s="63"/>
      <c r="AB102" s="63"/>
    </row>
    <row r="103" spans="1:28" ht="15.75" x14ac:dyDescent="0.25">
      <c r="A103" s="57" t="s">
        <v>68</v>
      </c>
      <c r="B103" s="145">
        <f>B104+B107</f>
        <v>0</v>
      </c>
      <c r="C103" s="99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45"/>
      <c r="AA103" s="63"/>
      <c r="AB103" s="63"/>
    </row>
    <row r="104" spans="1:28" ht="15.75" x14ac:dyDescent="0.25">
      <c r="A104" s="55" t="s">
        <v>238</v>
      </c>
      <c r="B104" s="145">
        <f>B105+B106</f>
        <v>0</v>
      </c>
      <c r="C104" s="99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45"/>
      <c r="AA104" s="63"/>
      <c r="AB104" s="63"/>
    </row>
    <row r="105" spans="1:28" ht="15.75" x14ac:dyDescent="0.25">
      <c r="A105" s="2" t="s">
        <v>239</v>
      </c>
      <c r="B105" s="146"/>
      <c r="C105" s="99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45"/>
      <c r="AA105" s="63"/>
      <c r="AB105" s="63"/>
    </row>
    <row r="106" spans="1:28" ht="15.75" x14ac:dyDescent="0.25">
      <c r="A106" s="2" t="s">
        <v>240</v>
      </c>
      <c r="B106" s="146"/>
      <c r="C106" s="99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45"/>
      <c r="AA106" s="63"/>
      <c r="AB106" s="63"/>
    </row>
    <row r="107" spans="1:28" ht="15.75" x14ac:dyDescent="0.25">
      <c r="A107" s="2" t="s">
        <v>241</v>
      </c>
      <c r="B107" s="145">
        <f>B108+B109</f>
        <v>0</v>
      </c>
      <c r="C107" s="99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45"/>
      <c r="AA107" s="63"/>
      <c r="AB107" s="63"/>
    </row>
    <row r="108" spans="1:28" ht="15.75" x14ac:dyDescent="0.25">
      <c r="A108" s="2" t="s">
        <v>242</v>
      </c>
      <c r="B108" s="146"/>
      <c r="C108" s="99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45"/>
      <c r="AA108" s="63"/>
      <c r="AB108" s="63"/>
    </row>
    <row r="109" spans="1:28" ht="15.75" x14ac:dyDescent="0.25">
      <c r="A109" s="55" t="s">
        <v>243</v>
      </c>
      <c r="B109" s="146"/>
      <c r="C109" s="99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45"/>
      <c r="AA109" s="63"/>
      <c r="AB109" s="63"/>
    </row>
    <row r="110" spans="1:28" ht="15.75" x14ac:dyDescent="0.25">
      <c r="A110" s="57" t="s">
        <v>69</v>
      </c>
      <c r="B110" s="145">
        <f>B111+B112</f>
        <v>0</v>
      </c>
      <c r="C110" s="99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45"/>
      <c r="AA110" s="63"/>
      <c r="AB110" s="63"/>
    </row>
    <row r="111" spans="1:28" ht="15.75" x14ac:dyDescent="0.25">
      <c r="A111" s="55" t="s">
        <v>244</v>
      </c>
      <c r="B111" s="146"/>
      <c r="C111" s="99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45"/>
      <c r="AA111" s="63"/>
      <c r="AB111" s="63"/>
    </row>
    <row r="112" spans="1:28" ht="15.75" x14ac:dyDescent="0.25">
      <c r="A112" s="55" t="s">
        <v>245</v>
      </c>
      <c r="B112" s="146"/>
      <c r="C112" s="99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45"/>
      <c r="AA112" s="63"/>
      <c r="AB112" s="63"/>
    </row>
    <row r="113" spans="1:28" ht="15.75" x14ac:dyDescent="0.25">
      <c r="A113" s="57" t="s">
        <v>70</v>
      </c>
      <c r="B113" s="145">
        <f>B114+B115</f>
        <v>0</v>
      </c>
      <c r="C113" s="99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45"/>
      <c r="AA113" s="63"/>
      <c r="AB113" s="63"/>
    </row>
    <row r="114" spans="1:28" ht="15.75" x14ac:dyDescent="0.25">
      <c r="A114" s="55" t="s">
        <v>246</v>
      </c>
      <c r="B114" s="146"/>
      <c r="C114" s="99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45"/>
      <c r="AA114" s="63"/>
      <c r="AB114" s="63"/>
    </row>
    <row r="115" spans="1:28" ht="15.75" x14ac:dyDescent="0.25">
      <c r="A115" s="55" t="s">
        <v>247</v>
      </c>
      <c r="B115" s="146"/>
      <c r="C115" s="99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45"/>
      <c r="AA115" s="63"/>
      <c r="AB115" s="63"/>
    </row>
    <row r="116" spans="1:28" ht="15.75" x14ac:dyDescent="0.25">
      <c r="A116" s="57" t="s">
        <v>71</v>
      </c>
      <c r="B116" s="145">
        <f>B117+B118</f>
        <v>0</v>
      </c>
      <c r="C116" s="99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45"/>
      <c r="AA116" s="63"/>
      <c r="AB116" s="63"/>
    </row>
    <row r="117" spans="1:28" ht="15.75" x14ac:dyDescent="0.25">
      <c r="A117" s="55" t="s">
        <v>248</v>
      </c>
      <c r="B117" s="146"/>
      <c r="C117" s="99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45"/>
      <c r="AA117" s="63"/>
      <c r="AB117" s="63"/>
    </row>
    <row r="118" spans="1:28" ht="15.75" x14ac:dyDescent="0.25">
      <c r="A118" s="55" t="s">
        <v>249</v>
      </c>
      <c r="B118" s="146"/>
      <c r="C118" s="99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45"/>
      <c r="AA118" s="63"/>
      <c r="AB118" s="63"/>
    </row>
    <row r="119" spans="1:28" ht="15.75" x14ac:dyDescent="0.25">
      <c r="A119" s="57" t="s">
        <v>320</v>
      </c>
      <c r="B119" s="145">
        <f>B120+B121</f>
        <v>0</v>
      </c>
      <c r="C119" s="99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45"/>
      <c r="AA119" s="63"/>
      <c r="AB119" s="63"/>
    </row>
    <row r="120" spans="1:28" ht="15.75" x14ac:dyDescent="0.25">
      <c r="A120" s="55" t="s">
        <v>250</v>
      </c>
      <c r="B120" s="146"/>
      <c r="C120" s="99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45"/>
      <c r="AA120" s="63"/>
      <c r="AB120" s="63"/>
    </row>
    <row r="121" spans="1:28" ht="15.75" x14ac:dyDescent="0.25">
      <c r="A121" s="55" t="s">
        <v>251</v>
      </c>
      <c r="B121" s="146"/>
      <c r="C121" s="99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45"/>
      <c r="AA121" s="63"/>
      <c r="AB121" s="63"/>
    </row>
    <row r="122" spans="1:28" ht="15.75" x14ac:dyDescent="0.25">
      <c r="A122" s="57" t="s">
        <v>270</v>
      </c>
      <c r="B122" s="146">
        <v>0</v>
      </c>
      <c r="C122" s="99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45"/>
      <c r="AA122" s="63"/>
      <c r="AB122" s="63"/>
    </row>
    <row r="123" spans="1:28" ht="15.75" x14ac:dyDescent="0.25">
      <c r="A123" s="56" t="s">
        <v>73</v>
      </c>
      <c r="B123" s="145">
        <f>B124+B146+B153+B156+B160+B163+B166+B169+B172</f>
        <v>81</v>
      </c>
      <c r="C123" s="99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45"/>
      <c r="AA123" s="63"/>
      <c r="AB123" s="63"/>
    </row>
    <row r="124" spans="1:28" ht="15.75" x14ac:dyDescent="0.25">
      <c r="A124" s="57" t="s">
        <v>8</v>
      </c>
      <c r="B124" s="145">
        <f>B125+B132+B135+B139</f>
        <v>81</v>
      </c>
      <c r="C124" s="99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45"/>
      <c r="AA124" s="63"/>
      <c r="AB124" s="63"/>
    </row>
    <row r="125" spans="1:28" ht="15.75" x14ac:dyDescent="0.25">
      <c r="A125" s="55" t="s">
        <v>9</v>
      </c>
      <c r="B125" s="145">
        <f>B126+B129</f>
        <v>81</v>
      </c>
      <c r="C125" s="99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45"/>
      <c r="AA125" s="63"/>
      <c r="AB125" s="63"/>
    </row>
    <row r="126" spans="1:28" ht="15.75" x14ac:dyDescent="0.25">
      <c r="A126" s="55" t="s">
        <v>264</v>
      </c>
      <c r="B126" s="145">
        <f>B127+B128</f>
        <v>81</v>
      </c>
      <c r="C126" s="99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45"/>
      <c r="AA126" s="63"/>
      <c r="AB126" s="63"/>
    </row>
    <row r="127" spans="1:28" ht="15.75" x14ac:dyDescent="0.25">
      <c r="A127" s="55" t="s">
        <v>265</v>
      </c>
      <c r="B127" s="146">
        <v>47</v>
      </c>
      <c r="C127" s="99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45"/>
      <c r="AA127" s="63"/>
      <c r="AB127" s="63"/>
    </row>
    <row r="128" spans="1:28" ht="15.75" x14ac:dyDescent="0.25">
      <c r="A128" s="55" t="s">
        <v>266</v>
      </c>
      <c r="B128" s="146">
        <v>34</v>
      </c>
      <c r="C128" s="99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45"/>
      <c r="AA128" s="63"/>
      <c r="AB128" s="63"/>
    </row>
    <row r="129" spans="1:28" ht="15.75" x14ac:dyDescent="0.25">
      <c r="A129" s="55" t="s">
        <v>267</v>
      </c>
      <c r="B129" s="145">
        <f>B130+B131</f>
        <v>0</v>
      </c>
      <c r="C129" s="99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45"/>
      <c r="AA129" s="63"/>
      <c r="AB129" s="63"/>
    </row>
    <row r="130" spans="1:28" ht="15.75" x14ac:dyDescent="0.25">
      <c r="A130" s="55" t="s">
        <v>268</v>
      </c>
      <c r="B130" s="146"/>
      <c r="C130" s="99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45"/>
      <c r="AA130" s="63"/>
      <c r="AB130" s="63"/>
    </row>
    <row r="131" spans="1:28" ht="15.75" x14ac:dyDescent="0.25">
      <c r="A131" s="55" t="s">
        <v>269</v>
      </c>
      <c r="B131" s="146"/>
      <c r="C131" s="99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45"/>
      <c r="AA131" s="63"/>
      <c r="AB131" s="63"/>
    </row>
    <row r="132" spans="1:28" ht="15.75" x14ac:dyDescent="0.25">
      <c r="A132" s="55" t="s">
        <v>10</v>
      </c>
      <c r="B132" s="145">
        <f>B133+B134</f>
        <v>0</v>
      </c>
      <c r="C132" s="99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45"/>
      <c r="AA132" s="63"/>
      <c r="AB132" s="63"/>
    </row>
    <row r="133" spans="1:28" ht="15.75" x14ac:dyDescent="0.25">
      <c r="A133" s="55" t="s">
        <v>74</v>
      </c>
      <c r="B133" s="146"/>
      <c r="C133" s="99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45"/>
      <c r="AA133" s="63"/>
      <c r="AB133" s="63"/>
    </row>
    <row r="134" spans="1:28" ht="15.75" x14ac:dyDescent="0.25">
      <c r="A134" s="55" t="s">
        <v>203</v>
      </c>
      <c r="B134" s="146"/>
      <c r="C134" s="99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45"/>
      <c r="AA134" s="63"/>
      <c r="AB134" s="63"/>
    </row>
    <row r="135" spans="1:28" ht="15.75" x14ac:dyDescent="0.25">
      <c r="A135" s="55" t="s">
        <v>11</v>
      </c>
      <c r="B135" s="145">
        <f>B136+B137</f>
        <v>0</v>
      </c>
      <c r="C135" s="99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45"/>
      <c r="AA135" s="63"/>
      <c r="AB135" s="63"/>
    </row>
    <row r="136" spans="1:28" ht="15.75" x14ac:dyDescent="0.25">
      <c r="A136" s="55" t="s">
        <v>75</v>
      </c>
      <c r="B136" s="146"/>
      <c r="C136" s="99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45"/>
      <c r="AA136" s="63"/>
      <c r="AB136" s="63"/>
    </row>
    <row r="137" spans="1:28" ht="15.75" x14ac:dyDescent="0.25">
      <c r="A137" s="55" t="s">
        <v>204</v>
      </c>
      <c r="B137" s="146"/>
      <c r="C137" s="99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45"/>
      <c r="AA137" s="63"/>
      <c r="AB137" s="63"/>
    </row>
    <row r="138" spans="1:28" ht="15.75" x14ac:dyDescent="0.25">
      <c r="A138" s="55" t="s">
        <v>321</v>
      </c>
      <c r="B138" s="148"/>
      <c r="C138" s="99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45"/>
      <c r="AA138" s="63"/>
      <c r="AB138" s="63"/>
    </row>
    <row r="139" spans="1:28" ht="15.75" x14ac:dyDescent="0.25">
      <c r="A139" s="55" t="s">
        <v>322</v>
      </c>
      <c r="B139" s="145">
        <f>B140+B143</f>
        <v>0</v>
      </c>
      <c r="C139" s="99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45"/>
      <c r="AA139" s="63"/>
      <c r="AB139" s="63"/>
    </row>
    <row r="140" spans="1:28" ht="15.75" x14ac:dyDescent="0.25">
      <c r="A140" s="55" t="s">
        <v>150</v>
      </c>
      <c r="B140" s="145">
        <f>B141+B142</f>
        <v>0</v>
      </c>
      <c r="C140" s="99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45"/>
      <c r="AA140" s="63"/>
      <c r="AB140" s="63"/>
    </row>
    <row r="141" spans="1:28" ht="15.75" x14ac:dyDescent="0.25">
      <c r="A141" s="55" t="s">
        <v>151</v>
      </c>
      <c r="B141" s="146"/>
      <c r="C141" s="99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45"/>
      <c r="AA141" s="63"/>
      <c r="AB141" s="63"/>
    </row>
    <row r="142" spans="1:28" ht="15.75" x14ac:dyDescent="0.25">
      <c r="A142" s="55" t="s">
        <v>252</v>
      </c>
      <c r="B142" s="146"/>
      <c r="C142" s="99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45"/>
      <c r="AA142" s="63"/>
      <c r="AB142" s="63"/>
    </row>
    <row r="143" spans="1:28" ht="15.75" x14ac:dyDescent="0.25">
      <c r="A143" s="55" t="s">
        <v>152</v>
      </c>
      <c r="B143" s="145">
        <f>B144+B145</f>
        <v>0</v>
      </c>
      <c r="C143" s="99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45"/>
      <c r="AA143" s="63"/>
      <c r="AB143" s="63"/>
    </row>
    <row r="144" spans="1:28" ht="15.75" x14ac:dyDescent="0.25">
      <c r="A144" s="55" t="s">
        <v>153</v>
      </c>
      <c r="B144" s="146"/>
      <c r="C144" s="99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45"/>
      <c r="AA144" s="63"/>
      <c r="AB144" s="63"/>
    </row>
    <row r="145" spans="1:28" ht="15.75" x14ac:dyDescent="0.25">
      <c r="A145" s="55" t="s">
        <v>205</v>
      </c>
      <c r="B145" s="146"/>
      <c r="C145" s="99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45"/>
      <c r="AA145" s="63"/>
      <c r="AB145" s="63"/>
    </row>
    <row r="146" spans="1:28" ht="15.75" x14ac:dyDescent="0.25">
      <c r="A146" s="57" t="s">
        <v>76</v>
      </c>
      <c r="B146" s="145">
        <f>B147+B150</f>
        <v>0</v>
      </c>
      <c r="C146" s="99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45"/>
      <c r="AA146" s="63"/>
      <c r="AB146" s="63"/>
    </row>
    <row r="147" spans="1:28" ht="15.75" x14ac:dyDescent="0.25">
      <c r="A147" s="2" t="s">
        <v>77</v>
      </c>
      <c r="B147" s="145">
        <f>B148+B149</f>
        <v>0</v>
      </c>
      <c r="C147" s="99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45"/>
      <c r="AA147" s="63"/>
      <c r="AB147" s="63"/>
    </row>
    <row r="148" spans="1:28" ht="15.75" x14ac:dyDescent="0.25">
      <c r="A148" s="2" t="s">
        <v>78</v>
      </c>
      <c r="B148" s="146"/>
      <c r="C148" s="99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45"/>
      <c r="AA148" s="63"/>
      <c r="AB148" s="63"/>
    </row>
    <row r="149" spans="1:28" ht="15.75" x14ac:dyDescent="0.25">
      <c r="A149" s="2" t="s">
        <v>206</v>
      </c>
      <c r="B149" s="146"/>
      <c r="C149" s="99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45"/>
      <c r="AA149" s="63"/>
      <c r="AB149" s="63"/>
    </row>
    <row r="150" spans="1:28" ht="15.75" x14ac:dyDescent="0.25">
      <c r="A150" s="2" t="s">
        <v>79</v>
      </c>
      <c r="B150" s="145">
        <f>B151+B152</f>
        <v>0</v>
      </c>
      <c r="C150" s="99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45"/>
      <c r="AA150" s="63"/>
      <c r="AB150" s="63"/>
    </row>
    <row r="151" spans="1:28" ht="15.75" x14ac:dyDescent="0.25">
      <c r="A151" s="2" t="s">
        <v>80</v>
      </c>
      <c r="B151" s="146"/>
      <c r="C151" s="99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45"/>
      <c r="AA151" s="63"/>
      <c r="AB151" s="63"/>
    </row>
    <row r="152" spans="1:28" ht="15.75" x14ac:dyDescent="0.25">
      <c r="A152" s="55" t="s">
        <v>207</v>
      </c>
      <c r="B152" s="146"/>
      <c r="C152" s="99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45"/>
      <c r="AA152" s="63"/>
      <c r="AB152" s="63"/>
    </row>
    <row r="153" spans="1:28" ht="15.75" x14ac:dyDescent="0.25">
      <c r="A153" s="57" t="s">
        <v>81</v>
      </c>
      <c r="B153" s="145">
        <f>B154+B155</f>
        <v>0</v>
      </c>
      <c r="C153" s="99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45"/>
      <c r="AA153" s="63"/>
      <c r="AB153" s="63"/>
    </row>
    <row r="154" spans="1:28" ht="15.75" x14ac:dyDescent="0.25">
      <c r="A154" s="55" t="s">
        <v>82</v>
      </c>
      <c r="B154" s="146"/>
      <c r="C154" s="99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45"/>
      <c r="AA154" s="63"/>
      <c r="AB154" s="63"/>
    </row>
    <row r="155" spans="1:28" ht="15.75" x14ac:dyDescent="0.25">
      <c r="A155" s="55" t="s">
        <v>208</v>
      </c>
      <c r="B155" s="146"/>
      <c r="C155" s="99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45"/>
      <c r="AA155" s="63"/>
      <c r="AB155" s="63"/>
    </row>
    <row r="156" spans="1:28" ht="15.75" x14ac:dyDescent="0.25">
      <c r="A156" s="57" t="s">
        <v>12</v>
      </c>
      <c r="B156" s="145">
        <f>B157</f>
        <v>0</v>
      </c>
      <c r="C156" s="99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45"/>
      <c r="AA156" s="63"/>
      <c r="AB156" s="63"/>
    </row>
    <row r="157" spans="1:28" ht="15.75" x14ac:dyDescent="0.25">
      <c r="A157" s="55" t="s">
        <v>83</v>
      </c>
      <c r="B157" s="145">
        <f>B158+B159</f>
        <v>0</v>
      </c>
      <c r="C157" s="99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45"/>
      <c r="AA157" s="63"/>
      <c r="AB157" s="63"/>
    </row>
    <row r="158" spans="1:28" ht="15.75" x14ac:dyDescent="0.25">
      <c r="A158" s="2" t="s">
        <v>84</v>
      </c>
      <c r="B158" s="146"/>
      <c r="C158" s="99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45"/>
      <c r="AA158" s="63"/>
      <c r="AB158" s="63"/>
    </row>
    <row r="159" spans="1:28" ht="15.75" x14ac:dyDescent="0.25">
      <c r="A159" s="2" t="s">
        <v>209</v>
      </c>
      <c r="B159" s="146"/>
      <c r="C159" s="99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45"/>
      <c r="AA159" s="63"/>
      <c r="AB159" s="63"/>
    </row>
    <row r="160" spans="1:28" ht="15.75" x14ac:dyDescent="0.25">
      <c r="A160" s="57" t="s">
        <v>233</v>
      </c>
      <c r="B160" s="145">
        <f>B161+B162</f>
        <v>0</v>
      </c>
      <c r="C160" s="99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45"/>
      <c r="AA160" s="63"/>
      <c r="AB160" s="63"/>
    </row>
    <row r="161" spans="1:28" ht="15.75" x14ac:dyDescent="0.25">
      <c r="A161" s="55" t="s">
        <v>281</v>
      </c>
      <c r="B161" s="146"/>
      <c r="C161" s="99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45"/>
      <c r="AA161" s="63"/>
      <c r="AB161" s="63"/>
    </row>
    <row r="162" spans="1:28" ht="15.75" x14ac:dyDescent="0.25">
      <c r="A162" s="55" t="s">
        <v>282</v>
      </c>
      <c r="B162" s="146"/>
      <c r="C162" s="99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45"/>
      <c r="AA162" s="63"/>
      <c r="AB162" s="63"/>
    </row>
    <row r="163" spans="1:28" ht="15.75" x14ac:dyDescent="0.25">
      <c r="A163" s="57" t="s">
        <v>13</v>
      </c>
      <c r="B163" s="145">
        <f>B164+B165</f>
        <v>0</v>
      </c>
      <c r="C163" s="99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45"/>
      <c r="AA163" s="63"/>
      <c r="AB163" s="63"/>
    </row>
    <row r="164" spans="1:28" ht="15.75" x14ac:dyDescent="0.25">
      <c r="A164" s="55" t="s">
        <v>85</v>
      </c>
      <c r="B164" s="146"/>
      <c r="C164" s="99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45"/>
      <c r="AA164" s="63"/>
      <c r="AB164" s="63"/>
    </row>
    <row r="165" spans="1:28" ht="15.75" x14ac:dyDescent="0.25">
      <c r="A165" s="55" t="s">
        <v>210</v>
      </c>
      <c r="B165" s="146"/>
      <c r="C165" s="99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45"/>
      <c r="AA165" s="63"/>
      <c r="AB165" s="63"/>
    </row>
    <row r="166" spans="1:28" ht="15.75" x14ac:dyDescent="0.25">
      <c r="A166" s="57" t="s">
        <v>14</v>
      </c>
      <c r="B166" s="145">
        <f>B167+B168</f>
        <v>0</v>
      </c>
      <c r="C166" s="99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45"/>
      <c r="AA166" s="63"/>
      <c r="AB166" s="63"/>
    </row>
    <row r="167" spans="1:28" ht="15.75" x14ac:dyDescent="0.25">
      <c r="A167" s="55" t="s">
        <v>253</v>
      </c>
      <c r="B167" s="146"/>
      <c r="C167" s="99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45"/>
      <c r="AA167" s="63"/>
      <c r="AB167" s="63"/>
    </row>
    <row r="168" spans="1:28" ht="15.75" x14ac:dyDescent="0.25">
      <c r="A168" s="55" t="s">
        <v>254</v>
      </c>
      <c r="B168" s="146"/>
      <c r="C168" s="99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45"/>
      <c r="AA168" s="63"/>
      <c r="AB168" s="63"/>
    </row>
    <row r="169" spans="1:28" ht="15.75" x14ac:dyDescent="0.25">
      <c r="A169" s="57" t="s">
        <v>323</v>
      </c>
      <c r="B169" s="145">
        <f>B170+B171</f>
        <v>0</v>
      </c>
      <c r="C169" s="99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45"/>
      <c r="AA169" s="63"/>
      <c r="AB169" s="63"/>
    </row>
    <row r="170" spans="1:28" ht="15.75" x14ac:dyDescent="0.25">
      <c r="A170" s="55" t="s">
        <v>255</v>
      </c>
      <c r="B170" s="146"/>
      <c r="C170" s="99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45"/>
      <c r="AA170" s="63"/>
      <c r="AB170" s="63"/>
    </row>
    <row r="171" spans="1:28" ht="15.75" x14ac:dyDescent="0.25">
      <c r="A171" s="55" t="s">
        <v>256</v>
      </c>
      <c r="B171" s="146"/>
      <c r="C171" s="99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45"/>
      <c r="AA171" s="63"/>
      <c r="AB171" s="63"/>
    </row>
    <row r="172" spans="1:28" ht="15.75" x14ac:dyDescent="0.25">
      <c r="A172" s="57" t="s">
        <v>234</v>
      </c>
      <c r="B172" s="145">
        <f>B174+B173</f>
        <v>0</v>
      </c>
      <c r="C172" s="99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45"/>
      <c r="AA172" s="63"/>
      <c r="AB172" s="63"/>
    </row>
    <row r="173" spans="1:28" ht="15.75" x14ac:dyDescent="0.25">
      <c r="A173" s="55" t="s">
        <v>235</v>
      </c>
      <c r="B173" s="147"/>
      <c r="C173" s="99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45"/>
      <c r="AA173" s="63"/>
      <c r="AB173" s="63"/>
    </row>
    <row r="174" spans="1:28" ht="15.75" x14ac:dyDescent="0.25">
      <c r="A174" s="55" t="s">
        <v>236</v>
      </c>
      <c r="B174" s="146"/>
      <c r="C174" s="99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45"/>
      <c r="AA174" s="63"/>
      <c r="AB174" s="63"/>
    </row>
    <row r="175" spans="1:28" ht="15.75" x14ac:dyDescent="0.25">
      <c r="A175" s="62" t="s">
        <v>86</v>
      </c>
      <c r="B175" s="148"/>
      <c r="C175" s="99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45"/>
      <c r="AA175" s="63"/>
      <c r="AB175" s="63"/>
    </row>
    <row r="176" spans="1:28" ht="15.75" x14ac:dyDescent="0.25">
      <c r="A176" s="81" t="s">
        <v>87</v>
      </c>
      <c r="B176" s="145">
        <f>B178+B177</f>
        <v>0</v>
      </c>
      <c r="C176" s="99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45"/>
      <c r="AA176" s="63"/>
      <c r="AB176" s="63"/>
    </row>
    <row r="177" spans="1:28" ht="15.75" x14ac:dyDescent="0.25">
      <c r="A177" s="55" t="s">
        <v>257</v>
      </c>
      <c r="B177" s="146"/>
      <c r="C177" s="99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45"/>
      <c r="AA177" s="63"/>
      <c r="AB177" s="63"/>
    </row>
    <row r="178" spans="1:28" ht="15.75" x14ac:dyDescent="0.25">
      <c r="A178" s="55" t="s">
        <v>258</v>
      </c>
      <c r="B178" s="146"/>
      <c r="C178" s="99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45"/>
      <c r="AA178" s="63"/>
      <c r="AB178" s="63"/>
    </row>
    <row r="179" spans="1:28" ht="15.75" x14ac:dyDescent="0.25">
      <c r="A179" s="62" t="s">
        <v>88</v>
      </c>
      <c r="B179" s="146"/>
      <c r="C179" s="99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45"/>
      <c r="AA179" s="63"/>
      <c r="AB179" s="63"/>
    </row>
    <row r="180" spans="1:28" ht="15.75" x14ac:dyDescent="0.25">
      <c r="A180" s="81" t="s">
        <v>15</v>
      </c>
      <c r="B180" s="145">
        <f>B181+B182</f>
        <v>0</v>
      </c>
      <c r="C180" s="99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45"/>
      <c r="AA180" s="63"/>
      <c r="AB180" s="63"/>
    </row>
    <row r="181" spans="1:28" ht="15.75" x14ac:dyDescent="0.25">
      <c r="A181" s="55" t="s">
        <v>16</v>
      </c>
      <c r="B181" s="146"/>
      <c r="C181" s="99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45"/>
      <c r="AA181" s="63"/>
      <c r="AB181" s="63"/>
    </row>
    <row r="182" spans="1:28" ht="15.75" x14ac:dyDescent="0.25">
      <c r="A182" s="55" t="s">
        <v>211</v>
      </c>
      <c r="B182" s="146"/>
      <c r="C182" s="99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45"/>
      <c r="AA182" s="63"/>
      <c r="AB182" s="63"/>
    </row>
    <row r="183" spans="1:28" ht="15.75" x14ac:dyDescent="0.25">
      <c r="A183" s="62" t="s">
        <v>124</v>
      </c>
      <c r="B183" s="146"/>
      <c r="C183" s="99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45"/>
      <c r="AA183" s="63"/>
      <c r="AB183" s="63"/>
    </row>
    <row r="184" spans="1:28" ht="15.75" x14ac:dyDescent="0.25">
      <c r="A184" s="62" t="s">
        <v>89</v>
      </c>
      <c r="B184" s="146"/>
      <c r="C184" s="99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45"/>
      <c r="AA184" s="63"/>
      <c r="AB184" s="63"/>
    </row>
    <row r="185" spans="1:28" ht="15.75" x14ac:dyDescent="0.25">
      <c r="A185" s="62" t="s">
        <v>285</v>
      </c>
      <c r="B185" s="159"/>
      <c r="C185" s="99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45"/>
      <c r="AA185" s="63"/>
      <c r="AB185" s="63"/>
    </row>
    <row r="186" spans="1:28" ht="15.75" x14ac:dyDescent="0.25">
      <c r="A186" s="81" t="s">
        <v>434</v>
      </c>
      <c r="B186" s="145">
        <f>B187</f>
        <v>0</v>
      </c>
      <c r="C186" s="99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45"/>
      <c r="AA186" s="63"/>
      <c r="AB186" s="63"/>
    </row>
    <row r="187" spans="1:28" ht="15.75" x14ac:dyDescent="0.25">
      <c r="A187" s="55" t="s">
        <v>435</v>
      </c>
      <c r="B187" s="159"/>
      <c r="C187" s="99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45"/>
      <c r="AA187" s="63"/>
      <c r="AB187" s="63"/>
    </row>
    <row r="188" spans="1:28" ht="15.75" x14ac:dyDescent="0.25">
      <c r="A188" s="81" t="s">
        <v>436</v>
      </c>
      <c r="B188" s="145">
        <f>SUM(B189:B191)</f>
        <v>0</v>
      </c>
      <c r="C188" s="99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45"/>
      <c r="AA188" s="63"/>
      <c r="AB188" s="63"/>
    </row>
    <row r="189" spans="1:28" ht="15.75" x14ac:dyDescent="0.25">
      <c r="A189" s="55" t="s">
        <v>324</v>
      </c>
      <c r="B189" s="146"/>
      <c r="C189" s="99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45"/>
      <c r="AA189" s="63"/>
      <c r="AB189" s="63"/>
    </row>
    <row r="190" spans="1:28" ht="15.75" x14ac:dyDescent="0.25">
      <c r="A190" s="55" t="s">
        <v>437</v>
      </c>
      <c r="B190" s="146"/>
      <c r="C190" s="99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45"/>
      <c r="AA190" s="63"/>
      <c r="AB190" s="63"/>
    </row>
    <row r="191" spans="1:28" ht="15.75" x14ac:dyDescent="0.25">
      <c r="A191" s="55" t="s">
        <v>438</v>
      </c>
      <c r="B191" s="146"/>
      <c r="C191" s="99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45"/>
      <c r="AA191" s="63"/>
      <c r="AB191" s="63"/>
    </row>
    <row r="192" spans="1:28" ht="15.75" x14ac:dyDescent="0.25">
      <c r="A192" s="81" t="s">
        <v>439</v>
      </c>
      <c r="B192" s="145">
        <f>SUM(B193:B195)</f>
        <v>0</v>
      </c>
      <c r="C192" s="99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45"/>
      <c r="AA192" s="63"/>
      <c r="AB192" s="63"/>
    </row>
    <row r="193" spans="1:28" ht="15.75" x14ac:dyDescent="0.25">
      <c r="A193" s="55" t="s">
        <v>440</v>
      </c>
      <c r="B193" s="146"/>
      <c r="C193" s="99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45"/>
      <c r="AA193" s="63"/>
      <c r="AB193" s="63"/>
    </row>
    <row r="194" spans="1:28" ht="15.75" x14ac:dyDescent="0.25">
      <c r="A194" s="55" t="s">
        <v>441</v>
      </c>
      <c r="B194" s="146"/>
      <c r="C194" s="99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45"/>
      <c r="AA194" s="63"/>
      <c r="AB194" s="63"/>
    </row>
    <row r="195" spans="1:28" ht="15.75" x14ac:dyDescent="0.25">
      <c r="A195" s="55" t="s">
        <v>442</v>
      </c>
      <c r="B195" s="146"/>
      <c r="C195" s="99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45"/>
      <c r="AA195" s="63"/>
      <c r="AB195" s="63"/>
    </row>
    <row r="196" spans="1:28" ht="15.75" x14ac:dyDescent="0.25">
      <c r="A196" s="62" t="s">
        <v>90</v>
      </c>
      <c r="B196" s="145"/>
      <c r="C196" s="99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45"/>
      <c r="AA196" s="63"/>
      <c r="AB196" s="63"/>
    </row>
    <row r="197" spans="1:28" ht="15.75" x14ac:dyDescent="0.25">
      <c r="A197" s="57" t="s">
        <v>91</v>
      </c>
      <c r="B197" s="145">
        <f>B198+B199+B200</f>
        <v>0</v>
      </c>
      <c r="C197" s="99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45"/>
      <c r="AA197" s="63"/>
      <c r="AB197" s="63"/>
    </row>
    <row r="198" spans="1:28" ht="15.75" x14ac:dyDescent="0.25">
      <c r="A198" s="55" t="s">
        <v>92</v>
      </c>
      <c r="B198" s="146"/>
      <c r="C198" s="99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45"/>
      <c r="AA198" s="63"/>
      <c r="AB198" s="63"/>
    </row>
    <row r="199" spans="1:28" ht="15.75" x14ac:dyDescent="0.25">
      <c r="A199" s="55" t="s">
        <v>93</v>
      </c>
      <c r="B199" s="146"/>
      <c r="C199" s="99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45"/>
      <c r="AA199" s="63"/>
      <c r="AB199" s="63"/>
    </row>
    <row r="200" spans="1:28" ht="15.75" x14ac:dyDescent="0.25">
      <c r="A200" s="55" t="s">
        <v>94</v>
      </c>
      <c r="B200" s="146"/>
      <c r="C200" s="99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45"/>
      <c r="AA200" s="63"/>
      <c r="AB200" s="63"/>
    </row>
    <row r="201" spans="1:28" ht="15.75" x14ac:dyDescent="0.25">
      <c r="A201" s="57" t="s">
        <v>95</v>
      </c>
      <c r="B201" s="145">
        <f>B202+B203+B204+B205</f>
        <v>0</v>
      </c>
      <c r="C201" s="99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45"/>
      <c r="AA201" s="63"/>
      <c r="AB201" s="63"/>
    </row>
    <row r="202" spans="1:28" ht="15.75" x14ac:dyDescent="0.25">
      <c r="A202" s="55" t="s">
        <v>96</v>
      </c>
      <c r="B202" s="146"/>
      <c r="C202" s="99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45"/>
      <c r="AA202" s="63"/>
      <c r="AB202" s="63"/>
    </row>
    <row r="203" spans="1:28" ht="15.75" customHeight="1" x14ac:dyDescent="0.25">
      <c r="A203" s="55" t="s">
        <v>98</v>
      </c>
      <c r="B203" s="146"/>
      <c r="C203" s="99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45"/>
      <c r="AA203" s="63"/>
      <c r="AB203" s="63"/>
    </row>
    <row r="204" spans="1:28" ht="12.75" customHeight="1" x14ac:dyDescent="0.25">
      <c r="A204" s="55" t="s">
        <v>97</v>
      </c>
      <c r="B204" s="146"/>
      <c r="C204" s="99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45"/>
      <c r="AA204" s="63"/>
      <c r="AB204" s="63"/>
    </row>
    <row r="205" spans="1:28" ht="26.25" x14ac:dyDescent="0.25">
      <c r="A205" s="55" t="s">
        <v>99</v>
      </c>
      <c r="B205" s="146"/>
      <c r="C205" s="99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45"/>
      <c r="AA205" s="63"/>
      <c r="AB205" s="63"/>
    </row>
    <row r="206" spans="1:28" ht="15.75" x14ac:dyDescent="0.25">
      <c r="A206" s="57" t="s">
        <v>100</v>
      </c>
      <c r="B206" s="145">
        <f>B207+B208+B209+B210</f>
        <v>0</v>
      </c>
      <c r="C206" s="99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45"/>
      <c r="AA206" s="63"/>
      <c r="AB206" s="63"/>
    </row>
    <row r="207" spans="1:28" ht="18.75" customHeight="1" x14ac:dyDescent="0.25">
      <c r="A207" s="55" t="s">
        <v>101</v>
      </c>
      <c r="B207" s="146"/>
      <c r="C207" s="99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45"/>
      <c r="AA207" s="63"/>
      <c r="AB207" s="63"/>
    </row>
    <row r="208" spans="1:28" ht="15.75" x14ac:dyDescent="0.25">
      <c r="A208" s="55" t="s">
        <v>102</v>
      </c>
      <c r="B208" s="146"/>
      <c r="C208" s="99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45"/>
      <c r="AA208" s="63"/>
      <c r="AB208" s="63"/>
    </row>
    <row r="209" spans="1:28" ht="15.75" customHeight="1" x14ac:dyDescent="0.25">
      <c r="A209" s="55" t="s">
        <v>103</v>
      </c>
      <c r="B209" s="146"/>
      <c r="C209" s="99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45"/>
      <c r="AA209" s="63"/>
      <c r="AB209" s="63"/>
    </row>
    <row r="210" spans="1:28" ht="26.25" x14ac:dyDescent="0.25">
      <c r="A210" s="55" t="s">
        <v>104</v>
      </c>
      <c r="B210" s="146"/>
      <c r="C210" s="99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45"/>
      <c r="AA210" s="63"/>
      <c r="AB210" s="63"/>
    </row>
    <row r="211" spans="1:28" ht="15.75" x14ac:dyDescent="0.25">
      <c r="A211" s="57" t="s">
        <v>105</v>
      </c>
      <c r="B211" s="145">
        <f>B212+B215+B218+B221</f>
        <v>0</v>
      </c>
      <c r="C211" s="99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45"/>
      <c r="AA211" s="63"/>
      <c r="AB211" s="63"/>
    </row>
    <row r="212" spans="1:28" ht="15.75" x14ac:dyDescent="0.25">
      <c r="A212" s="55" t="s">
        <v>106</v>
      </c>
      <c r="B212" s="145">
        <f>B213+B214</f>
        <v>0</v>
      </c>
      <c r="C212" s="99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45"/>
      <c r="AA212" s="63"/>
      <c r="AB212" s="63"/>
    </row>
    <row r="213" spans="1:28" ht="15.75" x14ac:dyDescent="0.25">
      <c r="A213" s="55" t="s">
        <v>107</v>
      </c>
      <c r="B213" s="146"/>
      <c r="C213" s="99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45"/>
      <c r="AA213" s="63"/>
      <c r="AB213" s="63"/>
    </row>
    <row r="214" spans="1:28" ht="15.75" x14ac:dyDescent="0.25">
      <c r="A214" s="55" t="s">
        <v>259</v>
      </c>
      <c r="B214" s="146"/>
      <c r="C214" s="99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45"/>
      <c r="AA214" s="63"/>
      <c r="AB214" s="63"/>
    </row>
    <row r="215" spans="1:28" ht="15.75" x14ac:dyDescent="0.25">
      <c r="A215" s="55" t="s">
        <v>108</v>
      </c>
      <c r="B215" s="145">
        <f>B216+B217</f>
        <v>0</v>
      </c>
      <c r="C215" s="99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45"/>
      <c r="AA215" s="63"/>
      <c r="AB215" s="63"/>
    </row>
    <row r="216" spans="1:28" ht="15.75" x14ac:dyDescent="0.25">
      <c r="A216" s="55" t="s">
        <v>111</v>
      </c>
      <c r="B216" s="146"/>
      <c r="C216" s="99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45"/>
      <c r="AA216" s="63"/>
      <c r="AB216" s="63"/>
    </row>
    <row r="217" spans="1:28" ht="15.75" x14ac:dyDescent="0.25">
      <c r="A217" s="55" t="s">
        <v>212</v>
      </c>
      <c r="B217" s="146"/>
      <c r="C217" s="99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45"/>
      <c r="AA217" s="63"/>
      <c r="AB217" s="63"/>
    </row>
    <row r="218" spans="1:28" ht="15.75" customHeight="1" x14ac:dyDescent="0.25">
      <c r="A218" s="55" t="s">
        <v>109</v>
      </c>
      <c r="B218" s="145">
        <f>B219+B220</f>
        <v>0</v>
      </c>
      <c r="C218" s="99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45"/>
      <c r="AA218" s="63"/>
      <c r="AB218" s="63"/>
    </row>
    <row r="219" spans="1:28" ht="15.75" x14ac:dyDescent="0.25">
      <c r="A219" s="55" t="s">
        <v>110</v>
      </c>
      <c r="B219" s="147"/>
      <c r="C219" s="99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45"/>
      <c r="AA219" s="63"/>
      <c r="AB219" s="63"/>
    </row>
    <row r="220" spans="1:28" ht="15.75" customHeight="1" x14ac:dyDescent="0.25">
      <c r="A220" s="55" t="s">
        <v>213</v>
      </c>
      <c r="B220" s="147"/>
      <c r="C220" s="99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45"/>
      <c r="AA220" s="63"/>
      <c r="AB220" s="63"/>
    </row>
    <row r="221" spans="1:28" ht="26.25" x14ac:dyDescent="0.25">
      <c r="A221" s="55" t="s">
        <v>112</v>
      </c>
      <c r="B221" s="145">
        <f>B222+B223</f>
        <v>0</v>
      </c>
      <c r="C221" s="99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45"/>
      <c r="AA221" s="63"/>
      <c r="AB221" s="63"/>
    </row>
    <row r="222" spans="1:28" ht="15.75" x14ac:dyDescent="0.25">
      <c r="A222" s="55" t="s">
        <v>113</v>
      </c>
      <c r="B222" s="146"/>
      <c r="C222" s="99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45"/>
      <c r="AA222" s="63"/>
      <c r="AB222" s="63"/>
    </row>
    <row r="223" spans="1:28" ht="15.75" x14ac:dyDescent="0.25">
      <c r="A223" s="55" t="s">
        <v>214</v>
      </c>
      <c r="B223" s="146"/>
      <c r="C223" s="99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45"/>
      <c r="AA223" s="63"/>
      <c r="AB223" s="63"/>
    </row>
    <row r="224" spans="1:28" ht="15.75" x14ac:dyDescent="0.25">
      <c r="A224" s="57" t="s">
        <v>114</v>
      </c>
      <c r="B224" s="145">
        <f>B225+B228+B231</f>
        <v>0</v>
      </c>
      <c r="C224" s="99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45"/>
      <c r="AA224" s="63"/>
      <c r="AB224" s="63"/>
    </row>
    <row r="225" spans="1:28" ht="15.75" x14ac:dyDescent="0.25">
      <c r="A225" s="55" t="s">
        <v>115</v>
      </c>
      <c r="B225" s="145">
        <f>B226+B227</f>
        <v>0</v>
      </c>
      <c r="C225" s="99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45"/>
      <c r="AA225" s="63"/>
      <c r="AB225" s="63"/>
    </row>
    <row r="226" spans="1:28" ht="15.75" x14ac:dyDescent="0.25">
      <c r="A226" s="55" t="s">
        <v>116</v>
      </c>
      <c r="B226" s="146"/>
      <c r="C226" s="99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45"/>
      <c r="AA226" s="63"/>
      <c r="AB226" s="63"/>
    </row>
    <row r="227" spans="1:28" ht="15.75" x14ac:dyDescent="0.25">
      <c r="A227" s="55" t="s">
        <v>215</v>
      </c>
      <c r="B227" s="146"/>
      <c r="C227" s="99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45"/>
      <c r="AA227" s="63"/>
      <c r="AB227" s="63"/>
    </row>
    <row r="228" spans="1:28" ht="15.75" x14ac:dyDescent="0.25">
      <c r="A228" s="55" t="s">
        <v>117</v>
      </c>
      <c r="B228" s="145">
        <f>B229+B230</f>
        <v>0</v>
      </c>
      <c r="C228" s="99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45"/>
      <c r="AA228" s="63"/>
      <c r="AB228" s="63"/>
    </row>
    <row r="229" spans="1:28" ht="15.75" x14ac:dyDescent="0.25">
      <c r="A229" s="55" t="s">
        <v>118</v>
      </c>
      <c r="B229" s="146"/>
      <c r="C229" s="99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45"/>
      <c r="AA229" s="63"/>
      <c r="AB229" s="63"/>
    </row>
    <row r="230" spans="1:28" ht="15.75" customHeight="1" x14ac:dyDescent="0.25">
      <c r="A230" s="55" t="s">
        <v>216</v>
      </c>
      <c r="B230" s="146"/>
      <c r="C230" s="99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45"/>
      <c r="AA230" s="63"/>
      <c r="AB230" s="63"/>
    </row>
    <row r="231" spans="1:28" ht="26.25" x14ac:dyDescent="0.25">
      <c r="A231" s="55" t="s">
        <v>119</v>
      </c>
      <c r="B231" s="145">
        <f>B232+B233</f>
        <v>0</v>
      </c>
      <c r="C231" s="99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45"/>
      <c r="AA231" s="63"/>
      <c r="AB231" s="63"/>
    </row>
    <row r="232" spans="1:28" ht="15.75" x14ac:dyDescent="0.25">
      <c r="A232" s="55" t="s">
        <v>120</v>
      </c>
      <c r="B232" s="146"/>
      <c r="C232" s="99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45"/>
      <c r="AA232" s="63"/>
      <c r="AB232" s="63"/>
    </row>
    <row r="233" spans="1:28" ht="15.75" x14ac:dyDescent="0.25">
      <c r="A233" s="55" t="s">
        <v>217</v>
      </c>
      <c r="B233" s="146"/>
      <c r="C233" s="99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45"/>
      <c r="AA233" s="63"/>
      <c r="AB233" s="63"/>
    </row>
    <row r="234" spans="1:28" ht="15.75" x14ac:dyDescent="0.25">
      <c r="A234" s="57" t="s">
        <v>121</v>
      </c>
      <c r="B234" s="145">
        <f>B235+B238+B241</f>
        <v>0</v>
      </c>
      <c r="C234" s="99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45"/>
      <c r="AA234" s="63"/>
      <c r="AB234" s="63"/>
    </row>
    <row r="235" spans="1:28" ht="15.75" x14ac:dyDescent="0.25">
      <c r="A235" s="55" t="s">
        <v>122</v>
      </c>
      <c r="B235" s="145">
        <f>B236+B237</f>
        <v>0</v>
      </c>
      <c r="C235" s="99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45"/>
      <c r="AA235" s="63"/>
      <c r="AB235" s="63"/>
    </row>
    <row r="236" spans="1:28" ht="15.75" x14ac:dyDescent="0.25">
      <c r="A236" s="55" t="s">
        <v>123</v>
      </c>
      <c r="B236" s="146"/>
      <c r="C236" s="99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45"/>
      <c r="AA236" s="63"/>
      <c r="AB236" s="63"/>
    </row>
    <row r="237" spans="1:28" ht="15.75" x14ac:dyDescent="0.25">
      <c r="A237" s="55" t="s">
        <v>218</v>
      </c>
      <c r="B237" s="146"/>
      <c r="C237" s="99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45"/>
      <c r="AA237" s="63"/>
      <c r="AB237" s="63"/>
    </row>
    <row r="238" spans="1:28" ht="15.75" x14ac:dyDescent="0.25">
      <c r="A238" s="55" t="s">
        <v>125</v>
      </c>
      <c r="B238" s="145">
        <f>B239+B240</f>
        <v>0</v>
      </c>
      <c r="C238" s="99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45"/>
      <c r="AA238" s="63"/>
      <c r="AB238" s="63"/>
    </row>
    <row r="239" spans="1:28" ht="15.75" x14ac:dyDescent="0.25">
      <c r="A239" s="55" t="s">
        <v>126</v>
      </c>
      <c r="B239" s="146"/>
      <c r="C239" s="99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45"/>
      <c r="AA239" s="63"/>
      <c r="AB239" s="63"/>
    </row>
    <row r="240" spans="1:28" ht="15.75" customHeight="1" x14ac:dyDescent="0.25">
      <c r="A240" s="55" t="s">
        <v>219</v>
      </c>
      <c r="B240" s="146"/>
      <c r="C240" s="99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45"/>
      <c r="AA240" s="63"/>
      <c r="AB240" s="63"/>
    </row>
    <row r="241" spans="1:28" ht="26.25" x14ac:dyDescent="0.25">
      <c r="A241" s="55" t="s">
        <v>127</v>
      </c>
      <c r="B241" s="145">
        <f>B242+B243</f>
        <v>0</v>
      </c>
      <c r="C241" s="99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45"/>
      <c r="AA241" s="63"/>
      <c r="AB241" s="63"/>
    </row>
    <row r="242" spans="1:28" ht="15.75" x14ac:dyDescent="0.25">
      <c r="A242" s="55" t="s">
        <v>128</v>
      </c>
      <c r="B242" s="146"/>
      <c r="C242" s="99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45"/>
      <c r="AA242" s="63"/>
      <c r="AB242" s="63"/>
    </row>
    <row r="243" spans="1:28" ht="15.75" x14ac:dyDescent="0.25">
      <c r="A243" s="55" t="s">
        <v>220</v>
      </c>
      <c r="B243" s="146"/>
      <c r="C243" s="99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45"/>
      <c r="AA243" s="63"/>
      <c r="AB243" s="63"/>
    </row>
    <row r="244" spans="1:28" ht="15.75" x14ac:dyDescent="0.25">
      <c r="A244" s="57" t="s">
        <v>284</v>
      </c>
      <c r="B244" s="146"/>
      <c r="C244" s="99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45"/>
      <c r="AA244" s="63"/>
      <c r="AB244" s="63"/>
    </row>
    <row r="245" spans="1:28" ht="15.75" x14ac:dyDescent="0.25">
      <c r="A245" s="58" t="s">
        <v>129</v>
      </c>
      <c r="B245" s="145">
        <f>B246+B247</f>
        <v>0</v>
      </c>
      <c r="C245" s="99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45"/>
      <c r="AA245" s="63"/>
      <c r="AB245" s="63"/>
    </row>
    <row r="246" spans="1:28" ht="15.75" x14ac:dyDescent="0.25">
      <c r="A246" s="55" t="s">
        <v>260</v>
      </c>
      <c r="B246" s="146"/>
      <c r="C246" s="99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45"/>
      <c r="AA246" s="63"/>
      <c r="AB246" s="63"/>
    </row>
    <row r="247" spans="1:28" ht="15.75" x14ac:dyDescent="0.25">
      <c r="A247" s="55" t="s">
        <v>261</v>
      </c>
      <c r="B247" s="146"/>
      <c r="C247" s="99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45"/>
      <c r="AA247" s="63"/>
      <c r="AB247" s="63"/>
    </row>
    <row r="248" spans="1:28" ht="15.75" x14ac:dyDescent="0.25">
      <c r="A248" s="55" t="s">
        <v>130</v>
      </c>
      <c r="B248" s="145">
        <f>B249+B250</f>
        <v>0</v>
      </c>
      <c r="C248" s="99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45"/>
      <c r="AA248" s="63"/>
      <c r="AB248" s="63"/>
    </row>
    <row r="249" spans="1:28" ht="15.75" x14ac:dyDescent="0.25">
      <c r="A249" s="55" t="s">
        <v>262</v>
      </c>
      <c r="B249" s="146"/>
      <c r="C249" s="99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45"/>
      <c r="AA249" s="63"/>
      <c r="AB249" s="63"/>
    </row>
    <row r="250" spans="1:28" ht="15.75" x14ac:dyDescent="0.25">
      <c r="A250" s="55" t="s">
        <v>263</v>
      </c>
      <c r="B250" s="146"/>
      <c r="C250" s="99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45"/>
      <c r="AA250" s="63"/>
      <c r="AB250" s="63"/>
    </row>
    <row r="251" spans="1:28" ht="15.75" x14ac:dyDescent="0.25">
      <c r="A251" s="62" t="s">
        <v>325</v>
      </c>
      <c r="B251" s="149"/>
      <c r="C251" s="99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45"/>
      <c r="AA251" s="63"/>
      <c r="AB251" s="63"/>
    </row>
    <row r="252" spans="1:28" ht="15.75" x14ac:dyDescent="0.25">
      <c r="A252" s="62" t="s">
        <v>326</v>
      </c>
      <c r="B252" s="149"/>
      <c r="C252" s="99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45"/>
      <c r="AA252" s="63"/>
      <c r="AB252" s="63"/>
    </row>
    <row r="253" spans="1:28" ht="15.75" x14ac:dyDescent="0.25">
      <c r="A253" s="62" t="s">
        <v>327</v>
      </c>
      <c r="B253" s="145">
        <f>B254+B255+B256+B257+B258+B259+B260+B261+B262</f>
        <v>0</v>
      </c>
      <c r="C253" s="99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45"/>
      <c r="AA253" s="63"/>
      <c r="AB253" s="63"/>
    </row>
    <row r="254" spans="1:28" ht="18.75" customHeight="1" x14ac:dyDescent="0.25">
      <c r="A254" s="55" t="s">
        <v>329</v>
      </c>
      <c r="B254" s="146"/>
      <c r="C254" s="99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45"/>
      <c r="AA254" s="63"/>
      <c r="AB254" s="63"/>
    </row>
    <row r="255" spans="1:28" ht="15.75" x14ac:dyDescent="0.25">
      <c r="A255" s="55" t="s">
        <v>328</v>
      </c>
      <c r="B255" s="146"/>
      <c r="C255" s="99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45"/>
      <c r="AA255" s="63"/>
      <c r="AB255" s="63"/>
    </row>
    <row r="256" spans="1:28" ht="15.75" customHeight="1" x14ac:dyDescent="0.25">
      <c r="A256" s="55" t="s">
        <v>330</v>
      </c>
      <c r="B256" s="146"/>
      <c r="C256" s="99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45"/>
      <c r="AA256" s="63"/>
      <c r="AB256" s="63"/>
    </row>
    <row r="257" spans="1:28" ht="15.75" x14ac:dyDescent="0.25">
      <c r="A257" s="55" t="s">
        <v>331</v>
      </c>
      <c r="B257" s="146"/>
      <c r="C257" s="99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45"/>
      <c r="AA257" s="63"/>
      <c r="AB257" s="63"/>
    </row>
    <row r="258" spans="1:28" ht="15.75" x14ac:dyDescent="0.25">
      <c r="A258" s="55" t="s">
        <v>332</v>
      </c>
      <c r="B258" s="146"/>
      <c r="C258" s="99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45"/>
      <c r="AA258" s="63"/>
      <c r="AB258" s="63"/>
    </row>
    <row r="259" spans="1:28" ht="15.75" x14ac:dyDescent="0.25">
      <c r="A259" s="55" t="s">
        <v>333</v>
      </c>
      <c r="B259" s="146"/>
      <c r="C259" s="99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45"/>
      <c r="AA259" s="63"/>
      <c r="AB259" s="63"/>
    </row>
    <row r="260" spans="1:28" ht="15.75" x14ac:dyDescent="0.25">
      <c r="A260" s="55" t="s">
        <v>334</v>
      </c>
      <c r="B260" s="146"/>
      <c r="C260" s="99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45"/>
      <c r="AA260" s="63"/>
      <c r="AB260" s="63"/>
    </row>
    <row r="261" spans="1:28" ht="15.75" x14ac:dyDescent="0.25">
      <c r="A261" s="55" t="s">
        <v>335</v>
      </c>
      <c r="B261" s="146"/>
      <c r="C261" s="99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45"/>
      <c r="AA261" s="63"/>
      <c r="AB261" s="63"/>
    </row>
    <row r="262" spans="1:28" ht="15.75" x14ac:dyDescent="0.25">
      <c r="A262" s="55" t="s">
        <v>336</v>
      </c>
      <c r="B262" s="146"/>
      <c r="C262" s="99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45"/>
      <c r="AA262" s="63"/>
      <c r="AB262" s="63"/>
    </row>
    <row r="263" spans="1:28" ht="15.75" x14ac:dyDescent="0.25">
      <c r="A263" s="76" t="s">
        <v>337</v>
      </c>
      <c r="B263" s="151"/>
      <c r="C263" s="99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45"/>
      <c r="AA263" s="63"/>
      <c r="AB263" s="63"/>
    </row>
    <row r="264" spans="1:28" ht="15.75" x14ac:dyDescent="0.25">
      <c r="A264" s="57" t="s">
        <v>131</v>
      </c>
      <c r="B264" s="150">
        <f>B265+B266+B267+B268</f>
        <v>0</v>
      </c>
      <c r="C264" s="99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45"/>
      <c r="AA264" s="63"/>
      <c r="AB264" s="63"/>
    </row>
    <row r="265" spans="1:28" ht="15.75" x14ac:dyDescent="0.25">
      <c r="A265" s="55" t="s">
        <v>132</v>
      </c>
      <c r="B265" s="146"/>
      <c r="C265" s="99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45"/>
      <c r="AA265" s="63"/>
      <c r="AB265" s="63"/>
    </row>
    <row r="266" spans="1:28" ht="15.75" x14ac:dyDescent="0.25">
      <c r="A266" s="55" t="s">
        <v>133</v>
      </c>
      <c r="B266" s="146"/>
      <c r="C266" s="99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45"/>
      <c r="AA266" s="63"/>
      <c r="AB266" s="63"/>
    </row>
    <row r="267" spans="1:28" ht="15.75" x14ac:dyDescent="0.25">
      <c r="A267" s="55" t="s">
        <v>134</v>
      </c>
      <c r="B267" s="146"/>
      <c r="C267" s="99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45"/>
      <c r="AA267" s="63"/>
      <c r="AB267" s="63"/>
    </row>
    <row r="268" spans="1:28" ht="26.25" x14ac:dyDescent="0.25">
      <c r="A268" s="58" t="s">
        <v>154</v>
      </c>
      <c r="B268" s="146"/>
      <c r="C268" s="99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45"/>
      <c r="AA268" s="63"/>
      <c r="AB268" s="63"/>
    </row>
    <row r="269" spans="1:28" ht="15.75" x14ac:dyDescent="0.25">
      <c r="A269" s="57" t="s">
        <v>338</v>
      </c>
      <c r="B269" s="146"/>
      <c r="C269" s="99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45"/>
      <c r="AA269" s="63"/>
      <c r="AB269" s="63"/>
    </row>
    <row r="270" spans="1:28" ht="15.75" x14ac:dyDescent="0.25">
      <c r="A270" s="76" t="s">
        <v>17</v>
      </c>
      <c r="B270" s="151"/>
      <c r="C270" s="99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45"/>
      <c r="AA270" s="63"/>
      <c r="AB270" s="63"/>
    </row>
    <row r="271" spans="1:28" ht="15.75" x14ac:dyDescent="0.25">
      <c r="A271" s="59" t="s">
        <v>135</v>
      </c>
      <c r="B271" s="152"/>
      <c r="C271" s="99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45"/>
      <c r="AA271" s="63"/>
      <c r="AB271" s="63"/>
    </row>
    <row r="272" spans="1:28" ht="15.75" x14ac:dyDescent="0.25">
      <c r="A272" s="59" t="s">
        <v>225</v>
      </c>
      <c r="B272" s="146"/>
      <c r="C272" s="99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45"/>
      <c r="AA272" s="63"/>
      <c r="AB272" s="63"/>
    </row>
    <row r="273" spans="1:28" ht="15.75" x14ac:dyDescent="0.25">
      <c r="A273" s="59" t="s">
        <v>226</v>
      </c>
      <c r="B273" s="146"/>
      <c r="C273" s="99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45"/>
      <c r="AA273" s="63"/>
      <c r="AB273" s="63"/>
    </row>
    <row r="274" spans="1:28" ht="15.75" x14ac:dyDescent="0.25">
      <c r="A274" s="59" t="s">
        <v>339</v>
      </c>
      <c r="B274" s="149"/>
      <c r="C274" s="99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45"/>
      <c r="AA274" s="63"/>
      <c r="AB274" s="63"/>
    </row>
    <row r="275" spans="1:28" ht="15.75" x14ac:dyDescent="0.25">
      <c r="A275" s="59" t="s">
        <v>340</v>
      </c>
      <c r="B275" s="149"/>
      <c r="C275" s="99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45"/>
      <c r="AA275" s="63"/>
      <c r="AB275" s="63"/>
    </row>
    <row r="276" spans="1:28" ht="15.75" x14ac:dyDescent="0.25">
      <c r="A276" s="76" t="s">
        <v>341</v>
      </c>
      <c r="B276" s="151"/>
      <c r="C276" s="99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45"/>
      <c r="AA276" s="63"/>
      <c r="AB276" s="63"/>
    </row>
    <row r="277" spans="1:28" ht="15.75" x14ac:dyDescent="0.25">
      <c r="A277" s="57" t="s">
        <v>342</v>
      </c>
      <c r="B277" s="145">
        <f>B278+B281</f>
        <v>0</v>
      </c>
      <c r="C277" s="99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45"/>
      <c r="AA277" s="63"/>
      <c r="AB277" s="63"/>
    </row>
    <row r="278" spans="1:28" ht="15.75" x14ac:dyDescent="0.25">
      <c r="A278" s="55" t="s">
        <v>346</v>
      </c>
      <c r="B278" s="145">
        <f>B279+B280</f>
        <v>0</v>
      </c>
      <c r="C278" s="99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45"/>
      <c r="AA278" s="63"/>
      <c r="AB278" s="63"/>
    </row>
    <row r="279" spans="1:28" ht="15.75" x14ac:dyDescent="0.25">
      <c r="A279" s="55" t="s">
        <v>347</v>
      </c>
      <c r="B279" s="146"/>
      <c r="C279" s="99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45"/>
      <c r="AA279" s="63"/>
      <c r="AB279" s="63"/>
    </row>
    <row r="280" spans="1:28" ht="15.75" x14ac:dyDescent="0.25">
      <c r="A280" s="55" t="s">
        <v>350</v>
      </c>
      <c r="B280" s="146"/>
      <c r="C280" s="99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45"/>
      <c r="AA280" s="63"/>
      <c r="AB280" s="63"/>
    </row>
    <row r="281" spans="1:28" ht="15.75" x14ac:dyDescent="0.25">
      <c r="A281" s="55" t="s">
        <v>348</v>
      </c>
      <c r="B281" s="145">
        <f>B282+B283</f>
        <v>0</v>
      </c>
      <c r="C281" s="99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45"/>
      <c r="AA281" s="63"/>
      <c r="AB281" s="63"/>
    </row>
    <row r="282" spans="1:28" ht="15.75" x14ac:dyDescent="0.25">
      <c r="A282" s="55" t="s">
        <v>349</v>
      </c>
      <c r="B282" s="146"/>
      <c r="C282" s="99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45"/>
      <c r="AA282" s="63"/>
      <c r="AB282" s="63"/>
    </row>
    <row r="283" spans="1:28" ht="15.75" x14ac:dyDescent="0.25">
      <c r="A283" s="55" t="s">
        <v>351</v>
      </c>
      <c r="B283" s="146"/>
      <c r="C283" s="99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45"/>
      <c r="AA283" s="63"/>
      <c r="AB283" s="63"/>
    </row>
    <row r="284" spans="1:28" ht="15.75" x14ac:dyDescent="0.25">
      <c r="A284" s="57" t="s">
        <v>345</v>
      </c>
      <c r="B284" s="145">
        <f>B285+B288</f>
        <v>0</v>
      </c>
      <c r="C284" s="99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45"/>
      <c r="AA284" s="63"/>
      <c r="AB284" s="63"/>
    </row>
    <row r="285" spans="1:28" ht="15.75" x14ac:dyDescent="0.25">
      <c r="A285" s="55" t="s">
        <v>352</v>
      </c>
      <c r="B285" s="145">
        <f>B286+B287</f>
        <v>0</v>
      </c>
      <c r="C285" s="99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45"/>
      <c r="AA285" s="63"/>
      <c r="AB285" s="63"/>
    </row>
    <row r="286" spans="1:28" ht="15.75" x14ac:dyDescent="0.25">
      <c r="A286" s="55" t="s">
        <v>343</v>
      </c>
      <c r="B286" s="146"/>
      <c r="C286" s="99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45"/>
      <c r="AA286" s="63"/>
      <c r="AB286" s="63"/>
    </row>
    <row r="287" spans="1:28" ht="15.75" x14ac:dyDescent="0.25">
      <c r="A287" s="55" t="s">
        <v>353</v>
      </c>
      <c r="B287" s="146"/>
      <c r="C287" s="99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45"/>
      <c r="AA287" s="63"/>
      <c r="AB287" s="63"/>
    </row>
    <row r="288" spans="1:28" ht="15.75" x14ac:dyDescent="0.25">
      <c r="A288" s="55" t="s">
        <v>354</v>
      </c>
      <c r="B288" s="145">
        <f>B289+B290</f>
        <v>0</v>
      </c>
      <c r="C288" s="99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45"/>
      <c r="AA288" s="63"/>
      <c r="AB288" s="63"/>
    </row>
    <row r="289" spans="1:28" ht="15.75" x14ac:dyDescent="0.25">
      <c r="A289" s="55" t="s">
        <v>344</v>
      </c>
      <c r="B289" s="146"/>
      <c r="C289" s="99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45"/>
      <c r="AA289" s="63"/>
      <c r="AB289" s="63"/>
    </row>
    <row r="290" spans="1:28" ht="15.75" x14ac:dyDescent="0.25">
      <c r="A290" s="55" t="s">
        <v>355</v>
      </c>
      <c r="B290" s="146"/>
      <c r="C290" s="99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45"/>
      <c r="AA290" s="63"/>
      <c r="AB290" s="63"/>
    </row>
    <row r="291" spans="1:28" ht="15.75" x14ac:dyDescent="0.25">
      <c r="A291" s="78" t="s">
        <v>18</v>
      </c>
      <c r="B291" s="155"/>
      <c r="C291" s="99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45"/>
      <c r="AA291" s="63"/>
      <c r="AB291" s="63"/>
    </row>
    <row r="292" spans="1:28" ht="15.75" x14ac:dyDescent="0.25">
      <c r="A292" s="79" t="s">
        <v>19</v>
      </c>
      <c r="B292" s="156"/>
      <c r="C292" s="99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45"/>
      <c r="AA292" s="63"/>
      <c r="AB292" s="63"/>
    </row>
    <row r="293" spans="1:28" ht="15.75" x14ac:dyDescent="0.25">
      <c r="A293" s="74" t="s">
        <v>20</v>
      </c>
      <c r="B293" s="153"/>
      <c r="C293" s="99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45"/>
      <c r="AA293" s="63"/>
      <c r="AB293" s="63"/>
    </row>
    <row r="294" spans="1:28" ht="15.75" x14ac:dyDescent="0.25">
      <c r="A294" s="80" t="s">
        <v>21</v>
      </c>
      <c r="B294" s="157"/>
      <c r="C294" s="99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45"/>
      <c r="AA294" s="63"/>
      <c r="AB294" s="63"/>
    </row>
    <row r="295" spans="1:28" ht="15.75" x14ac:dyDescent="0.25">
      <c r="A295" s="75" t="s">
        <v>137</v>
      </c>
      <c r="B295" s="154"/>
      <c r="C295" s="99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45"/>
      <c r="AA295" s="63"/>
      <c r="AB295" s="63"/>
    </row>
    <row r="296" spans="1:28" ht="15.75" x14ac:dyDescent="0.25">
      <c r="A296" s="57" t="s">
        <v>138</v>
      </c>
      <c r="B296" s="152"/>
      <c r="C296" s="99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45"/>
      <c r="AA296" s="63"/>
      <c r="AB296" s="63"/>
    </row>
    <row r="297" spans="1:28" ht="15.75" x14ac:dyDescent="0.25">
      <c r="A297" s="57" t="s">
        <v>136</v>
      </c>
      <c r="B297" s="145">
        <f>B298+B301+B304+B307+B310+B312</f>
        <v>0</v>
      </c>
      <c r="C297" s="99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45"/>
      <c r="AA297" s="63"/>
      <c r="AB297" s="63"/>
    </row>
    <row r="298" spans="1:28" ht="15.75" x14ac:dyDescent="0.25">
      <c r="A298" s="60" t="s">
        <v>155</v>
      </c>
      <c r="B298" s="145">
        <f>B299+B300</f>
        <v>0</v>
      </c>
      <c r="C298" s="99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45"/>
      <c r="AA298" s="63"/>
      <c r="AB298" s="63"/>
    </row>
    <row r="299" spans="1:28" ht="15.75" x14ac:dyDescent="0.25">
      <c r="A299" s="55" t="s">
        <v>139</v>
      </c>
      <c r="B299" s="146"/>
      <c r="C299" s="99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45"/>
      <c r="AA299" s="63"/>
      <c r="AB299" s="63"/>
    </row>
    <row r="300" spans="1:28" ht="15.75" x14ac:dyDescent="0.25">
      <c r="A300" s="55" t="s">
        <v>221</v>
      </c>
      <c r="B300" s="146"/>
      <c r="C300" s="99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45"/>
      <c r="AA300" s="63"/>
      <c r="AB300" s="63"/>
    </row>
    <row r="301" spans="1:28" ht="15.75" x14ac:dyDescent="0.25">
      <c r="A301" s="55" t="s">
        <v>140</v>
      </c>
      <c r="B301" s="145">
        <f>B302+B303</f>
        <v>0</v>
      </c>
      <c r="C301" s="99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45"/>
      <c r="AA301" s="63"/>
      <c r="AB301" s="63"/>
    </row>
    <row r="302" spans="1:28" ht="15.75" x14ac:dyDescent="0.25">
      <c r="A302" s="55" t="s">
        <v>141</v>
      </c>
      <c r="B302" s="146"/>
      <c r="C302" s="99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45"/>
      <c r="AA302" s="63"/>
      <c r="AB302" s="63"/>
    </row>
    <row r="303" spans="1:28" ht="15.75" x14ac:dyDescent="0.25">
      <c r="A303" s="55" t="s">
        <v>222</v>
      </c>
      <c r="B303" s="146"/>
      <c r="C303" s="99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45"/>
      <c r="AA303" s="63"/>
      <c r="AB303" s="63"/>
    </row>
    <row r="304" spans="1:28" ht="15.75" x14ac:dyDescent="0.25">
      <c r="A304" s="55" t="s">
        <v>142</v>
      </c>
      <c r="B304" s="145">
        <f>B305+B306</f>
        <v>0</v>
      </c>
      <c r="C304" s="99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45"/>
      <c r="AA304" s="63"/>
      <c r="AB304" s="63"/>
    </row>
    <row r="305" spans="1:28" ht="15.75" x14ac:dyDescent="0.25">
      <c r="A305" s="55" t="s">
        <v>22</v>
      </c>
      <c r="B305" s="146"/>
      <c r="C305" s="99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45"/>
      <c r="AA305" s="63"/>
      <c r="AB305" s="63"/>
    </row>
    <row r="306" spans="1:28" ht="15.75" x14ac:dyDescent="0.25">
      <c r="A306" s="55" t="s">
        <v>223</v>
      </c>
      <c r="B306" s="146"/>
      <c r="C306" s="99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45"/>
      <c r="AA306" s="63"/>
      <c r="AB306" s="63"/>
    </row>
    <row r="307" spans="1:28" ht="15.75" x14ac:dyDescent="0.25">
      <c r="A307" s="55" t="s">
        <v>143</v>
      </c>
      <c r="B307" s="145">
        <f>B308+B309</f>
        <v>0</v>
      </c>
      <c r="C307" s="99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45"/>
      <c r="AA307" s="63"/>
      <c r="AB307" s="63"/>
    </row>
    <row r="308" spans="1:28" ht="15.75" x14ac:dyDescent="0.25">
      <c r="A308" s="55" t="s">
        <v>144</v>
      </c>
      <c r="B308" s="146"/>
      <c r="C308" s="99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45"/>
      <c r="AA308" s="63"/>
      <c r="AB308" s="63"/>
    </row>
    <row r="309" spans="1:28" ht="15.75" x14ac:dyDescent="0.25">
      <c r="A309" s="55" t="s">
        <v>224</v>
      </c>
      <c r="B309" s="146"/>
      <c r="C309" s="99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45"/>
      <c r="AA309" s="63"/>
      <c r="AB309" s="63"/>
    </row>
    <row r="310" spans="1:28" ht="15.75" x14ac:dyDescent="0.25">
      <c r="A310" s="55" t="s">
        <v>145</v>
      </c>
      <c r="B310" s="148"/>
      <c r="C310" s="99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45"/>
      <c r="AA310" s="63"/>
      <c r="AB310" s="63"/>
    </row>
    <row r="311" spans="1:28" ht="15.75" x14ac:dyDescent="0.25">
      <c r="A311" s="60" t="s">
        <v>146</v>
      </c>
      <c r="B311" s="145"/>
      <c r="C311" s="99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45"/>
      <c r="AA311" s="63"/>
      <c r="AB311" s="63"/>
    </row>
    <row r="312" spans="1:28" ht="15.75" x14ac:dyDescent="0.25">
      <c r="A312" s="55" t="s">
        <v>147</v>
      </c>
      <c r="B312" s="146"/>
      <c r="C312" s="99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45"/>
      <c r="AA312" s="63"/>
      <c r="AB312" s="63"/>
    </row>
    <row r="313" spans="1:28" ht="25.5" x14ac:dyDescent="0.25">
      <c r="A313" s="61" t="s">
        <v>230</v>
      </c>
      <c r="B313" s="147"/>
      <c r="C313" s="99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45"/>
      <c r="AA313" s="63"/>
      <c r="AB313" s="63"/>
    </row>
    <row r="314" spans="1:28" ht="15.75" x14ac:dyDescent="0.25">
      <c r="A314" s="57" t="s">
        <v>148</v>
      </c>
      <c r="B314" s="149"/>
      <c r="C314" s="99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45"/>
      <c r="AA314" s="63"/>
      <c r="AB314" s="63"/>
    </row>
    <row r="315" spans="1:28" ht="26.25" x14ac:dyDescent="0.25">
      <c r="A315" s="76" t="s">
        <v>356</v>
      </c>
      <c r="B315" s="151"/>
      <c r="C315" s="99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45"/>
      <c r="AA315" s="63"/>
      <c r="AB315" s="63"/>
    </row>
    <row r="316" spans="1:28" ht="15.75" x14ac:dyDescent="0.25">
      <c r="A316" s="57" t="s">
        <v>149</v>
      </c>
      <c r="B316" s="148"/>
      <c r="C316" s="99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45"/>
      <c r="AA316" s="63"/>
      <c r="AB316" s="63"/>
    </row>
    <row r="317" spans="1:28" ht="15.75" x14ac:dyDescent="0.25">
      <c r="A317" s="55" t="s">
        <v>357</v>
      </c>
      <c r="B317" s="145">
        <f>B318+B319</f>
        <v>0</v>
      </c>
      <c r="C317" s="99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45"/>
      <c r="AA317" s="63"/>
      <c r="AB317" s="63"/>
    </row>
    <row r="318" spans="1:28" ht="15.75" x14ac:dyDescent="0.25">
      <c r="A318" s="55" t="s">
        <v>22</v>
      </c>
      <c r="B318" s="146"/>
      <c r="C318" s="99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45"/>
      <c r="AA318" s="63"/>
      <c r="AB318" s="63"/>
    </row>
    <row r="319" spans="1:28" ht="15.75" x14ac:dyDescent="0.25">
      <c r="A319" s="55" t="s">
        <v>223</v>
      </c>
      <c r="B319" s="146"/>
      <c r="C319" s="99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45"/>
      <c r="AA319" s="63"/>
      <c r="AB319" s="63"/>
    </row>
    <row r="320" spans="1:28" s="267" customFormat="1" ht="18.75" customHeight="1" x14ac:dyDescent="0.2">
      <c r="A320" s="268" t="s">
        <v>444</v>
      </c>
      <c r="B320" s="270"/>
      <c r="C320" s="263"/>
      <c r="D320" s="264"/>
      <c r="E320" s="264"/>
      <c r="F320" s="264"/>
      <c r="G320" s="264"/>
      <c r="H320" s="264"/>
      <c r="I320" s="264"/>
      <c r="J320" s="264"/>
      <c r="K320" s="264"/>
      <c r="L320" s="264"/>
      <c r="M320" s="264"/>
      <c r="N320" s="264"/>
      <c r="O320" s="264"/>
      <c r="P320" s="264"/>
      <c r="Q320" s="264"/>
      <c r="R320" s="264"/>
      <c r="S320" s="264"/>
      <c r="T320" s="264"/>
      <c r="U320" s="264"/>
      <c r="V320" s="264"/>
      <c r="W320" s="264"/>
      <c r="X320" s="264"/>
      <c r="Y320" s="264"/>
      <c r="Z320" s="265"/>
      <c r="AA320" s="266"/>
      <c r="AB320" s="266"/>
    </row>
    <row r="321" spans="1:28" s="267" customFormat="1" ht="18.75" customHeight="1" x14ac:dyDescent="0.2">
      <c r="A321" s="269" t="s">
        <v>446</v>
      </c>
      <c r="B321" s="152"/>
      <c r="C321" s="263"/>
      <c r="D321" s="264"/>
      <c r="E321" s="264"/>
      <c r="F321" s="264"/>
      <c r="G321" s="264"/>
      <c r="H321" s="264"/>
      <c r="I321" s="264"/>
      <c r="J321" s="264"/>
      <c r="K321" s="264"/>
      <c r="L321" s="264"/>
      <c r="M321" s="264"/>
      <c r="N321" s="264"/>
      <c r="O321" s="264"/>
      <c r="P321" s="264"/>
      <c r="Q321" s="264"/>
      <c r="R321" s="264"/>
      <c r="S321" s="264"/>
      <c r="T321" s="264"/>
      <c r="U321" s="264"/>
      <c r="V321" s="264"/>
      <c r="W321" s="264"/>
      <c r="X321" s="264"/>
      <c r="Y321" s="264"/>
      <c r="Z321" s="265"/>
      <c r="AA321" s="266"/>
      <c r="AB321" s="266"/>
    </row>
    <row r="322" spans="1:28" s="267" customFormat="1" ht="18.75" customHeight="1" x14ac:dyDescent="0.2">
      <c r="A322" s="269" t="s">
        <v>447</v>
      </c>
      <c r="B322" s="148"/>
      <c r="C322" s="263"/>
      <c r="D322" s="264"/>
      <c r="E322" s="264"/>
      <c r="F322" s="264"/>
      <c r="G322" s="264"/>
      <c r="H322" s="264"/>
      <c r="I322" s="264"/>
      <c r="J322" s="264"/>
      <c r="K322" s="264"/>
      <c r="L322" s="264"/>
      <c r="M322" s="264"/>
      <c r="N322" s="264"/>
      <c r="O322" s="264"/>
      <c r="P322" s="264"/>
      <c r="Q322" s="264"/>
      <c r="R322" s="264"/>
      <c r="S322" s="264"/>
      <c r="T322" s="264"/>
      <c r="U322" s="264"/>
      <c r="V322" s="264"/>
      <c r="W322" s="264"/>
      <c r="X322" s="264"/>
      <c r="Y322" s="264"/>
      <c r="Z322" s="265"/>
      <c r="AA322" s="266"/>
      <c r="AB322" s="266"/>
    </row>
    <row r="323" spans="1:28" ht="30" customHeight="1" x14ac:dyDescent="0.25">
      <c r="A323" s="268" t="s">
        <v>445</v>
      </c>
      <c r="B323" s="146"/>
      <c r="C323" s="99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45"/>
      <c r="AA323" s="63"/>
      <c r="AB323" s="63"/>
    </row>
    <row r="324" spans="1:28" ht="15.75" x14ac:dyDescent="0.25">
      <c r="A324" s="52"/>
      <c r="B324" s="50"/>
      <c r="C324" s="99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45"/>
      <c r="AA324" s="63"/>
      <c r="AB324" s="63"/>
    </row>
    <row r="325" spans="1:28" ht="15.75" x14ac:dyDescent="0.25">
      <c r="A325" s="53"/>
      <c r="B325" s="50"/>
      <c r="C325" s="99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45"/>
      <c r="AA325" s="63"/>
      <c r="AB325" s="63"/>
    </row>
    <row r="326" spans="1:28" ht="15.75" x14ac:dyDescent="0.25">
      <c r="A326" s="41"/>
      <c r="B326" s="42"/>
      <c r="C326" s="99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45"/>
      <c r="AA326" s="63"/>
      <c r="AB326" s="63"/>
    </row>
  </sheetData>
  <sheetProtection sheet="1" objects="1" scenarios="1" selectLockedCells="1"/>
  <mergeCells count="2">
    <mergeCell ref="E11:F11"/>
    <mergeCell ref="F15:P15"/>
  </mergeCells>
  <dataValidations count="8">
    <dataValidation type="whole" allowBlank="1" showInputMessage="1" showErrorMessage="1" sqref="B175 D174:Y216 B177:B217 C175:C217 C318:C319">
      <formula1>0</formula1>
      <formula2>100000000000000000000</formula2>
    </dataValidation>
    <dataValidation type="whole" allowBlank="1" showInputMessage="1" showErrorMessage="1" sqref="B277:B319 C278:C317 D300:Y319 D323:Y326 B321:B323">
      <formula1>0</formula1>
      <formula2>1E+24</formula2>
    </dataValidation>
    <dataValidation type="whole" allowBlank="1" showInputMessage="1" showErrorMessage="1" sqref="D264:Y299 C276:C277 B276 D320:Y322">
      <formula1>0</formula1>
      <formula2>100000000000000000</formula2>
    </dataValidation>
    <dataValidation type="whole" allowBlank="1" showInputMessage="1" showErrorMessage="1" sqref="D38:D55 G16:P67 B15:C70 D19:D36 Q19:Q36 R15:Z67 Q38:Q55 D57:D74 Q57:Q74 Z68:Z326">
      <formula1>0</formula1>
      <formula2>1E+22</formula2>
    </dataValidation>
    <dataValidation type="whole" allowBlank="1" showInputMessage="1" showErrorMessage="1" sqref="D217:Y263 D120:Y173 B176 B218:C275 B123:C174 C320:C322">
      <formula1>0</formula1>
      <formula2>1000000000000000000</formula2>
    </dataValidation>
    <dataValidation type="whole" allowBlank="1" showInputMessage="1" showErrorMessage="1" sqref="G68:P119 R68:Y119 D75:F119 Q75:Q119 B71:C122">
      <formula1>0</formula1>
      <formula2>10000000000000000000</formula2>
    </dataValidation>
    <dataValidation allowBlank="1" showInputMessage="1" showErrorMessage="1" prompt="Limit your input in a maximum of 80 characters per bullet." sqref="F13:F14"/>
    <dataValidation allowBlank="1" showInputMessage="1" showErrorMessage="1" prompt="Limit your input in a maximum of 70 characters per bullet." sqref="F17:F74"/>
  </dataValidations>
  <pageMargins left="0.7" right="0.7" top="0.75" bottom="0.75" header="0.3" footer="0.3"/>
  <pageSetup paperSize="768"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326"/>
  <sheetViews>
    <sheetView zoomScale="130" zoomScaleNormal="130" workbookViewId="0">
      <pane ySplit="13" topLeftCell="A259" activePane="bottomLeft" state="frozen"/>
      <selection pane="bottomLeft" activeCell="B322" sqref="B322"/>
    </sheetView>
  </sheetViews>
  <sheetFormatPr defaultRowHeight="12.75" x14ac:dyDescent="0.2"/>
  <cols>
    <col min="1" max="1" width="39.140625" style="1" customWidth="1"/>
    <col min="2" max="2" width="36.42578125" style="31" customWidth="1"/>
    <col min="3" max="3" width="7.28515625" style="100" customWidth="1"/>
    <col min="4" max="4" width="3.28515625" style="65" customWidth="1"/>
    <col min="5" max="5" width="1.85546875" style="65" customWidth="1"/>
    <col min="6" max="6" width="8.42578125" style="65" customWidth="1"/>
    <col min="7" max="16" width="9.140625" style="65"/>
    <col min="17" max="17" width="2.7109375" style="65" customWidth="1"/>
    <col min="18" max="28" width="9.140625" style="65"/>
  </cols>
  <sheetData>
    <row r="1" spans="1:30" x14ac:dyDescent="0.2">
      <c r="A1" s="13"/>
      <c r="B1" s="29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63"/>
      <c r="AB1" s="63"/>
    </row>
    <row r="2" spans="1:30" x14ac:dyDescent="0.2">
      <c r="A2" s="13"/>
      <c r="B2" s="29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63"/>
      <c r="AB2" s="63"/>
    </row>
    <row r="3" spans="1:30" x14ac:dyDescent="0.2">
      <c r="A3" s="13"/>
      <c r="B3" s="29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63"/>
      <c r="AB3" s="63"/>
    </row>
    <row r="4" spans="1:30" x14ac:dyDescent="0.2">
      <c r="A4" s="13"/>
      <c r="B4" s="29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63"/>
      <c r="AB4" s="63"/>
    </row>
    <row r="5" spans="1:30" x14ac:dyDescent="0.2">
      <c r="A5" s="13"/>
      <c r="B5" s="29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63"/>
      <c r="AB5" s="63"/>
    </row>
    <row r="6" spans="1:30" x14ac:dyDescent="0.2">
      <c r="A6" s="13"/>
      <c r="B6" s="2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63"/>
      <c r="AB6" s="63"/>
    </row>
    <row r="7" spans="1:30" x14ac:dyDescent="0.2">
      <c r="A7" s="13"/>
      <c r="B7" s="29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63"/>
      <c r="AB7" s="63"/>
    </row>
    <row r="8" spans="1:30" x14ac:dyDescent="0.2">
      <c r="A8" s="13"/>
      <c r="B8" s="29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63"/>
      <c r="AB8" s="63"/>
    </row>
    <row r="9" spans="1:30" x14ac:dyDescent="0.2">
      <c r="A9" s="14"/>
      <c r="B9" s="29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63"/>
      <c r="AB9" s="63"/>
    </row>
    <row r="10" spans="1:30" x14ac:dyDescent="0.2">
      <c r="A10" s="15"/>
      <c r="B10" s="29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63"/>
      <c r="AB10" s="63"/>
    </row>
    <row r="11" spans="1:30" ht="15.75" x14ac:dyDescent="0.25">
      <c r="A11" s="5" t="s">
        <v>0</v>
      </c>
      <c r="B11" s="12" t="s">
        <v>359</v>
      </c>
      <c r="C11" s="17"/>
      <c r="D11" s="17"/>
      <c r="E11" s="325"/>
      <c r="F11" s="325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63"/>
      <c r="AB11" s="63"/>
      <c r="AC11" s="3"/>
      <c r="AD11" s="3"/>
    </row>
    <row r="12" spans="1:30" x14ac:dyDescent="0.2">
      <c r="A12" s="48" t="s">
        <v>1</v>
      </c>
      <c r="B12" s="11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25"/>
      <c r="AA12" s="63"/>
      <c r="AB12" s="63"/>
    </row>
    <row r="13" spans="1:30" x14ac:dyDescent="0.2">
      <c r="A13" s="73" t="s">
        <v>3</v>
      </c>
      <c r="B13" s="77"/>
      <c r="C13" s="19"/>
      <c r="D13" s="19"/>
      <c r="E13" s="70"/>
      <c r="F13" s="70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63"/>
      <c r="AB13" s="63"/>
    </row>
    <row r="14" spans="1:30" x14ac:dyDescent="0.2">
      <c r="A14" s="51" t="s">
        <v>4</v>
      </c>
      <c r="B14" s="49"/>
      <c r="C14" s="98"/>
      <c r="D14" s="19"/>
      <c r="E14" s="70"/>
      <c r="F14" s="70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63"/>
      <c r="AB14" s="63"/>
    </row>
    <row r="15" spans="1:30" ht="15.75" x14ac:dyDescent="0.25">
      <c r="A15" s="47" t="s">
        <v>23</v>
      </c>
      <c r="B15" s="145">
        <f>B16+B23+B30+B33+B40+B43</f>
        <v>300</v>
      </c>
      <c r="C15" s="99"/>
      <c r="D15" s="69"/>
      <c r="E15" s="69"/>
      <c r="F15" s="326" t="s">
        <v>227</v>
      </c>
      <c r="G15" s="326"/>
      <c r="H15" s="326"/>
      <c r="I15" s="326"/>
      <c r="J15" s="326"/>
      <c r="K15" s="326"/>
      <c r="L15" s="326"/>
      <c r="M15" s="326"/>
      <c r="N15" s="326"/>
      <c r="O15" s="326"/>
      <c r="P15" s="326"/>
      <c r="Q15" s="69"/>
      <c r="R15" s="16"/>
      <c r="S15" s="16"/>
      <c r="T15" s="16"/>
      <c r="U15" s="16"/>
      <c r="V15" s="16"/>
      <c r="W15" s="16"/>
      <c r="X15" s="16"/>
      <c r="Y15" s="16"/>
      <c r="Z15" s="45"/>
      <c r="AA15" s="63"/>
      <c r="AB15" s="63"/>
    </row>
    <row r="16" spans="1:30" ht="15.75" x14ac:dyDescent="0.25">
      <c r="A16" s="46" t="s">
        <v>24</v>
      </c>
      <c r="B16" s="145">
        <f>B17+B20</f>
        <v>300</v>
      </c>
      <c r="C16" s="99"/>
      <c r="D16" s="66"/>
      <c r="E16" s="18"/>
      <c r="F16" s="18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66"/>
      <c r="R16" s="16"/>
      <c r="S16" s="16"/>
      <c r="T16" s="16"/>
      <c r="U16" s="16"/>
      <c r="V16" s="16"/>
      <c r="W16" s="16"/>
      <c r="X16" s="16"/>
      <c r="Y16" s="16"/>
      <c r="Z16" s="45"/>
      <c r="AA16" s="63"/>
      <c r="AB16" s="63"/>
    </row>
    <row r="17" spans="1:28" ht="15.75" x14ac:dyDescent="0.25">
      <c r="A17" s="2" t="s">
        <v>25</v>
      </c>
      <c r="B17" s="145">
        <f>B18+B19</f>
        <v>250</v>
      </c>
      <c r="C17" s="99"/>
      <c r="D17" s="67"/>
      <c r="E17" s="70" t="s">
        <v>228</v>
      </c>
      <c r="F17" s="161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67"/>
      <c r="R17" s="16"/>
      <c r="S17" s="16"/>
      <c r="T17" s="16"/>
      <c r="U17" s="16"/>
      <c r="V17" s="16"/>
      <c r="W17" s="16"/>
      <c r="X17" s="16"/>
      <c r="Y17" s="16"/>
      <c r="Z17" s="45"/>
      <c r="AA17" s="63"/>
      <c r="AB17" s="63"/>
    </row>
    <row r="18" spans="1:28" ht="15.75" x14ac:dyDescent="0.25">
      <c r="A18" s="2" t="s">
        <v>26</v>
      </c>
      <c r="B18" s="146">
        <v>150</v>
      </c>
      <c r="C18" s="99"/>
      <c r="D18" s="67"/>
      <c r="E18" s="70" t="s">
        <v>228</v>
      </c>
      <c r="F18" s="72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67"/>
      <c r="R18" s="16"/>
      <c r="S18" s="16"/>
      <c r="T18" s="16"/>
      <c r="U18" s="16"/>
      <c r="V18" s="16"/>
      <c r="W18" s="16"/>
      <c r="X18" s="16"/>
      <c r="Y18" s="16"/>
      <c r="Z18" s="45"/>
      <c r="AA18" s="63"/>
      <c r="AB18" s="63"/>
    </row>
    <row r="19" spans="1:28" ht="15.75" x14ac:dyDescent="0.25">
      <c r="A19" s="2" t="s">
        <v>182</v>
      </c>
      <c r="B19" s="146">
        <v>100</v>
      </c>
      <c r="C19" s="99"/>
      <c r="D19" s="68"/>
      <c r="E19" s="71" t="s">
        <v>228</v>
      </c>
      <c r="F19" s="44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68"/>
      <c r="R19" s="16"/>
      <c r="S19" s="16"/>
      <c r="T19" s="16"/>
      <c r="U19" s="16"/>
      <c r="V19" s="16"/>
      <c r="W19" s="16"/>
      <c r="X19" s="16"/>
      <c r="Y19" s="16"/>
      <c r="Z19" s="45"/>
      <c r="AA19" s="63"/>
      <c r="AB19" s="63"/>
    </row>
    <row r="20" spans="1:28" ht="15.75" x14ac:dyDescent="0.25">
      <c r="A20" s="2" t="s">
        <v>6</v>
      </c>
      <c r="B20" s="145">
        <f>B21+B22</f>
        <v>50</v>
      </c>
      <c r="C20" s="99"/>
      <c r="D20" s="68"/>
      <c r="E20" s="71" t="s">
        <v>228</v>
      </c>
      <c r="F20" s="44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68"/>
      <c r="R20" s="16"/>
      <c r="S20" s="16"/>
      <c r="T20" s="16"/>
      <c r="U20" s="16"/>
      <c r="V20" s="16"/>
      <c r="W20" s="16"/>
      <c r="X20" s="16"/>
      <c r="Y20" s="16"/>
      <c r="Z20" s="45"/>
      <c r="AA20" s="63"/>
      <c r="AB20" s="63"/>
    </row>
    <row r="21" spans="1:28" ht="15.75" x14ac:dyDescent="0.25">
      <c r="A21" s="2" t="s">
        <v>27</v>
      </c>
      <c r="B21" s="146">
        <v>50</v>
      </c>
      <c r="C21" s="99"/>
      <c r="D21" s="68"/>
      <c r="E21" s="71" t="s">
        <v>228</v>
      </c>
      <c r="F21" s="44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68"/>
      <c r="R21" s="16"/>
      <c r="S21" s="16"/>
      <c r="T21" s="16"/>
      <c r="U21" s="16"/>
      <c r="V21" s="16"/>
      <c r="W21" s="16"/>
      <c r="X21" s="16"/>
      <c r="Y21" s="16"/>
      <c r="Z21" s="45"/>
      <c r="AA21" s="63"/>
      <c r="AB21" s="63"/>
    </row>
    <row r="22" spans="1:28" ht="15.75" x14ac:dyDescent="0.25">
      <c r="A22" s="2" t="s">
        <v>183</v>
      </c>
      <c r="B22" s="146"/>
      <c r="C22" s="99"/>
      <c r="D22" s="68"/>
      <c r="E22" s="16" t="s">
        <v>228</v>
      </c>
      <c r="F22" s="44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68"/>
      <c r="R22" s="16"/>
      <c r="S22" s="16"/>
      <c r="T22" s="16"/>
      <c r="U22" s="16"/>
      <c r="V22" s="16"/>
      <c r="W22" s="16"/>
      <c r="X22" s="16"/>
      <c r="Y22" s="16"/>
      <c r="Z22" s="45"/>
      <c r="AA22" s="63"/>
      <c r="AB22" s="63"/>
    </row>
    <row r="23" spans="1:28" ht="15.75" x14ac:dyDescent="0.25">
      <c r="A23" s="46" t="s">
        <v>28</v>
      </c>
      <c r="B23" s="145">
        <f>B24+B27</f>
        <v>0</v>
      </c>
      <c r="C23" s="99"/>
      <c r="D23" s="68"/>
      <c r="E23" s="16" t="s">
        <v>228</v>
      </c>
      <c r="F23" s="44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68"/>
      <c r="R23" s="16"/>
      <c r="S23" s="16"/>
      <c r="T23" s="16"/>
      <c r="U23" s="16"/>
      <c r="V23" s="16"/>
      <c r="W23" s="16"/>
      <c r="X23" s="16"/>
      <c r="Y23" s="16"/>
      <c r="Z23" s="45"/>
      <c r="AA23" s="63"/>
      <c r="AB23" s="63"/>
    </row>
    <row r="24" spans="1:28" ht="15.75" x14ac:dyDescent="0.25">
      <c r="A24" s="2" t="s">
        <v>29</v>
      </c>
      <c r="B24" s="145">
        <f>B25+B26</f>
        <v>0</v>
      </c>
      <c r="C24" s="99"/>
      <c r="D24" s="68"/>
      <c r="E24" s="16" t="s">
        <v>228</v>
      </c>
      <c r="F24" s="44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68"/>
      <c r="R24" s="16"/>
      <c r="S24" s="16"/>
      <c r="T24" s="16"/>
      <c r="U24" s="16"/>
      <c r="V24" s="16"/>
      <c r="W24" s="16"/>
      <c r="X24" s="16"/>
      <c r="Y24" s="16"/>
      <c r="Z24" s="45"/>
      <c r="AA24" s="63"/>
      <c r="AB24" s="63"/>
    </row>
    <row r="25" spans="1:28" ht="15.75" x14ac:dyDescent="0.25">
      <c r="A25" s="2" t="s">
        <v>30</v>
      </c>
      <c r="B25" s="146"/>
      <c r="C25" s="99"/>
      <c r="D25" s="68"/>
      <c r="E25" s="16" t="s">
        <v>228</v>
      </c>
      <c r="F25" s="44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68"/>
      <c r="R25" s="16"/>
      <c r="S25" s="16"/>
      <c r="T25" s="16"/>
      <c r="U25" s="16"/>
      <c r="V25" s="16"/>
      <c r="W25" s="16"/>
      <c r="X25" s="16"/>
      <c r="Y25" s="16"/>
      <c r="Z25" s="45"/>
      <c r="AA25" s="63"/>
      <c r="AB25" s="63"/>
    </row>
    <row r="26" spans="1:28" ht="15.75" x14ac:dyDescent="0.25">
      <c r="A26" s="2" t="s">
        <v>184</v>
      </c>
      <c r="B26" s="146"/>
      <c r="C26" s="99"/>
      <c r="D26" s="68"/>
      <c r="E26" s="16" t="s">
        <v>228</v>
      </c>
      <c r="F26" s="44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68"/>
      <c r="R26" s="16"/>
      <c r="S26" s="16"/>
      <c r="T26" s="16"/>
      <c r="U26" s="16"/>
      <c r="V26" s="16"/>
      <c r="W26" s="16"/>
      <c r="X26" s="16"/>
      <c r="Y26" s="16"/>
      <c r="Z26" s="45"/>
      <c r="AA26" s="63"/>
      <c r="AB26" s="63"/>
    </row>
    <row r="27" spans="1:28" ht="15.75" x14ac:dyDescent="0.25">
      <c r="A27" s="2" t="s">
        <v>31</v>
      </c>
      <c r="B27" s="145">
        <f>B28+B29</f>
        <v>0</v>
      </c>
      <c r="C27" s="99"/>
      <c r="D27" s="68"/>
      <c r="E27" s="16" t="s">
        <v>228</v>
      </c>
      <c r="F27" s="44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68"/>
      <c r="R27" s="16"/>
      <c r="S27" s="16"/>
      <c r="T27" s="16"/>
      <c r="U27" s="16"/>
      <c r="V27" s="16"/>
      <c r="W27" s="16"/>
      <c r="X27" s="16"/>
      <c r="Y27" s="16"/>
      <c r="Z27" s="45"/>
      <c r="AA27" s="63"/>
      <c r="AB27" s="63"/>
    </row>
    <row r="28" spans="1:28" ht="15.75" x14ac:dyDescent="0.25">
      <c r="A28" s="2" t="s">
        <v>32</v>
      </c>
      <c r="B28" s="146"/>
      <c r="C28" s="99"/>
      <c r="D28" s="68"/>
      <c r="E28" s="16" t="s">
        <v>228</v>
      </c>
      <c r="F28" s="44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68"/>
      <c r="R28" s="16"/>
      <c r="S28" s="16"/>
      <c r="T28" s="16"/>
      <c r="U28" s="16"/>
      <c r="V28" s="16"/>
      <c r="W28" s="16"/>
      <c r="X28" s="16"/>
      <c r="Y28" s="16"/>
      <c r="Z28" s="45"/>
      <c r="AA28" s="63"/>
      <c r="AB28" s="63"/>
    </row>
    <row r="29" spans="1:28" ht="15.75" x14ac:dyDescent="0.25">
      <c r="A29" s="2" t="s">
        <v>185</v>
      </c>
      <c r="B29" s="146"/>
      <c r="C29" s="99"/>
      <c r="D29" s="68"/>
      <c r="E29" s="16" t="s">
        <v>228</v>
      </c>
      <c r="F29" s="44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68"/>
      <c r="R29" s="16"/>
      <c r="S29" s="16"/>
      <c r="T29" s="16"/>
      <c r="U29" s="16"/>
      <c r="V29" s="16"/>
      <c r="W29" s="16"/>
      <c r="X29" s="16"/>
      <c r="Y29" s="16"/>
      <c r="Z29" s="45"/>
      <c r="AA29" s="63"/>
      <c r="AB29" s="63"/>
    </row>
    <row r="30" spans="1:28" ht="15.75" x14ac:dyDescent="0.25">
      <c r="A30" s="46" t="s">
        <v>33</v>
      </c>
      <c r="B30" s="145">
        <f>B31+B32</f>
        <v>0</v>
      </c>
      <c r="C30" s="99"/>
      <c r="D30" s="68"/>
      <c r="E30" s="16" t="s">
        <v>228</v>
      </c>
      <c r="F30" s="44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68"/>
      <c r="R30" s="16"/>
      <c r="S30" s="16"/>
      <c r="T30" s="16"/>
      <c r="U30" s="16"/>
      <c r="V30" s="16"/>
      <c r="W30" s="16"/>
      <c r="X30" s="16"/>
      <c r="Y30" s="16"/>
      <c r="Z30" s="45"/>
      <c r="AA30" s="63"/>
      <c r="AB30" s="63"/>
    </row>
    <row r="31" spans="1:28" ht="15.75" x14ac:dyDescent="0.25">
      <c r="A31" s="2" t="s">
        <v>34</v>
      </c>
      <c r="B31" s="146"/>
      <c r="C31" s="99"/>
      <c r="D31" s="68"/>
      <c r="E31" s="16" t="s">
        <v>228</v>
      </c>
      <c r="F31" s="44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68"/>
      <c r="R31" s="16"/>
      <c r="S31" s="16"/>
      <c r="T31" s="16"/>
      <c r="U31" s="16"/>
      <c r="V31" s="16"/>
      <c r="W31" s="16"/>
      <c r="X31" s="16"/>
      <c r="Y31" s="16"/>
      <c r="Z31" s="45"/>
      <c r="AA31" s="63"/>
      <c r="AB31" s="63"/>
    </row>
    <row r="32" spans="1:28" ht="15.75" x14ac:dyDescent="0.25">
      <c r="A32" s="2" t="s">
        <v>186</v>
      </c>
      <c r="B32" s="146"/>
      <c r="C32" s="99"/>
      <c r="D32" s="68"/>
      <c r="E32" s="16" t="s">
        <v>228</v>
      </c>
      <c r="F32" s="44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68"/>
      <c r="R32" s="16"/>
      <c r="S32" s="16"/>
      <c r="T32" s="16"/>
      <c r="U32" s="16"/>
      <c r="V32" s="16"/>
      <c r="W32" s="16"/>
      <c r="X32" s="16"/>
      <c r="Y32" s="16"/>
      <c r="Z32" s="45"/>
      <c r="AA32" s="63"/>
      <c r="AB32" s="63"/>
    </row>
    <row r="33" spans="1:28" ht="15.75" x14ac:dyDescent="0.25">
      <c r="A33" s="46" t="s">
        <v>35</v>
      </c>
      <c r="B33" s="145">
        <f>B34+B37</f>
        <v>0</v>
      </c>
      <c r="C33" s="99"/>
      <c r="D33" s="68"/>
      <c r="E33" s="16" t="s">
        <v>228</v>
      </c>
      <c r="F33" s="44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68"/>
      <c r="R33" s="16"/>
      <c r="S33" s="16"/>
      <c r="T33" s="16"/>
      <c r="U33" s="16"/>
      <c r="V33" s="16"/>
      <c r="W33" s="16"/>
      <c r="X33" s="16"/>
      <c r="Y33" s="16"/>
      <c r="Z33" s="45"/>
      <c r="AA33" s="63"/>
      <c r="AB33" s="63"/>
    </row>
    <row r="34" spans="1:28" ht="15.75" x14ac:dyDescent="0.25">
      <c r="A34" s="2" t="s">
        <v>36</v>
      </c>
      <c r="B34" s="145">
        <f>B35+B36</f>
        <v>0</v>
      </c>
      <c r="C34" s="99"/>
      <c r="D34" s="68"/>
      <c r="E34" s="16" t="s">
        <v>228</v>
      </c>
      <c r="F34" s="44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68"/>
      <c r="R34" s="16"/>
      <c r="S34" s="16"/>
      <c r="T34" s="16"/>
      <c r="U34" s="16"/>
      <c r="V34" s="16"/>
      <c r="W34" s="16"/>
      <c r="X34" s="16"/>
      <c r="Y34" s="16"/>
      <c r="Z34" s="45"/>
      <c r="AA34" s="63"/>
      <c r="AB34" s="63"/>
    </row>
    <row r="35" spans="1:28" ht="15.75" x14ac:dyDescent="0.25">
      <c r="A35" s="2" t="s">
        <v>37</v>
      </c>
      <c r="B35" s="146"/>
      <c r="C35" s="99"/>
      <c r="D35" s="68"/>
      <c r="E35" s="16" t="s">
        <v>228</v>
      </c>
      <c r="F35" s="44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68"/>
      <c r="R35" s="16"/>
      <c r="S35" s="16"/>
      <c r="T35" s="16"/>
      <c r="U35" s="16"/>
      <c r="V35" s="16"/>
      <c r="W35" s="16"/>
      <c r="X35" s="16"/>
      <c r="Y35" s="16"/>
      <c r="Z35" s="45"/>
      <c r="AA35" s="63"/>
      <c r="AB35" s="63"/>
    </row>
    <row r="36" spans="1:28" ht="15.75" x14ac:dyDescent="0.25">
      <c r="A36" s="2" t="s">
        <v>187</v>
      </c>
      <c r="B36" s="146"/>
      <c r="C36" s="99"/>
      <c r="D36" s="68"/>
      <c r="E36" s="16" t="s">
        <v>228</v>
      </c>
      <c r="F36" s="44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68"/>
      <c r="R36" s="16"/>
      <c r="S36" s="16"/>
      <c r="T36" s="16"/>
      <c r="U36" s="16"/>
      <c r="V36" s="16"/>
      <c r="W36" s="16"/>
      <c r="X36" s="16"/>
      <c r="Y36" s="16"/>
      <c r="Z36" s="45"/>
      <c r="AA36" s="63"/>
      <c r="AB36" s="63"/>
    </row>
    <row r="37" spans="1:28" ht="15.75" x14ac:dyDescent="0.25">
      <c r="A37" s="2" t="s">
        <v>38</v>
      </c>
      <c r="B37" s="145">
        <f>B38+B39</f>
        <v>0</v>
      </c>
      <c r="C37" s="99"/>
      <c r="D37" s="67"/>
      <c r="E37" s="70" t="s">
        <v>228</v>
      </c>
      <c r="F37" s="72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67"/>
      <c r="R37" s="16"/>
      <c r="S37" s="16"/>
      <c r="T37" s="16"/>
      <c r="U37" s="16"/>
      <c r="V37" s="16"/>
      <c r="W37" s="16"/>
      <c r="X37" s="16"/>
      <c r="Y37" s="16"/>
      <c r="Z37" s="45"/>
      <c r="AA37" s="63"/>
      <c r="AB37" s="63"/>
    </row>
    <row r="38" spans="1:28" ht="15.75" x14ac:dyDescent="0.25">
      <c r="A38" s="2" t="s">
        <v>39</v>
      </c>
      <c r="B38" s="146"/>
      <c r="C38" s="99"/>
      <c r="D38" s="68"/>
      <c r="E38" s="71" t="s">
        <v>228</v>
      </c>
      <c r="F38" s="44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68"/>
      <c r="R38" s="16"/>
      <c r="S38" s="16"/>
      <c r="T38" s="16"/>
      <c r="U38" s="16"/>
      <c r="V38" s="16"/>
      <c r="W38" s="16"/>
      <c r="X38" s="16"/>
      <c r="Y38" s="16"/>
      <c r="Z38" s="45"/>
      <c r="AA38" s="63"/>
      <c r="AB38" s="63"/>
    </row>
    <row r="39" spans="1:28" ht="15.75" x14ac:dyDescent="0.25">
      <c r="A39" s="2" t="s">
        <v>188</v>
      </c>
      <c r="B39" s="146"/>
      <c r="C39" s="99"/>
      <c r="D39" s="68"/>
      <c r="E39" s="71" t="s">
        <v>228</v>
      </c>
      <c r="F39" s="44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68"/>
      <c r="R39" s="16"/>
      <c r="S39" s="16"/>
      <c r="T39" s="16"/>
      <c r="U39" s="16"/>
      <c r="V39" s="16"/>
      <c r="W39" s="16"/>
      <c r="X39" s="16"/>
      <c r="Y39" s="16"/>
      <c r="Z39" s="45"/>
      <c r="AA39" s="63"/>
      <c r="AB39" s="63"/>
    </row>
    <row r="40" spans="1:28" ht="15.75" x14ac:dyDescent="0.25">
      <c r="A40" s="46" t="s">
        <v>279</v>
      </c>
      <c r="B40" s="145">
        <f>B41+B42</f>
        <v>0</v>
      </c>
      <c r="C40" s="99"/>
      <c r="D40" s="68"/>
      <c r="E40" s="71" t="s">
        <v>228</v>
      </c>
      <c r="F40" s="44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68"/>
      <c r="R40" s="16"/>
      <c r="S40" s="16"/>
      <c r="T40" s="16"/>
      <c r="U40" s="16"/>
      <c r="V40" s="16"/>
      <c r="W40" s="16"/>
      <c r="X40" s="16"/>
      <c r="Y40" s="16"/>
      <c r="Z40" s="45"/>
      <c r="AA40" s="63"/>
      <c r="AB40" s="63"/>
    </row>
    <row r="41" spans="1:28" ht="15.75" x14ac:dyDescent="0.25">
      <c r="A41" s="2" t="s">
        <v>317</v>
      </c>
      <c r="B41" s="146"/>
      <c r="C41" s="99"/>
      <c r="D41" s="68"/>
      <c r="E41" s="16" t="s">
        <v>228</v>
      </c>
      <c r="F41" s="44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68"/>
      <c r="R41" s="16"/>
      <c r="S41" s="16"/>
      <c r="T41" s="16"/>
      <c r="U41" s="16"/>
      <c r="V41" s="16"/>
      <c r="W41" s="16"/>
      <c r="X41" s="16"/>
      <c r="Y41" s="16"/>
      <c r="Z41" s="45"/>
      <c r="AA41" s="63"/>
      <c r="AB41" s="63"/>
    </row>
    <row r="42" spans="1:28" ht="15.75" x14ac:dyDescent="0.25">
      <c r="A42" s="2" t="s">
        <v>318</v>
      </c>
      <c r="B42" s="146"/>
      <c r="C42" s="99"/>
      <c r="D42" s="68"/>
      <c r="E42" s="16" t="s">
        <v>228</v>
      </c>
      <c r="F42" s="44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68"/>
      <c r="R42" s="16"/>
      <c r="S42" s="16"/>
      <c r="T42" s="16"/>
      <c r="U42" s="16"/>
      <c r="V42" s="16"/>
      <c r="W42" s="16"/>
      <c r="X42" s="16"/>
      <c r="Y42" s="16"/>
      <c r="Z42" s="45"/>
      <c r="AA42" s="63"/>
      <c r="AB42" s="63"/>
    </row>
    <row r="43" spans="1:28" ht="15.75" x14ac:dyDescent="0.25">
      <c r="A43" s="46" t="s">
        <v>314</v>
      </c>
      <c r="B43" s="145">
        <f>B44+B45</f>
        <v>0</v>
      </c>
      <c r="C43" s="99"/>
      <c r="D43" s="68"/>
      <c r="E43" s="16" t="s">
        <v>228</v>
      </c>
      <c r="F43" s="44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68"/>
      <c r="R43" s="16"/>
      <c r="S43" s="16"/>
      <c r="T43" s="16"/>
      <c r="U43" s="16"/>
      <c r="V43" s="16"/>
      <c r="W43" s="16"/>
      <c r="X43" s="16"/>
      <c r="Y43" s="16"/>
      <c r="Z43" s="45"/>
      <c r="AA43" s="63"/>
      <c r="AB43" s="63"/>
    </row>
    <row r="44" spans="1:28" ht="15.75" x14ac:dyDescent="0.25">
      <c r="A44" s="2" t="s">
        <v>315</v>
      </c>
      <c r="B44" s="146"/>
      <c r="C44" s="99"/>
      <c r="D44" s="68"/>
      <c r="E44" s="16" t="s">
        <v>228</v>
      </c>
      <c r="F44" s="44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68"/>
      <c r="R44" s="16"/>
      <c r="S44" s="16"/>
      <c r="T44" s="16"/>
      <c r="U44" s="16"/>
      <c r="V44" s="16"/>
      <c r="W44" s="16"/>
      <c r="X44" s="16"/>
      <c r="Y44" s="16"/>
      <c r="Z44" s="45"/>
      <c r="AA44" s="63"/>
      <c r="AB44" s="63"/>
    </row>
    <row r="45" spans="1:28" ht="15.75" x14ac:dyDescent="0.25">
      <c r="A45" s="2" t="s">
        <v>316</v>
      </c>
      <c r="B45" s="146"/>
      <c r="C45" s="99"/>
      <c r="D45" s="68"/>
      <c r="E45" s="16" t="s">
        <v>228</v>
      </c>
      <c r="F45" s="44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68"/>
      <c r="R45" s="16"/>
      <c r="S45" s="16"/>
      <c r="T45" s="16"/>
      <c r="U45" s="16"/>
      <c r="V45" s="16"/>
      <c r="W45" s="16"/>
      <c r="X45" s="16"/>
      <c r="Y45" s="16"/>
      <c r="Z45" s="45"/>
      <c r="AA45" s="63"/>
      <c r="AB45" s="63"/>
    </row>
    <row r="46" spans="1:28" ht="15.75" x14ac:dyDescent="0.25">
      <c r="A46" s="46" t="s">
        <v>280</v>
      </c>
      <c r="B46" s="146"/>
      <c r="C46" s="99"/>
      <c r="D46" s="68"/>
      <c r="E46" s="16" t="s">
        <v>228</v>
      </c>
      <c r="F46" s="44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68"/>
      <c r="R46" s="16"/>
      <c r="S46" s="16"/>
      <c r="T46" s="16"/>
      <c r="U46" s="16"/>
      <c r="V46" s="16"/>
      <c r="W46" s="16"/>
      <c r="X46" s="16"/>
      <c r="Y46" s="16"/>
      <c r="Z46" s="45"/>
      <c r="AA46" s="63"/>
      <c r="AB46" s="63"/>
    </row>
    <row r="47" spans="1:28" ht="15.75" x14ac:dyDescent="0.25">
      <c r="A47" s="47" t="s">
        <v>40</v>
      </c>
      <c r="B47" s="145">
        <f>B48+B55+B58+B61+B68+B71+B74+B77+B80</f>
        <v>19</v>
      </c>
      <c r="C47" s="99"/>
      <c r="D47" s="68"/>
      <c r="E47" s="16" t="s">
        <v>228</v>
      </c>
      <c r="F47" s="44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68"/>
      <c r="R47" s="16"/>
      <c r="S47" s="16"/>
      <c r="T47" s="16"/>
      <c r="U47" s="16"/>
      <c r="V47" s="16"/>
      <c r="W47" s="16"/>
      <c r="X47" s="16"/>
      <c r="Y47" s="16"/>
      <c r="Z47" s="45"/>
      <c r="AA47" s="63"/>
      <c r="AB47" s="63"/>
    </row>
    <row r="48" spans="1:28" ht="15.75" x14ac:dyDescent="0.25">
      <c r="A48" s="46" t="s">
        <v>5</v>
      </c>
      <c r="B48" s="145">
        <f>B49+B52</f>
        <v>19</v>
      </c>
      <c r="C48" s="99"/>
      <c r="D48" s="68"/>
      <c r="E48" s="16" t="s">
        <v>228</v>
      </c>
      <c r="F48" s="44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68"/>
      <c r="R48" s="16"/>
      <c r="S48" s="16"/>
      <c r="T48" s="16"/>
      <c r="U48" s="16"/>
      <c r="V48" s="16"/>
      <c r="W48" s="16"/>
      <c r="X48" s="16"/>
      <c r="Y48" s="16"/>
      <c r="Z48" s="45"/>
      <c r="AA48" s="63"/>
      <c r="AB48" s="63"/>
    </row>
    <row r="49" spans="1:28" ht="15.75" x14ac:dyDescent="0.25">
      <c r="A49" s="2" t="s">
        <v>274</v>
      </c>
      <c r="B49" s="145">
        <f>B50+B51</f>
        <v>19</v>
      </c>
      <c r="C49" s="99"/>
      <c r="D49" s="68"/>
      <c r="E49" s="16" t="s">
        <v>228</v>
      </c>
      <c r="F49" s="44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68"/>
      <c r="R49" s="16"/>
      <c r="S49" s="16"/>
      <c r="T49" s="16"/>
      <c r="U49" s="16"/>
      <c r="V49" s="16"/>
      <c r="W49" s="16"/>
      <c r="X49" s="16"/>
      <c r="Y49" s="16"/>
      <c r="Z49" s="45"/>
      <c r="AA49" s="63"/>
      <c r="AB49" s="63"/>
    </row>
    <row r="50" spans="1:28" ht="15.75" x14ac:dyDescent="0.25">
      <c r="A50" s="2" t="s">
        <v>277</v>
      </c>
      <c r="B50" s="146">
        <v>7</v>
      </c>
      <c r="C50" s="99"/>
      <c r="D50" s="68"/>
      <c r="E50" s="16" t="s">
        <v>228</v>
      </c>
      <c r="F50" s="44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68"/>
      <c r="R50" s="16"/>
      <c r="S50" s="16"/>
      <c r="T50" s="16"/>
      <c r="U50" s="16"/>
      <c r="V50" s="16"/>
      <c r="W50" s="16"/>
      <c r="X50" s="16"/>
      <c r="Y50" s="16"/>
      <c r="Z50" s="45"/>
      <c r="AA50" s="63"/>
      <c r="AB50" s="63"/>
    </row>
    <row r="51" spans="1:28" ht="15.75" x14ac:dyDescent="0.25">
      <c r="A51" s="2" t="s">
        <v>278</v>
      </c>
      <c r="B51" s="146">
        <v>12</v>
      </c>
      <c r="C51" s="99"/>
      <c r="D51" s="68"/>
      <c r="E51" s="16" t="s">
        <v>228</v>
      </c>
      <c r="F51" s="160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68"/>
      <c r="R51" s="16"/>
      <c r="S51" s="16"/>
      <c r="T51" s="16"/>
      <c r="U51" s="16"/>
      <c r="V51" s="16"/>
      <c r="W51" s="16"/>
      <c r="X51" s="16"/>
      <c r="Y51" s="16"/>
      <c r="Z51" s="45"/>
      <c r="AA51" s="63"/>
      <c r="AB51" s="63"/>
    </row>
    <row r="52" spans="1:28" ht="15.75" x14ac:dyDescent="0.25">
      <c r="A52" s="2" t="s">
        <v>6</v>
      </c>
      <c r="B52" s="145">
        <f>B53+B54</f>
        <v>0</v>
      </c>
      <c r="C52" s="99"/>
      <c r="D52" s="68"/>
      <c r="E52" s="16" t="s">
        <v>228</v>
      </c>
      <c r="F52" s="44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68"/>
      <c r="R52" s="16"/>
      <c r="S52" s="16"/>
      <c r="T52" s="16"/>
      <c r="U52" s="16"/>
      <c r="V52" s="16"/>
      <c r="W52" s="16"/>
      <c r="X52" s="16"/>
      <c r="Y52" s="16"/>
      <c r="Z52" s="45"/>
      <c r="AA52" s="63"/>
      <c r="AB52" s="63"/>
    </row>
    <row r="53" spans="1:28" ht="15.75" x14ac:dyDescent="0.25">
      <c r="A53" s="2" t="s">
        <v>275</v>
      </c>
      <c r="B53" s="146"/>
      <c r="C53" s="99"/>
      <c r="D53" s="68"/>
      <c r="E53" s="16" t="s">
        <v>228</v>
      </c>
      <c r="F53" s="44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68"/>
      <c r="R53" s="16"/>
      <c r="S53" s="16"/>
      <c r="T53" s="16"/>
      <c r="U53" s="16"/>
      <c r="V53" s="16"/>
      <c r="W53" s="16"/>
      <c r="X53" s="16"/>
      <c r="Y53" s="16"/>
      <c r="Z53" s="45"/>
      <c r="AA53" s="63"/>
      <c r="AB53" s="63"/>
    </row>
    <row r="54" spans="1:28" ht="15.75" x14ac:dyDescent="0.25">
      <c r="A54" s="2" t="s">
        <v>276</v>
      </c>
      <c r="B54" s="146"/>
      <c r="C54" s="99"/>
      <c r="D54" s="68"/>
      <c r="E54" s="16" t="s">
        <v>228</v>
      </c>
      <c r="F54" s="44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68"/>
      <c r="R54" s="16"/>
      <c r="S54" s="16"/>
      <c r="T54" s="16"/>
      <c r="U54" s="16"/>
      <c r="V54" s="16"/>
      <c r="W54" s="16"/>
      <c r="X54" s="16"/>
      <c r="Y54" s="16"/>
      <c r="Z54" s="45"/>
      <c r="AA54" s="63"/>
      <c r="AB54" s="63"/>
    </row>
    <row r="55" spans="1:28" ht="15.75" x14ac:dyDescent="0.25">
      <c r="A55" s="46" t="s">
        <v>41</v>
      </c>
      <c r="B55" s="145">
        <f>B56+B57</f>
        <v>0</v>
      </c>
      <c r="C55" s="99"/>
      <c r="D55" s="68"/>
      <c r="E55" s="16" t="s">
        <v>228</v>
      </c>
      <c r="F55" s="44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68"/>
      <c r="R55" s="16"/>
      <c r="S55" s="16"/>
      <c r="T55" s="16"/>
      <c r="U55" s="16"/>
      <c r="V55" s="16"/>
      <c r="W55" s="16"/>
      <c r="X55" s="16"/>
      <c r="Y55" s="16"/>
      <c r="Z55" s="45"/>
      <c r="AA55" s="63"/>
      <c r="AB55" s="63"/>
    </row>
    <row r="56" spans="1:28" ht="15.75" x14ac:dyDescent="0.25">
      <c r="A56" s="2" t="s">
        <v>42</v>
      </c>
      <c r="B56" s="146"/>
      <c r="C56" s="99"/>
      <c r="D56" s="67"/>
      <c r="E56" s="70" t="s">
        <v>228</v>
      </c>
      <c r="F56" s="72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67"/>
      <c r="R56" s="16"/>
      <c r="S56" s="16"/>
      <c r="T56" s="16"/>
      <c r="U56" s="16"/>
      <c r="V56" s="16"/>
      <c r="W56" s="16"/>
      <c r="X56" s="16"/>
      <c r="Y56" s="16"/>
      <c r="Z56" s="45"/>
      <c r="AA56" s="63"/>
      <c r="AB56" s="63"/>
    </row>
    <row r="57" spans="1:28" ht="15.75" x14ac:dyDescent="0.25">
      <c r="A57" s="2" t="s">
        <v>189</v>
      </c>
      <c r="B57" s="146"/>
      <c r="C57" s="99"/>
      <c r="D57" s="68"/>
      <c r="E57" s="71" t="s">
        <v>228</v>
      </c>
      <c r="F57" s="44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68"/>
      <c r="R57" s="16"/>
      <c r="S57" s="16"/>
      <c r="T57" s="16"/>
      <c r="U57" s="16"/>
      <c r="V57" s="16"/>
      <c r="W57" s="16"/>
      <c r="X57" s="16"/>
      <c r="Y57" s="16"/>
      <c r="Z57" s="45"/>
      <c r="AA57" s="63"/>
      <c r="AB57" s="63"/>
    </row>
    <row r="58" spans="1:28" ht="15.75" x14ac:dyDescent="0.25">
      <c r="A58" s="46" t="s">
        <v>43</v>
      </c>
      <c r="B58" s="145">
        <f>B59+B60</f>
        <v>0</v>
      </c>
      <c r="C58" s="99"/>
      <c r="D58" s="68"/>
      <c r="E58" s="71" t="s">
        <v>228</v>
      </c>
      <c r="F58" s="44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68"/>
      <c r="R58" s="16"/>
      <c r="S58" s="16"/>
      <c r="T58" s="16"/>
      <c r="U58" s="16"/>
      <c r="V58" s="16"/>
      <c r="W58" s="16"/>
      <c r="X58" s="16"/>
      <c r="Y58" s="16"/>
      <c r="Z58" s="45"/>
      <c r="AA58" s="63"/>
      <c r="AB58" s="63"/>
    </row>
    <row r="59" spans="1:28" ht="15.75" x14ac:dyDescent="0.25">
      <c r="A59" s="2" t="s">
        <v>44</v>
      </c>
      <c r="B59" s="146"/>
      <c r="C59" s="99"/>
      <c r="D59" s="68"/>
      <c r="E59" s="71" t="s">
        <v>228</v>
      </c>
      <c r="F59" s="44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68"/>
      <c r="R59" s="16"/>
      <c r="S59" s="16"/>
      <c r="T59" s="16"/>
      <c r="U59" s="16"/>
      <c r="V59" s="16"/>
      <c r="W59" s="16"/>
      <c r="X59" s="16"/>
      <c r="Y59" s="16"/>
      <c r="Z59" s="45"/>
      <c r="AA59" s="63"/>
      <c r="AB59" s="63"/>
    </row>
    <row r="60" spans="1:28" ht="15.75" x14ac:dyDescent="0.25">
      <c r="A60" s="2" t="s">
        <v>190</v>
      </c>
      <c r="B60" s="146"/>
      <c r="C60" s="99"/>
      <c r="D60" s="68"/>
      <c r="E60" s="16" t="s">
        <v>228</v>
      </c>
      <c r="F60" s="44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68"/>
      <c r="R60" s="16"/>
      <c r="S60" s="16"/>
      <c r="T60" s="16"/>
      <c r="U60" s="16"/>
      <c r="V60" s="16"/>
      <c r="W60" s="16"/>
      <c r="X60" s="16"/>
      <c r="Y60" s="16"/>
      <c r="Z60" s="45"/>
      <c r="AA60" s="63"/>
      <c r="AB60" s="63"/>
    </row>
    <row r="61" spans="1:28" ht="15.75" x14ac:dyDescent="0.25">
      <c r="A61" s="46" t="s">
        <v>7</v>
      </c>
      <c r="B61" s="145">
        <f>B62+B65</f>
        <v>0</v>
      </c>
      <c r="C61" s="99"/>
      <c r="D61" s="68"/>
      <c r="E61" s="16" t="s">
        <v>228</v>
      </c>
      <c r="F61" s="44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68"/>
      <c r="R61" s="16"/>
      <c r="S61" s="16"/>
      <c r="T61" s="16"/>
      <c r="U61" s="16"/>
      <c r="V61" s="16"/>
      <c r="W61" s="16"/>
      <c r="X61" s="16"/>
      <c r="Y61" s="16"/>
      <c r="Z61" s="45"/>
      <c r="AA61" s="63"/>
      <c r="AB61" s="63"/>
    </row>
    <row r="62" spans="1:28" ht="15.75" x14ac:dyDescent="0.25">
      <c r="A62" s="2" t="s">
        <v>45</v>
      </c>
      <c r="B62" s="145">
        <f>B63+B64</f>
        <v>0</v>
      </c>
      <c r="C62" s="99"/>
      <c r="D62" s="68"/>
      <c r="E62" s="16" t="s">
        <v>228</v>
      </c>
      <c r="F62" s="44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68"/>
      <c r="R62" s="16"/>
      <c r="S62" s="16"/>
      <c r="T62" s="16"/>
      <c r="U62" s="16"/>
      <c r="V62" s="16"/>
      <c r="W62" s="16"/>
      <c r="X62" s="16"/>
      <c r="Y62" s="16"/>
      <c r="Z62" s="45"/>
      <c r="AA62" s="63"/>
      <c r="AB62" s="63"/>
    </row>
    <row r="63" spans="1:28" ht="15.75" x14ac:dyDescent="0.25">
      <c r="A63" s="2" t="s">
        <v>46</v>
      </c>
      <c r="B63" s="146"/>
      <c r="C63" s="99"/>
      <c r="D63" s="68"/>
      <c r="E63" s="16" t="s">
        <v>228</v>
      </c>
      <c r="F63" s="44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68"/>
      <c r="R63" s="16"/>
      <c r="S63" s="16"/>
      <c r="T63" s="16"/>
      <c r="U63" s="16"/>
      <c r="V63" s="16"/>
      <c r="W63" s="16"/>
      <c r="X63" s="16"/>
      <c r="Y63" s="16"/>
      <c r="Z63" s="45"/>
      <c r="AA63" s="63"/>
      <c r="AB63" s="63"/>
    </row>
    <row r="64" spans="1:28" ht="15.75" x14ac:dyDescent="0.25">
      <c r="A64" s="2" t="s">
        <v>191</v>
      </c>
      <c r="B64" s="146"/>
      <c r="C64" s="99"/>
      <c r="D64" s="68"/>
      <c r="E64" s="16" t="s">
        <v>228</v>
      </c>
      <c r="F64" s="44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68"/>
      <c r="R64" s="16"/>
      <c r="S64" s="16"/>
      <c r="T64" s="16"/>
      <c r="U64" s="16"/>
      <c r="V64" s="16"/>
      <c r="W64" s="16"/>
      <c r="X64" s="16"/>
      <c r="Y64" s="16"/>
      <c r="Z64" s="45"/>
      <c r="AA64" s="63"/>
      <c r="AB64" s="63"/>
    </row>
    <row r="65" spans="1:28" ht="15.75" x14ac:dyDescent="0.25">
      <c r="A65" s="2" t="s">
        <v>47</v>
      </c>
      <c r="B65" s="145">
        <f>B66+B67</f>
        <v>0</v>
      </c>
      <c r="C65" s="99"/>
      <c r="D65" s="68"/>
      <c r="E65" s="16" t="s">
        <v>228</v>
      </c>
      <c r="F65" s="44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68"/>
      <c r="R65" s="16"/>
      <c r="S65" s="16"/>
      <c r="T65" s="16"/>
      <c r="U65" s="16"/>
      <c r="V65" s="16"/>
      <c r="W65" s="16"/>
      <c r="X65" s="16"/>
      <c r="Y65" s="16"/>
      <c r="Z65" s="45"/>
      <c r="AA65" s="63"/>
      <c r="AB65" s="63"/>
    </row>
    <row r="66" spans="1:28" ht="15.75" x14ac:dyDescent="0.25">
      <c r="A66" s="2" t="s">
        <v>48</v>
      </c>
      <c r="B66" s="146"/>
      <c r="C66" s="99"/>
      <c r="D66" s="68"/>
      <c r="E66" s="16" t="s">
        <v>228</v>
      </c>
      <c r="F66" s="44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68"/>
      <c r="R66" s="16"/>
      <c r="S66" s="16"/>
      <c r="T66" s="16"/>
      <c r="U66" s="16"/>
      <c r="V66" s="16"/>
      <c r="W66" s="16"/>
      <c r="X66" s="16"/>
      <c r="Y66" s="16"/>
      <c r="Z66" s="45"/>
      <c r="AA66" s="63"/>
      <c r="AB66" s="63"/>
    </row>
    <row r="67" spans="1:28" ht="15.75" x14ac:dyDescent="0.25">
      <c r="A67" s="2" t="s">
        <v>192</v>
      </c>
      <c r="B67" s="146"/>
      <c r="C67" s="99"/>
      <c r="D67" s="68"/>
      <c r="E67" s="16" t="s">
        <v>228</v>
      </c>
      <c r="F67" s="44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68"/>
      <c r="R67" s="16"/>
      <c r="S67" s="16"/>
      <c r="T67" s="16"/>
      <c r="U67" s="16"/>
      <c r="V67" s="16"/>
      <c r="W67" s="16"/>
      <c r="X67" s="16"/>
      <c r="Y67" s="16"/>
      <c r="Z67" s="45"/>
      <c r="AA67" s="63"/>
      <c r="AB67" s="63"/>
    </row>
    <row r="68" spans="1:28" ht="15.75" x14ac:dyDescent="0.25">
      <c r="A68" s="46" t="s">
        <v>49</v>
      </c>
      <c r="B68" s="145">
        <f>B69+B70</f>
        <v>0</v>
      </c>
      <c r="C68" s="99"/>
      <c r="D68" s="68"/>
      <c r="E68" s="16" t="s">
        <v>228</v>
      </c>
      <c r="F68" s="44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68"/>
      <c r="R68" s="16"/>
      <c r="S68" s="16"/>
      <c r="T68" s="16"/>
      <c r="U68" s="16"/>
      <c r="V68" s="16"/>
      <c r="W68" s="16"/>
      <c r="X68" s="16"/>
      <c r="Y68" s="16"/>
      <c r="Z68" s="45"/>
      <c r="AA68" s="63"/>
      <c r="AB68" s="63"/>
    </row>
    <row r="69" spans="1:28" ht="15.75" x14ac:dyDescent="0.25">
      <c r="A69" s="2" t="s">
        <v>50</v>
      </c>
      <c r="B69" s="146"/>
      <c r="C69" s="99"/>
      <c r="D69" s="68"/>
      <c r="E69" s="16" t="s">
        <v>228</v>
      </c>
      <c r="F69" s="44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68"/>
      <c r="R69" s="16"/>
      <c r="S69" s="16"/>
      <c r="T69" s="16"/>
      <c r="U69" s="16"/>
      <c r="V69" s="16"/>
      <c r="W69" s="16"/>
      <c r="X69" s="16"/>
      <c r="Y69" s="16"/>
      <c r="Z69" s="45"/>
      <c r="AA69" s="63"/>
      <c r="AB69" s="63"/>
    </row>
    <row r="70" spans="1:28" ht="15.75" x14ac:dyDescent="0.25">
      <c r="A70" s="2" t="s">
        <v>193</v>
      </c>
      <c r="B70" s="146"/>
      <c r="C70" s="99"/>
      <c r="D70" s="68"/>
      <c r="E70" s="16" t="s">
        <v>228</v>
      </c>
      <c r="F70" s="44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68"/>
      <c r="R70" s="16"/>
      <c r="S70" s="16"/>
      <c r="T70" s="16"/>
      <c r="U70" s="16"/>
      <c r="V70" s="16"/>
      <c r="W70" s="16"/>
      <c r="X70" s="16"/>
      <c r="Y70" s="16"/>
      <c r="Z70" s="45"/>
      <c r="AA70" s="63"/>
      <c r="AB70" s="63"/>
    </row>
    <row r="71" spans="1:28" ht="15.75" x14ac:dyDescent="0.25">
      <c r="A71" s="46" t="s">
        <v>51</v>
      </c>
      <c r="B71" s="145">
        <f>B72+B73</f>
        <v>0</v>
      </c>
      <c r="C71" s="99"/>
      <c r="D71" s="68"/>
      <c r="E71" s="16" t="s">
        <v>228</v>
      </c>
      <c r="F71" s="44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68"/>
      <c r="R71" s="16"/>
      <c r="S71" s="16"/>
      <c r="T71" s="16"/>
      <c r="U71" s="16"/>
      <c r="V71" s="16"/>
      <c r="W71" s="16"/>
      <c r="X71" s="16"/>
      <c r="Y71" s="16"/>
      <c r="Z71" s="45"/>
      <c r="AA71" s="63"/>
      <c r="AB71" s="63"/>
    </row>
    <row r="72" spans="1:28" ht="15.75" x14ac:dyDescent="0.25">
      <c r="A72" s="2" t="s">
        <v>52</v>
      </c>
      <c r="B72" s="146"/>
      <c r="C72" s="99"/>
      <c r="D72" s="68"/>
      <c r="E72" s="16" t="s">
        <v>228</v>
      </c>
      <c r="F72" s="44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68"/>
      <c r="R72" s="16"/>
      <c r="S72" s="16"/>
      <c r="T72" s="16"/>
      <c r="U72" s="16"/>
      <c r="V72" s="16"/>
      <c r="W72" s="16"/>
      <c r="X72" s="16"/>
      <c r="Y72" s="16"/>
      <c r="Z72" s="45"/>
      <c r="AA72" s="63"/>
      <c r="AB72" s="63"/>
    </row>
    <row r="73" spans="1:28" ht="15.75" x14ac:dyDescent="0.25">
      <c r="A73" s="2" t="s">
        <v>194</v>
      </c>
      <c r="B73" s="146"/>
      <c r="C73" s="99"/>
      <c r="D73" s="68"/>
      <c r="E73" s="16" t="s">
        <v>228</v>
      </c>
      <c r="F73" s="44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68"/>
      <c r="R73" s="16"/>
      <c r="S73" s="16"/>
      <c r="T73" s="16"/>
      <c r="U73" s="16"/>
      <c r="V73" s="16"/>
      <c r="W73" s="16"/>
      <c r="X73" s="16"/>
      <c r="Y73" s="16"/>
      <c r="Z73" s="45"/>
      <c r="AA73" s="63"/>
      <c r="AB73" s="63"/>
    </row>
    <row r="74" spans="1:28" ht="15.75" x14ac:dyDescent="0.25">
      <c r="A74" s="46" t="s">
        <v>53</v>
      </c>
      <c r="B74" s="145">
        <f>B75+B76</f>
        <v>0</v>
      </c>
      <c r="C74" s="99"/>
      <c r="D74" s="68"/>
      <c r="E74" s="16" t="s">
        <v>228</v>
      </c>
      <c r="F74" s="160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68"/>
      <c r="R74" s="16"/>
      <c r="S74" s="16"/>
      <c r="T74" s="16"/>
      <c r="U74" s="16"/>
      <c r="V74" s="16"/>
      <c r="W74" s="16"/>
      <c r="X74" s="16"/>
      <c r="Y74" s="16"/>
      <c r="Z74" s="45"/>
      <c r="AA74" s="63"/>
      <c r="AB74" s="63"/>
    </row>
    <row r="75" spans="1:28" ht="15.75" x14ac:dyDescent="0.25">
      <c r="A75" s="2" t="s">
        <v>54</v>
      </c>
      <c r="B75" s="146"/>
      <c r="C75" s="99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16"/>
      <c r="S75" s="16"/>
      <c r="T75" s="16"/>
      <c r="U75" s="16"/>
      <c r="V75" s="16"/>
      <c r="W75" s="16"/>
      <c r="X75" s="16"/>
      <c r="Y75" s="16"/>
      <c r="Z75" s="45"/>
      <c r="AA75" s="63"/>
      <c r="AB75" s="63"/>
    </row>
    <row r="76" spans="1:28" ht="15.75" x14ac:dyDescent="0.25">
      <c r="A76" s="2" t="s">
        <v>195</v>
      </c>
      <c r="B76" s="146"/>
      <c r="C76" s="99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45"/>
      <c r="AA76" s="63"/>
      <c r="AB76" s="63"/>
    </row>
    <row r="77" spans="1:28" ht="15.75" x14ac:dyDescent="0.25">
      <c r="A77" s="46" t="s">
        <v>319</v>
      </c>
      <c r="B77" s="145">
        <f>B78+B79</f>
        <v>0</v>
      </c>
      <c r="C77" s="99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45"/>
      <c r="AA77" s="63"/>
      <c r="AB77" s="63"/>
    </row>
    <row r="78" spans="1:28" ht="15.75" x14ac:dyDescent="0.25">
      <c r="A78" s="2" t="s">
        <v>72</v>
      </c>
      <c r="B78" s="146"/>
      <c r="C78" s="99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45"/>
      <c r="AA78" s="63"/>
      <c r="AB78" s="63"/>
    </row>
    <row r="79" spans="1:28" ht="15.75" x14ac:dyDescent="0.25">
      <c r="A79" s="55" t="s">
        <v>196</v>
      </c>
      <c r="B79" s="146"/>
      <c r="C79" s="99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45"/>
      <c r="AA79" s="63"/>
      <c r="AB79" s="63"/>
    </row>
    <row r="80" spans="1:28" ht="15.75" x14ac:dyDescent="0.25">
      <c r="A80" s="46" t="s">
        <v>271</v>
      </c>
      <c r="B80" s="145">
        <f>B81+B82</f>
        <v>0</v>
      </c>
      <c r="C80" s="99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45"/>
      <c r="AA80" s="63"/>
      <c r="AB80" s="63"/>
    </row>
    <row r="81" spans="1:28" ht="15.75" x14ac:dyDescent="0.25">
      <c r="A81" s="2" t="s">
        <v>272</v>
      </c>
      <c r="B81" s="146"/>
      <c r="C81" s="99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45"/>
      <c r="AA81" s="63"/>
      <c r="AB81" s="63"/>
    </row>
    <row r="82" spans="1:28" ht="15.75" x14ac:dyDescent="0.25">
      <c r="A82" s="55" t="s">
        <v>273</v>
      </c>
      <c r="B82" s="146">
        <v>0</v>
      </c>
      <c r="C82" s="99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45"/>
      <c r="AA82" s="63"/>
      <c r="AB82" s="63"/>
    </row>
    <row r="83" spans="1:28" ht="15.75" x14ac:dyDescent="0.25">
      <c r="A83" s="56" t="s">
        <v>55</v>
      </c>
      <c r="B83" s="145">
        <f>B84+B97+B100+B103+B110+B113+B116+B119</f>
        <v>20</v>
      </c>
      <c r="C83" s="99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45"/>
      <c r="AA83" s="63"/>
      <c r="AB83" s="63"/>
    </row>
    <row r="84" spans="1:28" ht="15.75" x14ac:dyDescent="0.25">
      <c r="A84" s="57" t="s">
        <v>56</v>
      </c>
      <c r="B84" s="145">
        <f>B85+B88+B91+B94</f>
        <v>20</v>
      </c>
      <c r="C84" s="99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45"/>
      <c r="AA84" s="63"/>
      <c r="AB84" s="63"/>
    </row>
    <row r="85" spans="1:28" ht="15.75" x14ac:dyDescent="0.25">
      <c r="A85" s="55" t="s">
        <v>57</v>
      </c>
      <c r="B85" s="145">
        <f>B86+B87</f>
        <v>20</v>
      </c>
      <c r="C85" s="99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45"/>
      <c r="AA85" s="63"/>
      <c r="AB85" s="63"/>
    </row>
    <row r="86" spans="1:28" ht="15.75" x14ac:dyDescent="0.25">
      <c r="A86" s="55" t="s">
        <v>58</v>
      </c>
      <c r="B86" s="146">
        <v>13</v>
      </c>
      <c r="C86" s="99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45"/>
      <c r="AA86" s="63"/>
      <c r="AB86" s="63"/>
    </row>
    <row r="87" spans="1:28" ht="15.75" x14ac:dyDescent="0.25">
      <c r="A87" s="55" t="s">
        <v>197</v>
      </c>
      <c r="B87" s="146">
        <v>7</v>
      </c>
      <c r="C87" s="99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45"/>
      <c r="AA87" s="63"/>
      <c r="AB87" s="63"/>
    </row>
    <row r="88" spans="1:28" ht="15.75" x14ac:dyDescent="0.25">
      <c r="A88" s="55" t="s">
        <v>237</v>
      </c>
      <c r="B88" s="145">
        <f>B89+B90</f>
        <v>0</v>
      </c>
      <c r="C88" s="99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45"/>
      <c r="AA88" s="63"/>
      <c r="AB88" s="63"/>
    </row>
    <row r="89" spans="1:28" ht="15.75" x14ac:dyDescent="0.25">
      <c r="A89" s="55" t="s">
        <v>59</v>
      </c>
      <c r="B89" s="146"/>
      <c r="C89" s="99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45"/>
      <c r="AA89" s="63"/>
      <c r="AB89" s="63"/>
    </row>
    <row r="90" spans="1:28" ht="15.75" x14ac:dyDescent="0.25">
      <c r="A90" s="55" t="s">
        <v>198</v>
      </c>
      <c r="B90" s="146"/>
      <c r="C90" s="99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45"/>
      <c r="AA90" s="63"/>
      <c r="AB90" s="63"/>
    </row>
    <row r="91" spans="1:28" ht="15.75" x14ac:dyDescent="0.25">
      <c r="A91" s="55" t="s">
        <v>60</v>
      </c>
      <c r="B91" s="145">
        <f>B92+B93</f>
        <v>0</v>
      </c>
      <c r="C91" s="99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45"/>
      <c r="AA91" s="63"/>
      <c r="AB91" s="63"/>
    </row>
    <row r="92" spans="1:28" ht="15.75" x14ac:dyDescent="0.25">
      <c r="A92" s="55" t="s">
        <v>61</v>
      </c>
      <c r="B92" s="146"/>
      <c r="C92" s="99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45"/>
      <c r="AA92" s="63"/>
      <c r="AB92" s="63"/>
    </row>
    <row r="93" spans="1:28" ht="15.75" x14ac:dyDescent="0.25">
      <c r="A93" s="55" t="s">
        <v>199</v>
      </c>
      <c r="B93" s="146"/>
      <c r="C93" s="99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45"/>
      <c r="AA93" s="63"/>
      <c r="AB93" s="63"/>
    </row>
    <row r="94" spans="1:28" ht="15.75" x14ac:dyDescent="0.25">
      <c r="A94" s="55" t="s">
        <v>62</v>
      </c>
      <c r="B94" s="145">
        <f>B95+B96</f>
        <v>0</v>
      </c>
      <c r="C94" s="99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45"/>
      <c r="AA94" s="63"/>
      <c r="AB94" s="63"/>
    </row>
    <row r="95" spans="1:28" ht="15.75" x14ac:dyDescent="0.25">
      <c r="A95" s="55" t="s">
        <v>63</v>
      </c>
      <c r="B95" s="146"/>
      <c r="C95" s="99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45"/>
      <c r="AA95" s="63"/>
      <c r="AB95" s="63"/>
    </row>
    <row r="96" spans="1:28" ht="15.75" x14ac:dyDescent="0.25">
      <c r="A96" s="55" t="s">
        <v>200</v>
      </c>
      <c r="B96" s="146"/>
      <c r="C96" s="99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45"/>
      <c r="AA96" s="63"/>
      <c r="AB96" s="63"/>
    </row>
    <row r="97" spans="1:28" ht="15.75" x14ac:dyDescent="0.25">
      <c r="A97" s="57" t="s">
        <v>64</v>
      </c>
      <c r="B97" s="145">
        <f>B98+B99</f>
        <v>0</v>
      </c>
      <c r="C97" s="99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45"/>
      <c r="AA97" s="63"/>
      <c r="AB97" s="63"/>
    </row>
    <row r="98" spans="1:28" ht="15.75" x14ac:dyDescent="0.25">
      <c r="A98" s="55" t="s">
        <v>65</v>
      </c>
      <c r="B98" s="146"/>
      <c r="C98" s="99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45"/>
      <c r="AA98" s="63"/>
      <c r="AB98" s="63"/>
    </row>
    <row r="99" spans="1:28" ht="15.75" x14ac:dyDescent="0.25">
      <c r="A99" s="55" t="s">
        <v>201</v>
      </c>
      <c r="B99" s="146"/>
      <c r="C99" s="99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45"/>
      <c r="AA99" s="63"/>
      <c r="AB99" s="63"/>
    </row>
    <row r="100" spans="1:28" ht="15.75" x14ac:dyDescent="0.25">
      <c r="A100" s="57" t="s">
        <v>66</v>
      </c>
      <c r="B100" s="145">
        <f>B101+B102</f>
        <v>0</v>
      </c>
      <c r="C100" s="99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45"/>
      <c r="AA100" s="63"/>
      <c r="AB100" s="63"/>
    </row>
    <row r="101" spans="1:28" ht="15.75" x14ac:dyDescent="0.25">
      <c r="A101" s="55" t="s">
        <v>67</v>
      </c>
      <c r="B101" s="146"/>
      <c r="C101" s="99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45"/>
      <c r="AA101" s="63"/>
      <c r="AB101" s="63"/>
    </row>
    <row r="102" spans="1:28" ht="15.75" x14ac:dyDescent="0.25">
      <c r="A102" s="55" t="s">
        <v>202</v>
      </c>
      <c r="B102" s="146"/>
      <c r="C102" s="99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45"/>
      <c r="AA102" s="63"/>
      <c r="AB102" s="63"/>
    </row>
    <row r="103" spans="1:28" ht="15.75" x14ac:dyDescent="0.25">
      <c r="A103" s="57" t="s">
        <v>68</v>
      </c>
      <c r="B103" s="145">
        <f>B104+B107</f>
        <v>0</v>
      </c>
      <c r="C103" s="99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45"/>
      <c r="AA103" s="63"/>
      <c r="AB103" s="63"/>
    </row>
    <row r="104" spans="1:28" ht="15.75" x14ac:dyDescent="0.25">
      <c r="A104" s="55" t="s">
        <v>238</v>
      </c>
      <c r="B104" s="145">
        <f>B105+B106</f>
        <v>0</v>
      </c>
      <c r="C104" s="99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45"/>
      <c r="AA104" s="63"/>
      <c r="AB104" s="63"/>
    </row>
    <row r="105" spans="1:28" ht="15.75" x14ac:dyDescent="0.25">
      <c r="A105" s="2" t="s">
        <v>239</v>
      </c>
      <c r="B105" s="146"/>
      <c r="C105" s="99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45"/>
      <c r="AA105" s="63"/>
      <c r="AB105" s="63"/>
    </row>
    <row r="106" spans="1:28" ht="15.75" x14ac:dyDescent="0.25">
      <c r="A106" s="2" t="s">
        <v>240</v>
      </c>
      <c r="B106" s="146"/>
      <c r="C106" s="99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45"/>
      <c r="AA106" s="63"/>
      <c r="AB106" s="63"/>
    </row>
    <row r="107" spans="1:28" ht="15.75" x14ac:dyDescent="0.25">
      <c r="A107" s="2" t="s">
        <v>241</v>
      </c>
      <c r="B107" s="145">
        <f>B108+B109</f>
        <v>0</v>
      </c>
      <c r="C107" s="99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45"/>
      <c r="AA107" s="63"/>
      <c r="AB107" s="63"/>
    </row>
    <row r="108" spans="1:28" ht="15.75" x14ac:dyDescent="0.25">
      <c r="A108" s="2" t="s">
        <v>242</v>
      </c>
      <c r="B108" s="146"/>
      <c r="C108" s="99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45"/>
      <c r="AA108" s="63"/>
      <c r="AB108" s="63"/>
    </row>
    <row r="109" spans="1:28" ht="15.75" x14ac:dyDescent="0.25">
      <c r="A109" s="55" t="s">
        <v>243</v>
      </c>
      <c r="B109" s="146"/>
      <c r="C109" s="99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45"/>
      <c r="AA109" s="63"/>
      <c r="AB109" s="63"/>
    </row>
    <row r="110" spans="1:28" ht="15.75" x14ac:dyDescent="0.25">
      <c r="A110" s="57" t="s">
        <v>69</v>
      </c>
      <c r="B110" s="145">
        <f>B111+B112</f>
        <v>0</v>
      </c>
      <c r="C110" s="99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45"/>
      <c r="AA110" s="63"/>
      <c r="AB110" s="63"/>
    </row>
    <row r="111" spans="1:28" ht="15.75" x14ac:dyDescent="0.25">
      <c r="A111" s="55" t="s">
        <v>244</v>
      </c>
      <c r="B111" s="146"/>
      <c r="C111" s="99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45"/>
      <c r="AA111" s="63"/>
      <c r="AB111" s="63"/>
    </row>
    <row r="112" spans="1:28" ht="15.75" x14ac:dyDescent="0.25">
      <c r="A112" s="55" t="s">
        <v>245</v>
      </c>
      <c r="B112" s="146"/>
      <c r="C112" s="99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45"/>
      <c r="AA112" s="63"/>
      <c r="AB112" s="63"/>
    </row>
    <row r="113" spans="1:28" ht="15.75" x14ac:dyDescent="0.25">
      <c r="A113" s="57" t="s">
        <v>70</v>
      </c>
      <c r="B113" s="145">
        <f>B114+B115</f>
        <v>0</v>
      </c>
      <c r="C113" s="99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45"/>
      <c r="AA113" s="63"/>
      <c r="AB113" s="63"/>
    </row>
    <row r="114" spans="1:28" ht="15.75" x14ac:dyDescent="0.25">
      <c r="A114" s="55" t="s">
        <v>246</v>
      </c>
      <c r="B114" s="146"/>
      <c r="C114" s="99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45"/>
      <c r="AA114" s="63"/>
      <c r="AB114" s="63"/>
    </row>
    <row r="115" spans="1:28" ht="15.75" x14ac:dyDescent="0.25">
      <c r="A115" s="55" t="s">
        <v>247</v>
      </c>
      <c r="B115" s="146"/>
      <c r="C115" s="99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45"/>
      <c r="AA115" s="63"/>
      <c r="AB115" s="63"/>
    </row>
    <row r="116" spans="1:28" ht="15.75" x14ac:dyDescent="0.25">
      <c r="A116" s="57" t="s">
        <v>71</v>
      </c>
      <c r="B116" s="145">
        <f>B117+B118</f>
        <v>0</v>
      </c>
      <c r="C116" s="99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45"/>
      <c r="AA116" s="63"/>
      <c r="AB116" s="63"/>
    </row>
    <row r="117" spans="1:28" ht="15.75" x14ac:dyDescent="0.25">
      <c r="A117" s="55" t="s">
        <v>248</v>
      </c>
      <c r="B117" s="146"/>
      <c r="C117" s="99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45"/>
      <c r="AA117" s="63"/>
      <c r="AB117" s="63"/>
    </row>
    <row r="118" spans="1:28" ht="15.75" x14ac:dyDescent="0.25">
      <c r="A118" s="55" t="s">
        <v>249</v>
      </c>
      <c r="B118" s="146"/>
      <c r="C118" s="99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45"/>
      <c r="AA118" s="63"/>
      <c r="AB118" s="63"/>
    </row>
    <row r="119" spans="1:28" ht="15.75" x14ac:dyDescent="0.25">
      <c r="A119" s="57" t="s">
        <v>320</v>
      </c>
      <c r="B119" s="145">
        <f>B120+B121</f>
        <v>0</v>
      </c>
      <c r="C119" s="99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45"/>
      <c r="AA119" s="63"/>
      <c r="AB119" s="63"/>
    </row>
    <row r="120" spans="1:28" ht="15.75" x14ac:dyDescent="0.25">
      <c r="A120" s="55" t="s">
        <v>250</v>
      </c>
      <c r="B120" s="146"/>
      <c r="C120" s="99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45"/>
      <c r="AA120" s="63"/>
      <c r="AB120" s="63"/>
    </row>
    <row r="121" spans="1:28" ht="15.75" x14ac:dyDescent="0.25">
      <c r="A121" s="55" t="s">
        <v>251</v>
      </c>
      <c r="B121" s="146"/>
      <c r="C121" s="99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45"/>
      <c r="AA121" s="63"/>
      <c r="AB121" s="63"/>
    </row>
    <row r="122" spans="1:28" ht="15.75" x14ac:dyDescent="0.25">
      <c r="A122" s="57" t="s">
        <v>270</v>
      </c>
      <c r="B122" s="146">
        <v>0</v>
      </c>
      <c r="C122" s="99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45"/>
      <c r="AA122" s="63"/>
      <c r="AB122" s="63"/>
    </row>
    <row r="123" spans="1:28" ht="15.75" x14ac:dyDescent="0.25">
      <c r="A123" s="56" t="s">
        <v>73</v>
      </c>
      <c r="B123" s="145">
        <f>B124+B146+B153+B156+B160+B163+B166+B169+B172</f>
        <v>24</v>
      </c>
      <c r="C123" s="99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45"/>
      <c r="AA123" s="63"/>
      <c r="AB123" s="63"/>
    </row>
    <row r="124" spans="1:28" ht="15.75" x14ac:dyDescent="0.25">
      <c r="A124" s="57" t="s">
        <v>8</v>
      </c>
      <c r="B124" s="145">
        <f>B125+B132+B135+B139</f>
        <v>24</v>
      </c>
      <c r="C124" s="99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45"/>
      <c r="AA124" s="63"/>
      <c r="AB124" s="63"/>
    </row>
    <row r="125" spans="1:28" ht="15.75" x14ac:dyDescent="0.25">
      <c r="A125" s="55" t="s">
        <v>9</v>
      </c>
      <c r="B125" s="145">
        <f>B126+B129</f>
        <v>20</v>
      </c>
      <c r="C125" s="99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45"/>
      <c r="AA125" s="63"/>
      <c r="AB125" s="63"/>
    </row>
    <row r="126" spans="1:28" ht="15.75" x14ac:dyDescent="0.25">
      <c r="A126" s="55" t="s">
        <v>264</v>
      </c>
      <c r="B126" s="145">
        <f>B127+B128</f>
        <v>20</v>
      </c>
      <c r="C126" s="99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45"/>
      <c r="AA126" s="63"/>
      <c r="AB126" s="63"/>
    </row>
    <row r="127" spans="1:28" ht="15.75" x14ac:dyDescent="0.25">
      <c r="A127" s="55" t="s">
        <v>265</v>
      </c>
      <c r="B127" s="146">
        <v>13</v>
      </c>
      <c r="C127" s="99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45"/>
      <c r="AA127" s="63"/>
      <c r="AB127" s="63"/>
    </row>
    <row r="128" spans="1:28" ht="15.75" x14ac:dyDescent="0.25">
      <c r="A128" s="55" t="s">
        <v>266</v>
      </c>
      <c r="B128" s="146">
        <v>7</v>
      </c>
      <c r="C128" s="99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45"/>
      <c r="AA128" s="63"/>
      <c r="AB128" s="63"/>
    </row>
    <row r="129" spans="1:28" ht="15.75" x14ac:dyDescent="0.25">
      <c r="A129" s="55" t="s">
        <v>267</v>
      </c>
      <c r="B129" s="145">
        <f>B130+B131</f>
        <v>0</v>
      </c>
      <c r="C129" s="99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45"/>
      <c r="AA129" s="63"/>
      <c r="AB129" s="63"/>
    </row>
    <row r="130" spans="1:28" ht="15.75" x14ac:dyDescent="0.25">
      <c r="A130" s="55" t="s">
        <v>268</v>
      </c>
      <c r="B130" s="146"/>
      <c r="C130" s="99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45"/>
      <c r="AA130" s="63"/>
      <c r="AB130" s="63"/>
    </row>
    <row r="131" spans="1:28" ht="15.75" x14ac:dyDescent="0.25">
      <c r="A131" s="55" t="s">
        <v>269</v>
      </c>
      <c r="B131" s="146"/>
      <c r="C131" s="99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45"/>
      <c r="AA131" s="63"/>
      <c r="AB131" s="63"/>
    </row>
    <row r="132" spans="1:28" ht="15.75" x14ac:dyDescent="0.25">
      <c r="A132" s="55" t="s">
        <v>10</v>
      </c>
      <c r="B132" s="145">
        <f>B133+B134</f>
        <v>4</v>
      </c>
      <c r="C132" s="99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45"/>
      <c r="AA132" s="63"/>
      <c r="AB132" s="63"/>
    </row>
    <row r="133" spans="1:28" ht="15.75" x14ac:dyDescent="0.25">
      <c r="A133" s="55" t="s">
        <v>74</v>
      </c>
      <c r="B133" s="146">
        <v>4</v>
      </c>
      <c r="C133" s="99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45"/>
      <c r="AA133" s="63"/>
      <c r="AB133" s="63"/>
    </row>
    <row r="134" spans="1:28" ht="15.75" x14ac:dyDescent="0.25">
      <c r="A134" s="55" t="s">
        <v>203</v>
      </c>
      <c r="B134" s="146"/>
      <c r="C134" s="99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45"/>
      <c r="AA134" s="63"/>
      <c r="AB134" s="63"/>
    </row>
    <row r="135" spans="1:28" ht="15.75" x14ac:dyDescent="0.25">
      <c r="A135" s="55" t="s">
        <v>11</v>
      </c>
      <c r="B135" s="145">
        <f>B136+B137</f>
        <v>0</v>
      </c>
      <c r="C135" s="99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45"/>
      <c r="AA135" s="63"/>
      <c r="AB135" s="63"/>
    </row>
    <row r="136" spans="1:28" ht="15.75" x14ac:dyDescent="0.25">
      <c r="A136" s="55" t="s">
        <v>75</v>
      </c>
      <c r="B136" s="146"/>
      <c r="C136" s="99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45"/>
      <c r="AA136" s="63"/>
      <c r="AB136" s="63"/>
    </row>
    <row r="137" spans="1:28" ht="15.75" x14ac:dyDescent="0.25">
      <c r="A137" s="55" t="s">
        <v>204</v>
      </c>
      <c r="B137" s="146"/>
      <c r="C137" s="99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45"/>
      <c r="AA137" s="63"/>
      <c r="AB137" s="63"/>
    </row>
    <row r="138" spans="1:28" ht="15.75" x14ac:dyDescent="0.25">
      <c r="A138" s="55" t="s">
        <v>321</v>
      </c>
      <c r="B138" s="148"/>
      <c r="C138" s="99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45"/>
      <c r="AA138" s="63"/>
      <c r="AB138" s="63"/>
    </row>
    <row r="139" spans="1:28" ht="15.75" x14ac:dyDescent="0.25">
      <c r="A139" s="55" t="s">
        <v>322</v>
      </c>
      <c r="B139" s="145">
        <f>B140+B143</f>
        <v>0</v>
      </c>
      <c r="C139" s="99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45"/>
      <c r="AA139" s="63"/>
      <c r="AB139" s="63"/>
    </row>
    <row r="140" spans="1:28" ht="15.75" x14ac:dyDescent="0.25">
      <c r="A140" s="55" t="s">
        <v>150</v>
      </c>
      <c r="B140" s="145">
        <f>B141+B142</f>
        <v>0</v>
      </c>
      <c r="C140" s="99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45"/>
      <c r="AA140" s="63"/>
      <c r="AB140" s="63"/>
    </row>
    <row r="141" spans="1:28" ht="15.75" x14ac:dyDescent="0.25">
      <c r="A141" s="55" t="s">
        <v>151</v>
      </c>
      <c r="B141" s="146"/>
      <c r="C141" s="99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45"/>
      <c r="AA141" s="63"/>
      <c r="AB141" s="63"/>
    </row>
    <row r="142" spans="1:28" ht="15.75" x14ac:dyDescent="0.25">
      <c r="A142" s="55" t="s">
        <v>252</v>
      </c>
      <c r="B142" s="146"/>
      <c r="C142" s="99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45"/>
      <c r="AA142" s="63"/>
      <c r="AB142" s="63"/>
    </row>
    <row r="143" spans="1:28" ht="15.75" x14ac:dyDescent="0.25">
      <c r="A143" s="55" t="s">
        <v>152</v>
      </c>
      <c r="B143" s="145">
        <f>B144+B145</f>
        <v>0</v>
      </c>
      <c r="C143" s="99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45"/>
      <c r="AA143" s="63"/>
      <c r="AB143" s="63"/>
    </row>
    <row r="144" spans="1:28" ht="15.75" x14ac:dyDescent="0.25">
      <c r="A144" s="55" t="s">
        <v>153</v>
      </c>
      <c r="B144" s="146"/>
      <c r="C144" s="99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45"/>
      <c r="AA144" s="63"/>
      <c r="AB144" s="63"/>
    </row>
    <row r="145" spans="1:28" ht="15.75" x14ac:dyDescent="0.25">
      <c r="A145" s="55" t="s">
        <v>205</v>
      </c>
      <c r="B145" s="146"/>
      <c r="C145" s="99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45"/>
      <c r="AA145" s="63"/>
      <c r="AB145" s="63"/>
    </row>
    <row r="146" spans="1:28" ht="15.75" x14ac:dyDescent="0.25">
      <c r="A146" s="57" t="s">
        <v>76</v>
      </c>
      <c r="B146" s="145">
        <f>B147+B150</f>
        <v>0</v>
      </c>
      <c r="C146" s="99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45"/>
      <c r="AA146" s="63"/>
      <c r="AB146" s="63"/>
    </row>
    <row r="147" spans="1:28" ht="15.75" x14ac:dyDescent="0.25">
      <c r="A147" s="2" t="s">
        <v>77</v>
      </c>
      <c r="B147" s="145">
        <f>B148+B149</f>
        <v>0</v>
      </c>
      <c r="C147" s="99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45"/>
      <c r="AA147" s="63"/>
      <c r="AB147" s="63"/>
    </row>
    <row r="148" spans="1:28" ht="15.75" x14ac:dyDescent="0.25">
      <c r="A148" s="2" t="s">
        <v>78</v>
      </c>
      <c r="B148" s="146"/>
      <c r="C148" s="99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45"/>
      <c r="AA148" s="63"/>
      <c r="AB148" s="63"/>
    </row>
    <row r="149" spans="1:28" ht="15.75" x14ac:dyDescent="0.25">
      <c r="A149" s="2" t="s">
        <v>206</v>
      </c>
      <c r="B149" s="146"/>
      <c r="C149" s="99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45"/>
      <c r="AA149" s="63"/>
      <c r="AB149" s="63"/>
    </row>
    <row r="150" spans="1:28" ht="15.75" x14ac:dyDescent="0.25">
      <c r="A150" s="2" t="s">
        <v>79</v>
      </c>
      <c r="B150" s="145">
        <f>B151+B152</f>
        <v>0</v>
      </c>
      <c r="C150" s="99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45"/>
      <c r="AA150" s="63"/>
      <c r="AB150" s="63"/>
    </row>
    <row r="151" spans="1:28" ht="15.75" x14ac:dyDescent="0.25">
      <c r="A151" s="2" t="s">
        <v>80</v>
      </c>
      <c r="B151" s="146"/>
      <c r="C151" s="99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45"/>
      <c r="AA151" s="63"/>
      <c r="AB151" s="63"/>
    </row>
    <row r="152" spans="1:28" ht="15.75" x14ac:dyDescent="0.25">
      <c r="A152" s="55" t="s">
        <v>207</v>
      </c>
      <c r="B152" s="146"/>
      <c r="C152" s="99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45"/>
      <c r="AA152" s="63"/>
      <c r="AB152" s="63"/>
    </row>
    <row r="153" spans="1:28" ht="15.75" x14ac:dyDescent="0.25">
      <c r="A153" s="57" t="s">
        <v>81</v>
      </c>
      <c r="B153" s="145">
        <f>B154+B155</f>
        <v>0</v>
      </c>
      <c r="C153" s="99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45"/>
      <c r="AA153" s="63"/>
      <c r="AB153" s="63"/>
    </row>
    <row r="154" spans="1:28" ht="15.75" x14ac:dyDescent="0.25">
      <c r="A154" s="55" t="s">
        <v>82</v>
      </c>
      <c r="B154" s="146"/>
      <c r="C154" s="99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45"/>
      <c r="AA154" s="63"/>
      <c r="AB154" s="63"/>
    </row>
    <row r="155" spans="1:28" ht="15.75" x14ac:dyDescent="0.25">
      <c r="A155" s="55" t="s">
        <v>208</v>
      </c>
      <c r="B155" s="146"/>
      <c r="C155" s="99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45"/>
      <c r="AA155" s="63"/>
      <c r="AB155" s="63"/>
    </row>
    <row r="156" spans="1:28" ht="15.75" x14ac:dyDescent="0.25">
      <c r="A156" s="57" t="s">
        <v>12</v>
      </c>
      <c r="B156" s="145">
        <f>B157</f>
        <v>0</v>
      </c>
      <c r="C156" s="99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45"/>
      <c r="AA156" s="63"/>
      <c r="AB156" s="63"/>
    </row>
    <row r="157" spans="1:28" ht="15.75" x14ac:dyDescent="0.25">
      <c r="A157" s="55" t="s">
        <v>83</v>
      </c>
      <c r="B157" s="145">
        <f>B158+B159</f>
        <v>0</v>
      </c>
      <c r="C157" s="99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45"/>
      <c r="AA157" s="63"/>
      <c r="AB157" s="63"/>
    </row>
    <row r="158" spans="1:28" ht="15.75" x14ac:dyDescent="0.25">
      <c r="A158" s="2" t="s">
        <v>84</v>
      </c>
      <c r="B158" s="146"/>
      <c r="C158" s="99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45"/>
      <c r="AA158" s="63"/>
      <c r="AB158" s="63"/>
    </row>
    <row r="159" spans="1:28" ht="15.75" x14ac:dyDescent="0.25">
      <c r="A159" s="2" t="s">
        <v>209</v>
      </c>
      <c r="B159" s="146"/>
      <c r="C159" s="99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45"/>
      <c r="AA159" s="63"/>
      <c r="AB159" s="63"/>
    </row>
    <row r="160" spans="1:28" ht="15.75" x14ac:dyDescent="0.25">
      <c r="A160" s="57" t="s">
        <v>233</v>
      </c>
      <c r="B160" s="145">
        <f>B161+B162</f>
        <v>0</v>
      </c>
      <c r="C160" s="99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45"/>
      <c r="AA160" s="63"/>
      <c r="AB160" s="63"/>
    </row>
    <row r="161" spans="1:28" ht="15.75" x14ac:dyDescent="0.25">
      <c r="A161" s="55" t="s">
        <v>281</v>
      </c>
      <c r="B161" s="146"/>
      <c r="C161" s="99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45"/>
      <c r="AA161" s="63"/>
      <c r="AB161" s="63"/>
    </row>
    <row r="162" spans="1:28" ht="15.75" x14ac:dyDescent="0.25">
      <c r="A162" s="55" t="s">
        <v>282</v>
      </c>
      <c r="B162" s="146"/>
      <c r="C162" s="99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45"/>
      <c r="AA162" s="63"/>
      <c r="AB162" s="63"/>
    </row>
    <row r="163" spans="1:28" ht="15.75" x14ac:dyDescent="0.25">
      <c r="A163" s="57" t="s">
        <v>13</v>
      </c>
      <c r="B163" s="145">
        <f>B164+B165</f>
        <v>0</v>
      </c>
      <c r="C163" s="99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45"/>
      <c r="AA163" s="63"/>
      <c r="AB163" s="63"/>
    </row>
    <row r="164" spans="1:28" ht="15.75" x14ac:dyDescent="0.25">
      <c r="A164" s="55" t="s">
        <v>85</v>
      </c>
      <c r="B164" s="146"/>
      <c r="C164" s="99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45"/>
      <c r="AA164" s="63"/>
      <c r="AB164" s="63"/>
    </row>
    <row r="165" spans="1:28" ht="15.75" x14ac:dyDescent="0.25">
      <c r="A165" s="55" t="s">
        <v>210</v>
      </c>
      <c r="B165" s="146"/>
      <c r="C165" s="99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45"/>
      <c r="AA165" s="63"/>
      <c r="AB165" s="63"/>
    </row>
    <row r="166" spans="1:28" ht="15.75" x14ac:dyDescent="0.25">
      <c r="A166" s="57" t="s">
        <v>14</v>
      </c>
      <c r="B166" s="145">
        <f>B167+B168</f>
        <v>0</v>
      </c>
      <c r="C166" s="99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45"/>
      <c r="AA166" s="63"/>
      <c r="AB166" s="63"/>
    </row>
    <row r="167" spans="1:28" ht="15.75" x14ac:dyDescent="0.25">
      <c r="A167" s="55" t="s">
        <v>253</v>
      </c>
      <c r="B167" s="146"/>
      <c r="C167" s="99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45"/>
      <c r="AA167" s="63"/>
      <c r="AB167" s="63"/>
    </row>
    <row r="168" spans="1:28" ht="15.75" x14ac:dyDescent="0.25">
      <c r="A168" s="55" t="s">
        <v>254</v>
      </c>
      <c r="B168" s="146"/>
      <c r="C168" s="99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45"/>
      <c r="AA168" s="63"/>
      <c r="AB168" s="63"/>
    </row>
    <row r="169" spans="1:28" ht="15.75" x14ac:dyDescent="0.25">
      <c r="A169" s="57" t="s">
        <v>323</v>
      </c>
      <c r="B169" s="145">
        <f>B170+B171</f>
        <v>0</v>
      </c>
      <c r="C169" s="99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45"/>
      <c r="AA169" s="63"/>
      <c r="AB169" s="63"/>
    </row>
    <row r="170" spans="1:28" ht="15.75" x14ac:dyDescent="0.25">
      <c r="A170" s="55" t="s">
        <v>255</v>
      </c>
      <c r="B170" s="146"/>
      <c r="C170" s="99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45"/>
      <c r="AA170" s="63"/>
      <c r="AB170" s="63"/>
    </row>
    <row r="171" spans="1:28" ht="15.75" x14ac:dyDescent="0.25">
      <c r="A171" s="55" t="s">
        <v>256</v>
      </c>
      <c r="B171" s="146"/>
      <c r="C171" s="99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45"/>
      <c r="AA171" s="63"/>
      <c r="AB171" s="63"/>
    </row>
    <row r="172" spans="1:28" ht="15.75" x14ac:dyDescent="0.25">
      <c r="A172" s="57" t="s">
        <v>234</v>
      </c>
      <c r="B172" s="145">
        <f>B174+B173</f>
        <v>0</v>
      </c>
      <c r="C172" s="99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45"/>
      <c r="AA172" s="63"/>
      <c r="AB172" s="63"/>
    </row>
    <row r="173" spans="1:28" ht="15.75" x14ac:dyDescent="0.25">
      <c r="A173" s="55" t="s">
        <v>235</v>
      </c>
      <c r="B173" s="147"/>
      <c r="C173" s="99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45"/>
      <c r="AA173" s="63"/>
      <c r="AB173" s="63"/>
    </row>
    <row r="174" spans="1:28" ht="15.75" x14ac:dyDescent="0.25">
      <c r="A174" s="55" t="s">
        <v>236</v>
      </c>
      <c r="B174" s="146"/>
      <c r="C174" s="99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45"/>
      <c r="AA174" s="63"/>
      <c r="AB174" s="63"/>
    </row>
    <row r="175" spans="1:28" ht="15.75" x14ac:dyDescent="0.25">
      <c r="A175" s="62" t="s">
        <v>86</v>
      </c>
      <c r="B175" s="148"/>
      <c r="C175" s="99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45"/>
      <c r="AA175" s="63"/>
      <c r="AB175" s="63"/>
    </row>
    <row r="176" spans="1:28" ht="15.75" x14ac:dyDescent="0.25">
      <c r="A176" s="81" t="s">
        <v>87</v>
      </c>
      <c r="B176" s="145">
        <f>B178+B177</f>
        <v>0</v>
      </c>
      <c r="C176" s="99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45"/>
      <c r="AA176" s="63"/>
      <c r="AB176" s="63"/>
    </row>
    <row r="177" spans="1:28" ht="15.75" x14ac:dyDescent="0.25">
      <c r="A177" s="55" t="s">
        <v>257</v>
      </c>
      <c r="B177" s="146"/>
      <c r="C177" s="99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45"/>
      <c r="AA177" s="63"/>
      <c r="AB177" s="63"/>
    </row>
    <row r="178" spans="1:28" ht="15.75" x14ac:dyDescent="0.25">
      <c r="A178" s="55" t="s">
        <v>258</v>
      </c>
      <c r="B178" s="146"/>
      <c r="C178" s="99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45"/>
      <c r="AA178" s="63"/>
      <c r="AB178" s="63"/>
    </row>
    <row r="179" spans="1:28" ht="15.75" x14ac:dyDescent="0.25">
      <c r="A179" s="62" t="s">
        <v>88</v>
      </c>
      <c r="B179" s="146"/>
      <c r="C179" s="99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45"/>
      <c r="AA179" s="63"/>
      <c r="AB179" s="63"/>
    </row>
    <row r="180" spans="1:28" ht="15.75" x14ac:dyDescent="0.25">
      <c r="A180" s="81" t="s">
        <v>15</v>
      </c>
      <c r="B180" s="145">
        <f>B181+B182</f>
        <v>0</v>
      </c>
      <c r="C180" s="99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45"/>
      <c r="AA180" s="63"/>
      <c r="AB180" s="63"/>
    </row>
    <row r="181" spans="1:28" ht="15.75" x14ac:dyDescent="0.25">
      <c r="A181" s="55" t="s">
        <v>16</v>
      </c>
      <c r="B181" s="146"/>
      <c r="C181" s="99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45"/>
      <c r="AA181" s="63"/>
      <c r="AB181" s="63"/>
    </row>
    <row r="182" spans="1:28" ht="15.75" x14ac:dyDescent="0.25">
      <c r="A182" s="55" t="s">
        <v>211</v>
      </c>
      <c r="B182" s="146"/>
      <c r="C182" s="99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45"/>
      <c r="AA182" s="63"/>
      <c r="AB182" s="63"/>
    </row>
    <row r="183" spans="1:28" ht="15.75" x14ac:dyDescent="0.25">
      <c r="A183" s="62" t="s">
        <v>124</v>
      </c>
      <c r="B183" s="146"/>
      <c r="C183" s="99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45"/>
      <c r="AA183" s="63"/>
      <c r="AB183" s="63"/>
    </row>
    <row r="184" spans="1:28" ht="15.75" x14ac:dyDescent="0.25">
      <c r="A184" s="62" t="s">
        <v>89</v>
      </c>
      <c r="B184" s="146"/>
      <c r="C184" s="99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45"/>
      <c r="AA184" s="63"/>
      <c r="AB184" s="63"/>
    </row>
    <row r="185" spans="1:28" ht="15.75" x14ac:dyDescent="0.25">
      <c r="A185" s="62" t="s">
        <v>285</v>
      </c>
      <c r="B185" s="159"/>
      <c r="C185" s="99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45"/>
      <c r="AA185" s="63"/>
      <c r="AB185" s="63"/>
    </row>
    <row r="186" spans="1:28" ht="15.75" x14ac:dyDescent="0.25">
      <c r="A186" s="81" t="s">
        <v>434</v>
      </c>
      <c r="B186" s="145">
        <f>B187</f>
        <v>0</v>
      </c>
      <c r="C186" s="99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45"/>
      <c r="AA186" s="63"/>
      <c r="AB186" s="63"/>
    </row>
    <row r="187" spans="1:28" ht="15.75" x14ac:dyDescent="0.25">
      <c r="A187" s="55" t="s">
        <v>435</v>
      </c>
      <c r="B187" s="159"/>
      <c r="C187" s="99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45"/>
      <c r="AA187" s="63"/>
      <c r="AB187" s="63"/>
    </row>
    <row r="188" spans="1:28" ht="15.75" x14ac:dyDescent="0.25">
      <c r="A188" s="81" t="s">
        <v>436</v>
      </c>
      <c r="B188" s="145">
        <f>SUM(B189:B191)</f>
        <v>8</v>
      </c>
      <c r="C188" s="99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45"/>
      <c r="AA188" s="63"/>
      <c r="AB188" s="63"/>
    </row>
    <row r="189" spans="1:28" ht="15.75" x14ac:dyDescent="0.25">
      <c r="A189" s="55" t="s">
        <v>324</v>
      </c>
      <c r="B189" s="146"/>
      <c r="C189" s="99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45"/>
      <c r="AA189" s="63"/>
      <c r="AB189" s="63"/>
    </row>
    <row r="190" spans="1:28" ht="15.75" x14ac:dyDescent="0.25">
      <c r="A190" s="55" t="s">
        <v>437</v>
      </c>
      <c r="B190" s="146">
        <v>8</v>
      </c>
      <c r="C190" s="99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45"/>
      <c r="AA190" s="63"/>
      <c r="AB190" s="63"/>
    </row>
    <row r="191" spans="1:28" ht="15.75" x14ac:dyDescent="0.25">
      <c r="A191" s="55" t="s">
        <v>438</v>
      </c>
      <c r="B191" s="146"/>
      <c r="C191" s="99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45"/>
      <c r="AA191" s="63"/>
      <c r="AB191" s="63"/>
    </row>
    <row r="192" spans="1:28" ht="15.75" x14ac:dyDescent="0.25">
      <c r="A192" s="81" t="s">
        <v>439</v>
      </c>
      <c r="B192" s="145">
        <f>SUM(B193:B195)</f>
        <v>1989</v>
      </c>
      <c r="C192" s="99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45"/>
      <c r="AA192" s="63"/>
      <c r="AB192" s="63"/>
    </row>
    <row r="193" spans="1:28" ht="15.75" x14ac:dyDescent="0.25">
      <c r="A193" s="55" t="s">
        <v>440</v>
      </c>
      <c r="B193" s="146"/>
      <c r="C193" s="99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45"/>
      <c r="AA193" s="63"/>
      <c r="AB193" s="63"/>
    </row>
    <row r="194" spans="1:28" ht="15.75" x14ac:dyDescent="0.25">
      <c r="A194" s="55" t="s">
        <v>441</v>
      </c>
      <c r="B194" s="146">
        <v>1989</v>
      </c>
      <c r="C194" s="99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45"/>
      <c r="AA194" s="63"/>
      <c r="AB194" s="63"/>
    </row>
    <row r="195" spans="1:28" ht="15.75" x14ac:dyDescent="0.25">
      <c r="A195" s="55" t="s">
        <v>442</v>
      </c>
      <c r="B195" s="146"/>
      <c r="C195" s="99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45"/>
      <c r="AA195" s="63"/>
      <c r="AB195" s="63"/>
    </row>
    <row r="196" spans="1:28" ht="15.75" x14ac:dyDescent="0.25">
      <c r="A196" s="62" t="s">
        <v>90</v>
      </c>
      <c r="B196" s="145"/>
      <c r="C196" s="99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45"/>
      <c r="AA196" s="63"/>
      <c r="AB196" s="63"/>
    </row>
    <row r="197" spans="1:28" ht="15.75" x14ac:dyDescent="0.25">
      <c r="A197" s="57" t="s">
        <v>91</v>
      </c>
      <c r="B197" s="145">
        <f>B198+B199+B200</f>
        <v>0</v>
      </c>
      <c r="C197" s="99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45"/>
      <c r="AA197" s="63"/>
      <c r="AB197" s="63"/>
    </row>
    <row r="198" spans="1:28" ht="15.75" x14ac:dyDescent="0.25">
      <c r="A198" s="55" t="s">
        <v>92</v>
      </c>
      <c r="B198" s="146"/>
      <c r="C198" s="99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45"/>
      <c r="AA198" s="63"/>
      <c r="AB198" s="63"/>
    </row>
    <row r="199" spans="1:28" ht="15.75" x14ac:dyDescent="0.25">
      <c r="A199" s="55" t="s">
        <v>93</v>
      </c>
      <c r="B199" s="146"/>
      <c r="C199" s="99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45"/>
      <c r="AA199" s="63"/>
      <c r="AB199" s="63"/>
    </row>
    <row r="200" spans="1:28" ht="15.75" x14ac:dyDescent="0.25">
      <c r="A200" s="55" t="s">
        <v>94</v>
      </c>
      <c r="B200" s="146"/>
      <c r="C200" s="99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45"/>
      <c r="AA200" s="63"/>
      <c r="AB200" s="63"/>
    </row>
    <row r="201" spans="1:28" ht="15.75" x14ac:dyDescent="0.25">
      <c r="A201" s="57" t="s">
        <v>95</v>
      </c>
      <c r="B201" s="145">
        <f>B202+B203+B204+B205</f>
        <v>0</v>
      </c>
      <c r="C201" s="99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45"/>
      <c r="AA201" s="63"/>
      <c r="AB201" s="63"/>
    </row>
    <row r="202" spans="1:28" ht="15.75" x14ac:dyDescent="0.25">
      <c r="A202" s="55" t="s">
        <v>96</v>
      </c>
      <c r="B202" s="146"/>
      <c r="C202" s="99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45"/>
      <c r="AA202" s="63"/>
      <c r="AB202" s="63"/>
    </row>
    <row r="203" spans="1:28" ht="15.75" customHeight="1" x14ac:dyDescent="0.25">
      <c r="A203" s="55" t="s">
        <v>98</v>
      </c>
      <c r="B203" s="146"/>
      <c r="C203" s="99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45"/>
      <c r="AA203" s="63"/>
      <c r="AB203" s="63"/>
    </row>
    <row r="204" spans="1:28" ht="12.75" customHeight="1" x14ac:dyDescent="0.25">
      <c r="A204" s="55" t="s">
        <v>97</v>
      </c>
      <c r="B204" s="146"/>
      <c r="C204" s="99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45"/>
      <c r="AA204" s="63"/>
      <c r="AB204" s="63"/>
    </row>
    <row r="205" spans="1:28" ht="26.25" x14ac:dyDescent="0.25">
      <c r="A205" s="55" t="s">
        <v>99</v>
      </c>
      <c r="B205" s="146"/>
      <c r="C205" s="99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45"/>
      <c r="AA205" s="63"/>
      <c r="AB205" s="63"/>
    </row>
    <row r="206" spans="1:28" ht="15.75" x14ac:dyDescent="0.25">
      <c r="A206" s="57" t="s">
        <v>100</v>
      </c>
      <c r="B206" s="145">
        <f>B207+B208+B209+B210</f>
        <v>0</v>
      </c>
      <c r="C206" s="99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45"/>
      <c r="AA206" s="63"/>
      <c r="AB206" s="63"/>
    </row>
    <row r="207" spans="1:28" ht="18.75" customHeight="1" x14ac:dyDescent="0.25">
      <c r="A207" s="55" t="s">
        <v>101</v>
      </c>
      <c r="B207" s="146"/>
      <c r="C207" s="99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45"/>
      <c r="AA207" s="63"/>
      <c r="AB207" s="63"/>
    </row>
    <row r="208" spans="1:28" ht="15.75" x14ac:dyDescent="0.25">
      <c r="A208" s="55" t="s">
        <v>102</v>
      </c>
      <c r="B208" s="146"/>
      <c r="C208" s="99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45"/>
      <c r="AA208" s="63"/>
      <c r="AB208" s="63"/>
    </row>
    <row r="209" spans="1:28" ht="15.75" customHeight="1" x14ac:dyDescent="0.25">
      <c r="A209" s="55" t="s">
        <v>103</v>
      </c>
      <c r="B209" s="146"/>
      <c r="C209" s="99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45"/>
      <c r="AA209" s="63"/>
      <c r="AB209" s="63"/>
    </row>
    <row r="210" spans="1:28" ht="26.25" x14ac:dyDescent="0.25">
      <c r="A210" s="55" t="s">
        <v>104</v>
      </c>
      <c r="B210" s="146"/>
      <c r="C210" s="99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45"/>
      <c r="AA210" s="63"/>
      <c r="AB210" s="63"/>
    </row>
    <row r="211" spans="1:28" ht="15.75" x14ac:dyDescent="0.25">
      <c r="A211" s="57" t="s">
        <v>105</v>
      </c>
      <c r="B211" s="145">
        <f>B212+B215+B218+B221</f>
        <v>0</v>
      </c>
      <c r="C211" s="99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45"/>
      <c r="AA211" s="63"/>
      <c r="AB211" s="63"/>
    </row>
    <row r="212" spans="1:28" ht="15.75" x14ac:dyDescent="0.25">
      <c r="A212" s="55" t="s">
        <v>106</v>
      </c>
      <c r="B212" s="145">
        <f>B213+B214</f>
        <v>0</v>
      </c>
      <c r="C212" s="99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45"/>
      <c r="AA212" s="63"/>
      <c r="AB212" s="63"/>
    </row>
    <row r="213" spans="1:28" ht="15.75" x14ac:dyDescent="0.25">
      <c r="A213" s="55" t="s">
        <v>107</v>
      </c>
      <c r="B213" s="146"/>
      <c r="C213" s="99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45"/>
      <c r="AA213" s="63"/>
      <c r="AB213" s="63"/>
    </row>
    <row r="214" spans="1:28" ht="15.75" x14ac:dyDescent="0.25">
      <c r="A214" s="55" t="s">
        <v>259</v>
      </c>
      <c r="B214" s="146"/>
      <c r="C214" s="99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45"/>
      <c r="AA214" s="63"/>
      <c r="AB214" s="63"/>
    </row>
    <row r="215" spans="1:28" ht="15.75" x14ac:dyDescent="0.25">
      <c r="A215" s="55" t="s">
        <v>108</v>
      </c>
      <c r="B215" s="145">
        <f>B216+B217</f>
        <v>0</v>
      </c>
      <c r="C215" s="99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45"/>
      <c r="AA215" s="63"/>
      <c r="AB215" s="63"/>
    </row>
    <row r="216" spans="1:28" ht="15.75" x14ac:dyDescent="0.25">
      <c r="A216" s="55" t="s">
        <v>111</v>
      </c>
      <c r="B216" s="146"/>
      <c r="C216" s="99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45"/>
      <c r="AA216" s="63"/>
      <c r="AB216" s="63"/>
    </row>
    <row r="217" spans="1:28" ht="15.75" x14ac:dyDescent="0.25">
      <c r="A217" s="55" t="s">
        <v>212</v>
      </c>
      <c r="B217" s="146"/>
      <c r="C217" s="99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45"/>
      <c r="AA217" s="63"/>
      <c r="AB217" s="63"/>
    </row>
    <row r="218" spans="1:28" ht="15.75" customHeight="1" x14ac:dyDescent="0.25">
      <c r="A218" s="55" t="s">
        <v>109</v>
      </c>
      <c r="B218" s="145">
        <f>B219+B220</f>
        <v>0</v>
      </c>
      <c r="C218" s="99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45"/>
      <c r="AA218" s="63"/>
      <c r="AB218" s="63"/>
    </row>
    <row r="219" spans="1:28" ht="15.75" x14ac:dyDescent="0.25">
      <c r="A219" s="55" t="s">
        <v>110</v>
      </c>
      <c r="B219" s="147"/>
      <c r="C219" s="99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45"/>
      <c r="AA219" s="63"/>
      <c r="AB219" s="63"/>
    </row>
    <row r="220" spans="1:28" ht="15.75" customHeight="1" x14ac:dyDescent="0.25">
      <c r="A220" s="55" t="s">
        <v>213</v>
      </c>
      <c r="B220" s="147"/>
      <c r="C220" s="99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45"/>
      <c r="AA220" s="63"/>
      <c r="AB220" s="63"/>
    </row>
    <row r="221" spans="1:28" ht="26.25" x14ac:dyDescent="0.25">
      <c r="A221" s="55" t="s">
        <v>112</v>
      </c>
      <c r="B221" s="145">
        <f>B222+B223</f>
        <v>0</v>
      </c>
      <c r="C221" s="99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45"/>
      <c r="AA221" s="63"/>
      <c r="AB221" s="63"/>
    </row>
    <row r="222" spans="1:28" ht="15.75" x14ac:dyDescent="0.25">
      <c r="A222" s="55" t="s">
        <v>113</v>
      </c>
      <c r="B222" s="146"/>
      <c r="C222" s="99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45"/>
      <c r="AA222" s="63"/>
      <c r="AB222" s="63"/>
    </row>
    <row r="223" spans="1:28" ht="15.75" x14ac:dyDescent="0.25">
      <c r="A223" s="55" t="s">
        <v>214</v>
      </c>
      <c r="B223" s="146"/>
      <c r="C223" s="99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45"/>
      <c r="AA223" s="63"/>
      <c r="AB223" s="63"/>
    </row>
    <row r="224" spans="1:28" ht="15.75" x14ac:dyDescent="0.25">
      <c r="A224" s="57" t="s">
        <v>114</v>
      </c>
      <c r="B224" s="145">
        <f>B225+B228+B231</f>
        <v>0</v>
      </c>
      <c r="C224" s="99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45"/>
      <c r="AA224" s="63"/>
      <c r="AB224" s="63"/>
    </row>
    <row r="225" spans="1:28" ht="15.75" x14ac:dyDescent="0.25">
      <c r="A225" s="55" t="s">
        <v>115</v>
      </c>
      <c r="B225" s="145">
        <f>B226+B227</f>
        <v>0</v>
      </c>
      <c r="C225" s="99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45"/>
      <c r="AA225" s="63"/>
      <c r="AB225" s="63"/>
    </row>
    <row r="226" spans="1:28" ht="15.75" x14ac:dyDescent="0.25">
      <c r="A226" s="55" t="s">
        <v>116</v>
      </c>
      <c r="B226" s="146"/>
      <c r="C226" s="99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45"/>
      <c r="AA226" s="63"/>
      <c r="AB226" s="63"/>
    </row>
    <row r="227" spans="1:28" ht="15.75" x14ac:dyDescent="0.25">
      <c r="A227" s="55" t="s">
        <v>215</v>
      </c>
      <c r="B227" s="146"/>
      <c r="C227" s="99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45"/>
      <c r="AA227" s="63"/>
      <c r="AB227" s="63"/>
    </row>
    <row r="228" spans="1:28" ht="15.75" x14ac:dyDescent="0.25">
      <c r="A228" s="55" t="s">
        <v>117</v>
      </c>
      <c r="B228" s="145">
        <f>B229+B230</f>
        <v>0</v>
      </c>
      <c r="C228" s="99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45"/>
      <c r="AA228" s="63"/>
      <c r="AB228" s="63"/>
    </row>
    <row r="229" spans="1:28" ht="15.75" x14ac:dyDescent="0.25">
      <c r="A229" s="55" t="s">
        <v>118</v>
      </c>
      <c r="B229" s="146"/>
      <c r="C229" s="99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45"/>
      <c r="AA229" s="63"/>
      <c r="AB229" s="63"/>
    </row>
    <row r="230" spans="1:28" ht="15.75" customHeight="1" x14ac:dyDescent="0.25">
      <c r="A230" s="55" t="s">
        <v>216</v>
      </c>
      <c r="B230" s="146"/>
      <c r="C230" s="99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45"/>
      <c r="AA230" s="63"/>
      <c r="AB230" s="63"/>
    </row>
    <row r="231" spans="1:28" ht="26.25" x14ac:dyDescent="0.25">
      <c r="A231" s="55" t="s">
        <v>119</v>
      </c>
      <c r="B231" s="145">
        <f>B232+B233</f>
        <v>0</v>
      </c>
      <c r="C231" s="99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45"/>
      <c r="AA231" s="63"/>
      <c r="AB231" s="63"/>
    </row>
    <row r="232" spans="1:28" ht="15.75" x14ac:dyDescent="0.25">
      <c r="A232" s="55" t="s">
        <v>120</v>
      </c>
      <c r="B232" s="146"/>
      <c r="C232" s="99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45"/>
      <c r="AA232" s="63"/>
      <c r="AB232" s="63"/>
    </row>
    <row r="233" spans="1:28" ht="15.75" x14ac:dyDescent="0.25">
      <c r="A233" s="55" t="s">
        <v>217</v>
      </c>
      <c r="B233" s="146"/>
      <c r="C233" s="99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45"/>
      <c r="AA233" s="63"/>
      <c r="AB233" s="63"/>
    </row>
    <row r="234" spans="1:28" ht="15.75" x14ac:dyDescent="0.25">
      <c r="A234" s="57" t="s">
        <v>121</v>
      </c>
      <c r="B234" s="145">
        <f>B235+B238+B241</f>
        <v>0</v>
      </c>
      <c r="C234" s="99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45"/>
      <c r="AA234" s="63"/>
      <c r="AB234" s="63"/>
    </row>
    <row r="235" spans="1:28" ht="15.75" x14ac:dyDescent="0.25">
      <c r="A235" s="55" t="s">
        <v>122</v>
      </c>
      <c r="B235" s="145">
        <f>B236+B237</f>
        <v>0</v>
      </c>
      <c r="C235" s="99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45"/>
      <c r="AA235" s="63"/>
      <c r="AB235" s="63"/>
    </row>
    <row r="236" spans="1:28" ht="15.75" x14ac:dyDescent="0.25">
      <c r="A236" s="55" t="s">
        <v>123</v>
      </c>
      <c r="B236" s="146"/>
      <c r="C236" s="99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45"/>
      <c r="AA236" s="63"/>
      <c r="AB236" s="63"/>
    </row>
    <row r="237" spans="1:28" ht="15.75" x14ac:dyDescent="0.25">
      <c r="A237" s="55" t="s">
        <v>218</v>
      </c>
      <c r="B237" s="146"/>
      <c r="C237" s="99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45"/>
      <c r="AA237" s="63"/>
      <c r="AB237" s="63"/>
    </row>
    <row r="238" spans="1:28" ht="15.75" x14ac:dyDescent="0.25">
      <c r="A238" s="55" t="s">
        <v>125</v>
      </c>
      <c r="B238" s="145">
        <f>B239+B240</f>
        <v>0</v>
      </c>
      <c r="C238" s="99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45"/>
      <c r="AA238" s="63"/>
      <c r="AB238" s="63"/>
    </row>
    <row r="239" spans="1:28" ht="15.75" x14ac:dyDescent="0.25">
      <c r="A239" s="55" t="s">
        <v>126</v>
      </c>
      <c r="B239" s="146"/>
      <c r="C239" s="99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45"/>
      <c r="AA239" s="63"/>
      <c r="AB239" s="63"/>
    </row>
    <row r="240" spans="1:28" ht="15.75" customHeight="1" x14ac:dyDescent="0.25">
      <c r="A240" s="55" t="s">
        <v>219</v>
      </c>
      <c r="B240" s="146"/>
      <c r="C240" s="99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45"/>
      <c r="AA240" s="63"/>
      <c r="AB240" s="63"/>
    </row>
    <row r="241" spans="1:28" ht="26.25" x14ac:dyDescent="0.25">
      <c r="A241" s="55" t="s">
        <v>127</v>
      </c>
      <c r="B241" s="145">
        <f>B242+B243</f>
        <v>0</v>
      </c>
      <c r="C241" s="99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45"/>
      <c r="AA241" s="63"/>
      <c r="AB241" s="63"/>
    </row>
    <row r="242" spans="1:28" ht="15.75" x14ac:dyDescent="0.25">
      <c r="A242" s="55" t="s">
        <v>128</v>
      </c>
      <c r="B242" s="146"/>
      <c r="C242" s="99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45"/>
      <c r="AA242" s="63"/>
      <c r="AB242" s="63"/>
    </row>
    <row r="243" spans="1:28" ht="15.75" x14ac:dyDescent="0.25">
      <c r="A243" s="55" t="s">
        <v>220</v>
      </c>
      <c r="B243" s="146"/>
      <c r="C243" s="99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45"/>
      <c r="AA243" s="63"/>
      <c r="AB243" s="63"/>
    </row>
    <row r="244" spans="1:28" ht="15.75" x14ac:dyDescent="0.25">
      <c r="A244" s="57" t="s">
        <v>284</v>
      </c>
      <c r="B244" s="146"/>
      <c r="C244" s="99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45"/>
      <c r="AA244" s="63"/>
      <c r="AB244" s="63"/>
    </row>
    <row r="245" spans="1:28" ht="15.75" x14ac:dyDescent="0.25">
      <c r="A245" s="58" t="s">
        <v>129</v>
      </c>
      <c r="B245" s="145">
        <f>B246+B247</f>
        <v>0</v>
      </c>
      <c r="C245" s="99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45"/>
      <c r="AA245" s="63"/>
      <c r="AB245" s="63"/>
    </row>
    <row r="246" spans="1:28" ht="15.75" x14ac:dyDescent="0.25">
      <c r="A246" s="55" t="s">
        <v>260</v>
      </c>
      <c r="B246" s="146"/>
      <c r="C246" s="99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45"/>
      <c r="AA246" s="63"/>
      <c r="AB246" s="63"/>
    </row>
    <row r="247" spans="1:28" ht="15.75" x14ac:dyDescent="0.25">
      <c r="A247" s="55" t="s">
        <v>261</v>
      </c>
      <c r="B247" s="146"/>
      <c r="C247" s="99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45"/>
      <c r="AA247" s="63"/>
      <c r="AB247" s="63"/>
    </row>
    <row r="248" spans="1:28" ht="15.75" x14ac:dyDescent="0.25">
      <c r="A248" s="55" t="s">
        <v>130</v>
      </c>
      <c r="B248" s="145">
        <f>B249+B250</f>
        <v>0</v>
      </c>
      <c r="C248" s="99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45"/>
      <c r="AA248" s="63"/>
      <c r="AB248" s="63"/>
    </row>
    <row r="249" spans="1:28" ht="15.75" x14ac:dyDescent="0.25">
      <c r="A249" s="55" t="s">
        <v>262</v>
      </c>
      <c r="B249" s="146"/>
      <c r="C249" s="99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45"/>
      <c r="AA249" s="63"/>
      <c r="AB249" s="63"/>
    </row>
    <row r="250" spans="1:28" ht="15.75" x14ac:dyDescent="0.25">
      <c r="A250" s="55" t="s">
        <v>263</v>
      </c>
      <c r="B250" s="146"/>
      <c r="C250" s="99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45"/>
      <c r="AA250" s="63"/>
      <c r="AB250" s="63"/>
    </row>
    <row r="251" spans="1:28" ht="15.75" x14ac:dyDescent="0.25">
      <c r="A251" s="62" t="s">
        <v>325</v>
      </c>
      <c r="B251" s="149"/>
      <c r="C251" s="99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45"/>
      <c r="AA251" s="63"/>
      <c r="AB251" s="63"/>
    </row>
    <row r="252" spans="1:28" ht="15.75" x14ac:dyDescent="0.25">
      <c r="A252" s="62" t="s">
        <v>326</v>
      </c>
      <c r="B252" s="149"/>
      <c r="C252" s="99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45"/>
      <c r="AA252" s="63"/>
      <c r="AB252" s="63"/>
    </row>
    <row r="253" spans="1:28" ht="15.75" x14ac:dyDescent="0.25">
      <c r="A253" s="62" t="s">
        <v>327</v>
      </c>
      <c r="B253" s="145">
        <f>B254+B255+B256+B257+B258+B259+B260+B261+B262</f>
        <v>0</v>
      </c>
      <c r="C253" s="99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45"/>
      <c r="AA253" s="63"/>
      <c r="AB253" s="63"/>
    </row>
    <row r="254" spans="1:28" ht="18.75" customHeight="1" x14ac:dyDescent="0.25">
      <c r="A254" s="55" t="s">
        <v>329</v>
      </c>
      <c r="B254" s="146"/>
      <c r="C254" s="99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45"/>
      <c r="AA254" s="63"/>
      <c r="AB254" s="63"/>
    </row>
    <row r="255" spans="1:28" ht="15.75" x14ac:dyDescent="0.25">
      <c r="A255" s="55" t="s">
        <v>328</v>
      </c>
      <c r="B255" s="146"/>
      <c r="C255" s="99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45"/>
      <c r="AA255" s="63"/>
      <c r="AB255" s="63"/>
    </row>
    <row r="256" spans="1:28" ht="15.75" customHeight="1" x14ac:dyDescent="0.25">
      <c r="A256" s="55" t="s">
        <v>330</v>
      </c>
      <c r="B256" s="146"/>
      <c r="C256" s="99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45"/>
      <c r="AA256" s="63"/>
      <c r="AB256" s="63"/>
    </row>
    <row r="257" spans="1:28" ht="15.75" x14ac:dyDescent="0.25">
      <c r="A257" s="55" t="s">
        <v>331</v>
      </c>
      <c r="B257" s="146"/>
      <c r="C257" s="99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45"/>
      <c r="AA257" s="63"/>
      <c r="AB257" s="63"/>
    </row>
    <row r="258" spans="1:28" ht="15.75" x14ac:dyDescent="0.25">
      <c r="A258" s="55" t="s">
        <v>332</v>
      </c>
      <c r="B258" s="146"/>
      <c r="C258" s="99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45"/>
      <c r="AA258" s="63"/>
      <c r="AB258" s="63"/>
    </row>
    <row r="259" spans="1:28" ht="15.75" x14ac:dyDescent="0.25">
      <c r="A259" s="55" t="s">
        <v>333</v>
      </c>
      <c r="B259" s="146"/>
      <c r="C259" s="99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45"/>
      <c r="AA259" s="63"/>
      <c r="AB259" s="63"/>
    </row>
    <row r="260" spans="1:28" ht="15.75" x14ac:dyDescent="0.25">
      <c r="A260" s="55" t="s">
        <v>334</v>
      </c>
      <c r="B260" s="146"/>
      <c r="C260" s="99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45"/>
      <c r="AA260" s="63"/>
      <c r="AB260" s="63"/>
    </row>
    <row r="261" spans="1:28" ht="15.75" x14ac:dyDescent="0.25">
      <c r="A261" s="55" t="s">
        <v>335</v>
      </c>
      <c r="B261" s="146"/>
      <c r="C261" s="99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45"/>
      <c r="AA261" s="63"/>
      <c r="AB261" s="63"/>
    </row>
    <row r="262" spans="1:28" ht="15.75" x14ac:dyDescent="0.25">
      <c r="A262" s="55" t="s">
        <v>336</v>
      </c>
      <c r="B262" s="146"/>
      <c r="C262" s="99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45"/>
      <c r="AA262" s="63"/>
      <c r="AB262" s="63"/>
    </row>
    <row r="263" spans="1:28" ht="15.75" x14ac:dyDescent="0.25">
      <c r="A263" s="76" t="s">
        <v>337</v>
      </c>
      <c r="B263" s="151"/>
      <c r="C263" s="99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45"/>
      <c r="AA263" s="63"/>
      <c r="AB263" s="63"/>
    </row>
    <row r="264" spans="1:28" ht="15.75" x14ac:dyDescent="0.25">
      <c r="A264" s="57" t="s">
        <v>131</v>
      </c>
      <c r="B264" s="150">
        <f>B265+B266+B267+B268</f>
        <v>0</v>
      </c>
      <c r="C264" s="99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45"/>
      <c r="AA264" s="63"/>
      <c r="AB264" s="63"/>
    </row>
    <row r="265" spans="1:28" ht="15.75" x14ac:dyDescent="0.25">
      <c r="A265" s="55" t="s">
        <v>132</v>
      </c>
      <c r="B265" s="146"/>
      <c r="C265" s="99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45"/>
      <c r="AA265" s="63"/>
      <c r="AB265" s="63"/>
    </row>
    <row r="266" spans="1:28" ht="15.75" x14ac:dyDescent="0.25">
      <c r="A266" s="55" t="s">
        <v>133</v>
      </c>
      <c r="B266" s="146"/>
      <c r="C266" s="99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45"/>
      <c r="AA266" s="63"/>
      <c r="AB266" s="63"/>
    </row>
    <row r="267" spans="1:28" ht="15.75" x14ac:dyDescent="0.25">
      <c r="A267" s="55" t="s">
        <v>134</v>
      </c>
      <c r="B267" s="146"/>
      <c r="C267" s="99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45"/>
      <c r="AA267" s="63"/>
      <c r="AB267" s="63"/>
    </row>
    <row r="268" spans="1:28" ht="26.25" x14ac:dyDescent="0.25">
      <c r="A268" s="58" t="s">
        <v>154</v>
      </c>
      <c r="B268" s="146"/>
      <c r="C268" s="99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45"/>
      <c r="AA268" s="63"/>
      <c r="AB268" s="63"/>
    </row>
    <row r="269" spans="1:28" ht="15.75" x14ac:dyDescent="0.25">
      <c r="A269" s="57" t="s">
        <v>338</v>
      </c>
      <c r="B269" s="146"/>
      <c r="C269" s="99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45"/>
      <c r="AA269" s="63"/>
      <c r="AB269" s="63"/>
    </row>
    <row r="270" spans="1:28" ht="15.75" x14ac:dyDescent="0.25">
      <c r="A270" s="76" t="s">
        <v>17</v>
      </c>
      <c r="B270" s="151"/>
      <c r="C270" s="99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45"/>
      <c r="AA270" s="63"/>
      <c r="AB270" s="63"/>
    </row>
    <row r="271" spans="1:28" ht="15.75" x14ac:dyDescent="0.25">
      <c r="A271" s="59" t="s">
        <v>135</v>
      </c>
      <c r="B271" s="152"/>
      <c r="C271" s="99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45"/>
      <c r="AA271" s="63"/>
      <c r="AB271" s="63"/>
    </row>
    <row r="272" spans="1:28" ht="15.75" x14ac:dyDescent="0.25">
      <c r="A272" s="59" t="s">
        <v>225</v>
      </c>
      <c r="B272" s="146"/>
      <c r="C272" s="99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45"/>
      <c r="AA272" s="63"/>
      <c r="AB272" s="63"/>
    </row>
    <row r="273" spans="1:28" ht="15.75" x14ac:dyDescent="0.25">
      <c r="A273" s="59" t="s">
        <v>226</v>
      </c>
      <c r="B273" s="146"/>
      <c r="C273" s="99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45"/>
      <c r="AA273" s="63"/>
      <c r="AB273" s="63"/>
    </row>
    <row r="274" spans="1:28" ht="15.75" x14ac:dyDescent="0.25">
      <c r="A274" s="59" t="s">
        <v>339</v>
      </c>
      <c r="B274" s="149"/>
      <c r="C274" s="99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45"/>
      <c r="AA274" s="63"/>
      <c r="AB274" s="63"/>
    </row>
    <row r="275" spans="1:28" ht="15.75" x14ac:dyDescent="0.25">
      <c r="A275" s="59" t="s">
        <v>340</v>
      </c>
      <c r="B275" s="149"/>
      <c r="C275" s="99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45"/>
      <c r="AA275" s="63"/>
      <c r="AB275" s="63"/>
    </row>
    <row r="276" spans="1:28" ht="15.75" x14ac:dyDescent="0.25">
      <c r="A276" s="76" t="s">
        <v>341</v>
      </c>
      <c r="B276" s="151"/>
      <c r="C276" s="99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45"/>
      <c r="AA276" s="63"/>
      <c r="AB276" s="63"/>
    </row>
    <row r="277" spans="1:28" ht="15.75" x14ac:dyDescent="0.25">
      <c r="A277" s="57" t="s">
        <v>342</v>
      </c>
      <c r="B277" s="145">
        <f>B278+B281</f>
        <v>2</v>
      </c>
      <c r="C277" s="99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45"/>
      <c r="AA277" s="63"/>
      <c r="AB277" s="63"/>
    </row>
    <row r="278" spans="1:28" ht="15.75" x14ac:dyDescent="0.25">
      <c r="A278" s="55" t="s">
        <v>346</v>
      </c>
      <c r="B278" s="145">
        <f>B279+B280</f>
        <v>2</v>
      </c>
      <c r="C278" s="99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45"/>
      <c r="AA278" s="63"/>
      <c r="AB278" s="63"/>
    </row>
    <row r="279" spans="1:28" ht="15.75" x14ac:dyDescent="0.25">
      <c r="A279" s="55" t="s">
        <v>347</v>
      </c>
      <c r="B279" s="146"/>
      <c r="C279" s="99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45"/>
      <c r="AA279" s="63"/>
      <c r="AB279" s="63"/>
    </row>
    <row r="280" spans="1:28" ht="15.75" x14ac:dyDescent="0.25">
      <c r="A280" s="55" t="s">
        <v>350</v>
      </c>
      <c r="B280" s="146">
        <v>2</v>
      </c>
      <c r="C280" s="99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45"/>
      <c r="AA280" s="63"/>
      <c r="AB280" s="63"/>
    </row>
    <row r="281" spans="1:28" ht="15.75" x14ac:dyDescent="0.25">
      <c r="A281" s="55" t="s">
        <v>348</v>
      </c>
      <c r="B281" s="145">
        <f>B282+B283</f>
        <v>0</v>
      </c>
      <c r="C281" s="99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45"/>
      <c r="AA281" s="63"/>
      <c r="AB281" s="63"/>
    </row>
    <row r="282" spans="1:28" ht="15.75" x14ac:dyDescent="0.25">
      <c r="A282" s="55" t="s">
        <v>349</v>
      </c>
      <c r="B282" s="146"/>
      <c r="C282" s="99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45"/>
      <c r="AA282" s="63"/>
      <c r="AB282" s="63"/>
    </row>
    <row r="283" spans="1:28" ht="15.75" x14ac:dyDescent="0.25">
      <c r="A283" s="55" t="s">
        <v>351</v>
      </c>
      <c r="B283" s="146"/>
      <c r="C283" s="99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45"/>
      <c r="AA283" s="63"/>
      <c r="AB283" s="63"/>
    </row>
    <row r="284" spans="1:28" ht="15.75" x14ac:dyDescent="0.25">
      <c r="A284" s="57" t="s">
        <v>345</v>
      </c>
      <c r="B284" s="145">
        <f>B285+B288</f>
        <v>0</v>
      </c>
      <c r="C284" s="99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45"/>
      <c r="AA284" s="63"/>
      <c r="AB284" s="63"/>
    </row>
    <row r="285" spans="1:28" ht="15.75" x14ac:dyDescent="0.25">
      <c r="A285" s="55" t="s">
        <v>352</v>
      </c>
      <c r="B285" s="145">
        <f>B286+B287</f>
        <v>0</v>
      </c>
      <c r="C285" s="99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45"/>
      <c r="AA285" s="63"/>
      <c r="AB285" s="63"/>
    </row>
    <row r="286" spans="1:28" ht="15.75" x14ac:dyDescent="0.25">
      <c r="A286" s="55" t="s">
        <v>343</v>
      </c>
      <c r="B286" s="146"/>
      <c r="C286" s="99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45"/>
      <c r="AA286" s="63"/>
      <c r="AB286" s="63"/>
    </row>
    <row r="287" spans="1:28" ht="15.75" x14ac:dyDescent="0.25">
      <c r="A287" s="55" t="s">
        <v>353</v>
      </c>
      <c r="B287" s="146"/>
      <c r="C287" s="99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45"/>
      <c r="AA287" s="63"/>
      <c r="AB287" s="63"/>
    </row>
    <row r="288" spans="1:28" ht="15.75" x14ac:dyDescent="0.25">
      <c r="A288" s="55" t="s">
        <v>354</v>
      </c>
      <c r="B288" s="145">
        <f>B289+B290</f>
        <v>0</v>
      </c>
      <c r="C288" s="99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45"/>
      <c r="AA288" s="63"/>
      <c r="AB288" s="63"/>
    </row>
    <row r="289" spans="1:28" ht="15.75" x14ac:dyDescent="0.25">
      <c r="A289" s="55" t="s">
        <v>344</v>
      </c>
      <c r="B289" s="146"/>
      <c r="C289" s="99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45"/>
      <c r="AA289" s="63"/>
      <c r="AB289" s="63"/>
    </row>
    <row r="290" spans="1:28" ht="15.75" x14ac:dyDescent="0.25">
      <c r="A290" s="55" t="s">
        <v>355</v>
      </c>
      <c r="B290" s="146"/>
      <c r="C290" s="99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45"/>
      <c r="AA290" s="63"/>
      <c r="AB290" s="63"/>
    </row>
    <row r="291" spans="1:28" ht="15.75" x14ac:dyDescent="0.25">
      <c r="A291" s="78" t="s">
        <v>18</v>
      </c>
      <c r="B291" s="155"/>
      <c r="C291" s="99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45"/>
      <c r="AA291" s="63"/>
      <c r="AB291" s="63"/>
    </row>
    <row r="292" spans="1:28" ht="15.75" x14ac:dyDescent="0.25">
      <c r="A292" s="79" t="s">
        <v>19</v>
      </c>
      <c r="B292" s="156"/>
      <c r="C292" s="99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45"/>
      <c r="AA292" s="63"/>
      <c r="AB292" s="63"/>
    </row>
    <row r="293" spans="1:28" ht="15.75" x14ac:dyDescent="0.25">
      <c r="A293" s="74" t="s">
        <v>20</v>
      </c>
      <c r="B293" s="153"/>
      <c r="C293" s="99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45"/>
      <c r="AA293" s="63"/>
      <c r="AB293" s="63"/>
    </row>
    <row r="294" spans="1:28" ht="15.75" x14ac:dyDescent="0.25">
      <c r="A294" s="80" t="s">
        <v>21</v>
      </c>
      <c r="B294" s="157"/>
      <c r="C294" s="99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45"/>
      <c r="AA294" s="63"/>
      <c r="AB294" s="63"/>
    </row>
    <row r="295" spans="1:28" ht="15.75" x14ac:dyDescent="0.25">
      <c r="A295" s="75" t="s">
        <v>137</v>
      </c>
      <c r="B295" s="154"/>
      <c r="C295" s="99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45"/>
      <c r="AA295" s="63"/>
      <c r="AB295" s="63"/>
    </row>
    <row r="296" spans="1:28" ht="15.75" x14ac:dyDescent="0.25">
      <c r="A296" s="57" t="s">
        <v>138</v>
      </c>
      <c r="B296" s="152"/>
      <c r="C296" s="99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45"/>
      <c r="AA296" s="63"/>
      <c r="AB296" s="63"/>
    </row>
    <row r="297" spans="1:28" ht="15.75" x14ac:dyDescent="0.25">
      <c r="A297" s="57" t="s">
        <v>136</v>
      </c>
      <c r="B297" s="145">
        <f>B298+B301+B304+B307+B310+B312</f>
        <v>0</v>
      </c>
      <c r="C297" s="99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45"/>
      <c r="AA297" s="63"/>
      <c r="AB297" s="63"/>
    </row>
    <row r="298" spans="1:28" ht="15.75" x14ac:dyDescent="0.25">
      <c r="A298" s="60" t="s">
        <v>155</v>
      </c>
      <c r="B298" s="145">
        <f>B299+B300</f>
        <v>0</v>
      </c>
      <c r="C298" s="99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45"/>
      <c r="AA298" s="63"/>
      <c r="AB298" s="63"/>
    </row>
    <row r="299" spans="1:28" ht="15.75" x14ac:dyDescent="0.25">
      <c r="A299" s="55" t="s">
        <v>139</v>
      </c>
      <c r="B299" s="146"/>
      <c r="C299" s="99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45"/>
      <c r="AA299" s="63"/>
      <c r="AB299" s="63"/>
    </row>
    <row r="300" spans="1:28" ht="15.75" x14ac:dyDescent="0.25">
      <c r="A300" s="55" t="s">
        <v>221</v>
      </c>
      <c r="B300" s="146"/>
      <c r="C300" s="99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45"/>
      <c r="AA300" s="63"/>
      <c r="AB300" s="63"/>
    </row>
    <row r="301" spans="1:28" ht="15.75" x14ac:dyDescent="0.25">
      <c r="A301" s="55" t="s">
        <v>140</v>
      </c>
      <c r="B301" s="145">
        <f>B302+B303</f>
        <v>0</v>
      </c>
      <c r="C301" s="99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45"/>
      <c r="AA301" s="63"/>
      <c r="AB301" s="63"/>
    </row>
    <row r="302" spans="1:28" ht="15.75" x14ac:dyDescent="0.25">
      <c r="A302" s="55" t="s">
        <v>141</v>
      </c>
      <c r="B302" s="146"/>
      <c r="C302" s="99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45"/>
      <c r="AA302" s="63"/>
      <c r="AB302" s="63"/>
    </row>
    <row r="303" spans="1:28" ht="15.75" x14ac:dyDescent="0.25">
      <c r="A303" s="55" t="s">
        <v>222</v>
      </c>
      <c r="B303" s="146"/>
      <c r="C303" s="99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45"/>
      <c r="AA303" s="63"/>
      <c r="AB303" s="63"/>
    </row>
    <row r="304" spans="1:28" ht="15.75" x14ac:dyDescent="0.25">
      <c r="A304" s="55" t="s">
        <v>142</v>
      </c>
      <c r="B304" s="145">
        <f>B305+B306</f>
        <v>0</v>
      </c>
      <c r="C304" s="99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45"/>
      <c r="AA304" s="63"/>
      <c r="AB304" s="63"/>
    </row>
    <row r="305" spans="1:28" ht="15.75" x14ac:dyDescent="0.25">
      <c r="A305" s="55" t="s">
        <v>22</v>
      </c>
      <c r="B305" s="146"/>
      <c r="C305" s="99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45"/>
      <c r="AA305" s="63"/>
      <c r="AB305" s="63"/>
    </row>
    <row r="306" spans="1:28" ht="15.75" x14ac:dyDescent="0.25">
      <c r="A306" s="55" t="s">
        <v>223</v>
      </c>
      <c r="B306" s="146"/>
      <c r="C306" s="99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45"/>
      <c r="AA306" s="63"/>
      <c r="AB306" s="63"/>
    </row>
    <row r="307" spans="1:28" ht="15.75" x14ac:dyDescent="0.25">
      <c r="A307" s="55" t="s">
        <v>143</v>
      </c>
      <c r="B307" s="145">
        <f>B308+B309</f>
        <v>0</v>
      </c>
      <c r="C307" s="99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45"/>
      <c r="AA307" s="63"/>
      <c r="AB307" s="63"/>
    </row>
    <row r="308" spans="1:28" ht="15.75" x14ac:dyDescent="0.25">
      <c r="A308" s="55" t="s">
        <v>144</v>
      </c>
      <c r="B308" s="146"/>
      <c r="C308" s="99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45"/>
      <c r="AA308" s="63"/>
      <c r="AB308" s="63"/>
    </row>
    <row r="309" spans="1:28" ht="15.75" x14ac:dyDescent="0.25">
      <c r="A309" s="55" t="s">
        <v>224</v>
      </c>
      <c r="B309" s="146"/>
      <c r="C309" s="99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45"/>
      <c r="AA309" s="63"/>
      <c r="AB309" s="63"/>
    </row>
    <row r="310" spans="1:28" ht="15.75" x14ac:dyDescent="0.25">
      <c r="A310" s="55" t="s">
        <v>145</v>
      </c>
      <c r="B310" s="148"/>
      <c r="C310" s="99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45"/>
      <c r="AA310" s="63"/>
      <c r="AB310" s="63"/>
    </row>
    <row r="311" spans="1:28" ht="15.75" x14ac:dyDescent="0.25">
      <c r="A311" s="60" t="s">
        <v>146</v>
      </c>
      <c r="B311" s="145"/>
      <c r="C311" s="99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45"/>
      <c r="AA311" s="63"/>
      <c r="AB311" s="63"/>
    </row>
    <row r="312" spans="1:28" ht="15.75" x14ac:dyDescent="0.25">
      <c r="A312" s="55" t="s">
        <v>147</v>
      </c>
      <c r="B312" s="146"/>
      <c r="C312" s="99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45"/>
      <c r="AA312" s="63"/>
      <c r="AB312" s="63"/>
    </row>
    <row r="313" spans="1:28" ht="25.5" x14ac:dyDescent="0.25">
      <c r="A313" s="61" t="s">
        <v>230</v>
      </c>
      <c r="B313" s="147"/>
      <c r="C313" s="99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45"/>
      <c r="AA313" s="63"/>
      <c r="AB313" s="63"/>
    </row>
    <row r="314" spans="1:28" ht="15.75" x14ac:dyDescent="0.25">
      <c r="A314" s="57" t="s">
        <v>148</v>
      </c>
      <c r="B314" s="149"/>
      <c r="C314" s="99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45"/>
      <c r="AA314" s="63"/>
      <c r="AB314" s="63"/>
    </row>
    <row r="315" spans="1:28" ht="26.25" x14ac:dyDescent="0.25">
      <c r="A315" s="76" t="s">
        <v>356</v>
      </c>
      <c r="B315" s="151"/>
      <c r="C315" s="99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45"/>
      <c r="AA315" s="63"/>
      <c r="AB315" s="63"/>
    </row>
    <row r="316" spans="1:28" ht="15.75" x14ac:dyDescent="0.25">
      <c r="A316" s="57" t="s">
        <v>149</v>
      </c>
      <c r="B316" s="148"/>
      <c r="C316" s="99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45"/>
      <c r="AA316" s="63"/>
      <c r="AB316" s="63"/>
    </row>
    <row r="317" spans="1:28" ht="15.75" x14ac:dyDescent="0.25">
      <c r="A317" s="55" t="s">
        <v>357</v>
      </c>
      <c r="B317" s="145">
        <f>B318+B319</f>
        <v>0</v>
      </c>
      <c r="C317" s="99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45"/>
      <c r="AA317" s="63"/>
      <c r="AB317" s="63"/>
    </row>
    <row r="318" spans="1:28" ht="15.75" x14ac:dyDescent="0.25">
      <c r="A318" s="55" t="s">
        <v>22</v>
      </c>
      <c r="B318" s="146"/>
      <c r="C318" s="99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45"/>
      <c r="AA318" s="63"/>
      <c r="AB318" s="63"/>
    </row>
    <row r="319" spans="1:28" ht="15.75" x14ac:dyDescent="0.25">
      <c r="A319" s="55" t="s">
        <v>223</v>
      </c>
      <c r="B319" s="146"/>
      <c r="C319" s="99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45"/>
      <c r="AA319" s="63"/>
      <c r="AB319" s="63"/>
    </row>
    <row r="320" spans="1:28" s="267" customFormat="1" ht="18.75" customHeight="1" x14ac:dyDescent="0.2">
      <c r="A320" s="268" t="s">
        <v>444</v>
      </c>
      <c r="B320" s="270"/>
      <c r="C320" s="263"/>
      <c r="D320" s="264"/>
      <c r="E320" s="264"/>
      <c r="F320" s="264"/>
      <c r="G320" s="264"/>
      <c r="H320" s="264"/>
      <c r="I320" s="264"/>
      <c r="J320" s="264"/>
      <c r="K320" s="264"/>
      <c r="L320" s="264"/>
      <c r="M320" s="264"/>
      <c r="N320" s="264"/>
      <c r="O320" s="264"/>
      <c r="P320" s="264"/>
      <c r="Q320" s="264"/>
      <c r="R320" s="264"/>
      <c r="S320" s="264"/>
      <c r="T320" s="264"/>
      <c r="U320" s="264"/>
      <c r="V320" s="264"/>
      <c r="W320" s="264"/>
      <c r="X320" s="264"/>
      <c r="Y320" s="264"/>
      <c r="Z320" s="265"/>
      <c r="AA320" s="266"/>
      <c r="AB320" s="266"/>
    </row>
    <row r="321" spans="1:28" s="267" customFormat="1" ht="18.75" customHeight="1" x14ac:dyDescent="0.2">
      <c r="A321" s="269" t="s">
        <v>446</v>
      </c>
      <c r="B321" s="152"/>
      <c r="C321" s="263"/>
      <c r="D321" s="264"/>
      <c r="E321" s="264"/>
      <c r="F321" s="264"/>
      <c r="G321" s="264"/>
      <c r="H321" s="264"/>
      <c r="I321" s="264"/>
      <c r="J321" s="264"/>
      <c r="K321" s="264"/>
      <c r="L321" s="264"/>
      <c r="M321" s="264"/>
      <c r="N321" s="264"/>
      <c r="O321" s="264"/>
      <c r="P321" s="264"/>
      <c r="Q321" s="264"/>
      <c r="R321" s="264"/>
      <c r="S321" s="264"/>
      <c r="T321" s="264"/>
      <c r="U321" s="264"/>
      <c r="V321" s="264"/>
      <c r="W321" s="264"/>
      <c r="X321" s="264"/>
      <c r="Y321" s="264"/>
      <c r="Z321" s="265"/>
      <c r="AA321" s="266"/>
      <c r="AB321" s="266"/>
    </row>
    <row r="322" spans="1:28" s="267" customFormat="1" ht="18.75" customHeight="1" x14ac:dyDescent="0.2">
      <c r="A322" s="269" t="s">
        <v>447</v>
      </c>
      <c r="B322" s="148">
        <v>2</v>
      </c>
      <c r="C322" s="263"/>
      <c r="D322" s="264"/>
      <c r="E322" s="264"/>
      <c r="F322" s="264"/>
      <c r="G322" s="264"/>
      <c r="H322" s="264"/>
      <c r="I322" s="264"/>
      <c r="J322" s="264"/>
      <c r="K322" s="264"/>
      <c r="L322" s="264"/>
      <c r="M322" s="264"/>
      <c r="N322" s="264"/>
      <c r="O322" s="264"/>
      <c r="P322" s="264"/>
      <c r="Q322" s="264"/>
      <c r="R322" s="264"/>
      <c r="S322" s="264"/>
      <c r="T322" s="264"/>
      <c r="U322" s="264"/>
      <c r="V322" s="264"/>
      <c r="W322" s="264"/>
      <c r="X322" s="264"/>
      <c r="Y322" s="264"/>
      <c r="Z322" s="265"/>
      <c r="AA322" s="266"/>
      <c r="AB322" s="266"/>
    </row>
    <row r="323" spans="1:28" ht="30" customHeight="1" x14ac:dyDescent="0.25">
      <c r="A323" s="268" t="s">
        <v>445</v>
      </c>
      <c r="B323" s="146"/>
      <c r="C323" s="99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45"/>
      <c r="AA323" s="63"/>
      <c r="AB323" s="63"/>
    </row>
    <row r="324" spans="1:28" ht="15.75" x14ac:dyDescent="0.25">
      <c r="A324" s="52"/>
      <c r="B324" s="50"/>
      <c r="C324" s="99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45"/>
      <c r="AA324" s="63"/>
      <c r="AB324" s="63"/>
    </row>
    <row r="325" spans="1:28" ht="15.75" x14ac:dyDescent="0.25">
      <c r="A325" s="53"/>
      <c r="B325" s="50"/>
      <c r="C325" s="99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45"/>
      <c r="AA325" s="63"/>
      <c r="AB325" s="63"/>
    </row>
    <row r="326" spans="1:28" ht="15.75" x14ac:dyDescent="0.25">
      <c r="A326" s="41"/>
      <c r="B326" s="42"/>
      <c r="C326" s="99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45"/>
      <c r="AA326" s="63"/>
      <c r="AB326" s="63"/>
    </row>
  </sheetData>
  <sheetProtection sheet="1" objects="1" scenarios="1" selectLockedCells="1"/>
  <mergeCells count="2">
    <mergeCell ref="E11:F11"/>
    <mergeCell ref="F15:P15"/>
  </mergeCells>
  <dataValidations count="8">
    <dataValidation allowBlank="1" showInputMessage="1" showErrorMessage="1" prompt="Limit your input in a maximum of 70 characters per bullet." sqref="F17:F74"/>
    <dataValidation allowBlank="1" showInputMessage="1" showErrorMessage="1" prompt="Limit your input in a maximum of 80 characters per bullet." sqref="F13:F14"/>
    <dataValidation type="whole" allowBlank="1" showInputMessage="1" showErrorMessage="1" sqref="G68:P119 R68:Y119 D75:F119 Q75:Q119 B71:C122">
      <formula1>0</formula1>
      <formula2>10000000000000000000</formula2>
    </dataValidation>
    <dataValidation type="whole" allowBlank="1" showInputMessage="1" showErrorMessage="1" sqref="D217:Y263 D120:Y173 B176 B218:C275 B123:C174 C320:C322">
      <formula1>0</formula1>
      <formula2>1000000000000000000</formula2>
    </dataValidation>
    <dataValidation type="whole" allowBlank="1" showInputMessage="1" showErrorMessage="1" sqref="D38:D55 G16:P67 B15:C70 D19:D36 Q19:Q36 R15:Z67 Q38:Q55 D57:D74 Q57:Q74 Z68:Z326">
      <formula1>0</formula1>
      <formula2>1E+22</formula2>
    </dataValidation>
    <dataValidation type="whole" allowBlank="1" showInputMessage="1" showErrorMessage="1" sqref="D264:Y299 C276:C277 B276 D320:Y322">
      <formula1>0</formula1>
      <formula2>100000000000000000</formula2>
    </dataValidation>
    <dataValidation type="whole" allowBlank="1" showInputMessage="1" showErrorMessage="1" sqref="B277:B319 C278:C317 D300:Y319 D323:Y326 B321:B323">
      <formula1>0</formula1>
      <formula2>1E+24</formula2>
    </dataValidation>
    <dataValidation type="whole" allowBlank="1" showInputMessage="1" showErrorMessage="1" sqref="B175 D174:Y216 B177:B217 C175:C217 C318:C319">
      <formula1>0</formula1>
      <formula2>100000000000000000000</formula2>
    </dataValidation>
  </dataValidations>
  <pageMargins left="0.7" right="0.7" top="0.75" bottom="0.75" header="0.3" footer="0.3"/>
  <pageSetup paperSize="768" orientation="portrait" horizontalDpi="0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326"/>
  <sheetViews>
    <sheetView workbookViewId="0">
      <pane ySplit="13" topLeftCell="A14" activePane="bottomLeft" state="frozen"/>
      <selection pane="bottomLeft" activeCell="B321" sqref="B321"/>
    </sheetView>
  </sheetViews>
  <sheetFormatPr defaultRowHeight="12.75" x14ac:dyDescent="0.2"/>
  <cols>
    <col min="1" max="1" width="39.140625" style="1" customWidth="1"/>
    <col min="2" max="2" width="36.42578125" style="31" customWidth="1"/>
    <col min="3" max="3" width="7.28515625" style="100" customWidth="1"/>
    <col min="4" max="4" width="3.28515625" style="65" customWidth="1"/>
    <col min="5" max="5" width="1.85546875" style="65" customWidth="1"/>
    <col min="6" max="6" width="8.42578125" style="65" customWidth="1"/>
    <col min="7" max="16" width="9.140625" style="65"/>
    <col min="17" max="17" width="2.7109375" style="65" customWidth="1"/>
    <col min="18" max="28" width="9.140625" style="65"/>
  </cols>
  <sheetData>
    <row r="1" spans="1:30" x14ac:dyDescent="0.2">
      <c r="A1" s="13"/>
      <c r="B1" s="29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63"/>
      <c r="AB1" s="63"/>
    </row>
    <row r="2" spans="1:30" x14ac:dyDescent="0.2">
      <c r="A2" s="13"/>
      <c r="B2" s="29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63"/>
      <c r="AB2" s="63"/>
    </row>
    <row r="3" spans="1:30" x14ac:dyDescent="0.2">
      <c r="A3" s="13"/>
      <c r="B3" s="29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63"/>
      <c r="AB3" s="63"/>
    </row>
    <row r="4" spans="1:30" x14ac:dyDescent="0.2">
      <c r="A4" s="13"/>
      <c r="B4" s="29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63"/>
      <c r="AB4" s="63"/>
    </row>
    <row r="5" spans="1:30" x14ac:dyDescent="0.2">
      <c r="A5" s="13"/>
      <c r="B5" s="29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63"/>
      <c r="AB5" s="63"/>
    </row>
    <row r="6" spans="1:30" x14ac:dyDescent="0.2">
      <c r="A6" s="13"/>
      <c r="B6" s="2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63"/>
      <c r="AB6" s="63"/>
    </row>
    <row r="7" spans="1:30" x14ac:dyDescent="0.2">
      <c r="A7" s="13"/>
      <c r="B7" s="29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63"/>
      <c r="AB7" s="63"/>
    </row>
    <row r="8" spans="1:30" x14ac:dyDescent="0.2">
      <c r="A8" s="13"/>
      <c r="B8" s="29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63"/>
      <c r="AB8" s="63"/>
    </row>
    <row r="9" spans="1:30" x14ac:dyDescent="0.2">
      <c r="A9" s="14"/>
      <c r="B9" s="29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63"/>
      <c r="AB9" s="63"/>
    </row>
    <row r="10" spans="1:30" x14ac:dyDescent="0.2">
      <c r="A10" s="15"/>
      <c r="B10" s="29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63"/>
      <c r="AB10" s="63"/>
    </row>
    <row r="11" spans="1:30" ht="15.75" x14ac:dyDescent="0.25">
      <c r="A11" s="5" t="s">
        <v>0</v>
      </c>
      <c r="B11" s="12" t="s">
        <v>179</v>
      </c>
      <c r="C11" s="17"/>
      <c r="D11" s="17"/>
      <c r="E11" s="325"/>
      <c r="F11" s="325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63"/>
      <c r="AB11" s="63"/>
      <c r="AC11" s="3"/>
      <c r="AD11" s="3"/>
    </row>
    <row r="12" spans="1:30" x14ac:dyDescent="0.2">
      <c r="A12" s="48" t="s">
        <v>1</v>
      </c>
      <c r="B12" s="11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25"/>
      <c r="AA12" s="63"/>
      <c r="AB12" s="63"/>
    </row>
    <row r="13" spans="1:30" x14ac:dyDescent="0.2">
      <c r="A13" s="73" t="s">
        <v>3</v>
      </c>
      <c r="B13" s="77"/>
      <c r="C13" s="19"/>
      <c r="D13" s="19"/>
      <c r="E13" s="70"/>
      <c r="F13" s="70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63"/>
      <c r="AB13" s="63"/>
    </row>
    <row r="14" spans="1:30" x14ac:dyDescent="0.2">
      <c r="A14" s="51" t="s">
        <v>4</v>
      </c>
      <c r="B14" s="49"/>
      <c r="C14" s="98"/>
      <c r="D14" s="19"/>
      <c r="E14" s="70"/>
      <c r="F14" s="70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63"/>
      <c r="AB14" s="63"/>
    </row>
    <row r="15" spans="1:30" ht="15.75" x14ac:dyDescent="0.25">
      <c r="A15" s="47" t="s">
        <v>23</v>
      </c>
      <c r="B15" s="145">
        <f>B16+B23+B30+B33+B40+B43</f>
        <v>0</v>
      </c>
      <c r="C15" s="99"/>
      <c r="D15" s="69"/>
      <c r="E15" s="69"/>
      <c r="F15" s="326" t="s">
        <v>227</v>
      </c>
      <c r="G15" s="326"/>
      <c r="H15" s="326"/>
      <c r="I15" s="326"/>
      <c r="J15" s="326"/>
      <c r="K15" s="326"/>
      <c r="L15" s="326"/>
      <c r="M15" s="326"/>
      <c r="N15" s="326"/>
      <c r="O15" s="326"/>
      <c r="P15" s="326"/>
      <c r="Q15" s="69"/>
      <c r="R15" s="16"/>
      <c r="S15" s="16"/>
      <c r="T15" s="16"/>
      <c r="U15" s="16"/>
      <c r="V15" s="16"/>
      <c r="W15" s="16"/>
      <c r="X15" s="16"/>
      <c r="Y15" s="16"/>
      <c r="Z15" s="45"/>
      <c r="AA15" s="63"/>
      <c r="AB15" s="63"/>
    </row>
    <row r="16" spans="1:30" ht="15.75" x14ac:dyDescent="0.25">
      <c r="A16" s="46" t="s">
        <v>24</v>
      </c>
      <c r="B16" s="145">
        <f>B17+B20</f>
        <v>0</v>
      </c>
      <c r="C16" s="99"/>
      <c r="D16" s="66"/>
      <c r="E16" s="18"/>
      <c r="F16" s="18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66"/>
      <c r="R16" s="16"/>
      <c r="S16" s="16"/>
      <c r="T16" s="16"/>
      <c r="U16" s="16"/>
      <c r="V16" s="16"/>
      <c r="W16" s="16"/>
      <c r="X16" s="16"/>
      <c r="Y16" s="16"/>
      <c r="Z16" s="45"/>
      <c r="AA16" s="63"/>
      <c r="AB16" s="63"/>
    </row>
    <row r="17" spans="1:28" ht="15.75" x14ac:dyDescent="0.25">
      <c r="A17" s="2" t="s">
        <v>25</v>
      </c>
      <c r="B17" s="145">
        <f>B18+B19</f>
        <v>0</v>
      </c>
      <c r="C17" s="99"/>
      <c r="D17" s="67"/>
      <c r="E17" s="70" t="s">
        <v>228</v>
      </c>
      <c r="F17" s="161" t="s">
        <v>358</v>
      </c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67"/>
      <c r="R17" s="16"/>
      <c r="S17" s="16"/>
      <c r="T17" s="16"/>
      <c r="U17" s="16"/>
      <c r="V17" s="16"/>
      <c r="W17" s="16"/>
      <c r="X17" s="16"/>
      <c r="Y17" s="16"/>
      <c r="Z17" s="45"/>
      <c r="AA17" s="63"/>
      <c r="AB17" s="63"/>
    </row>
    <row r="18" spans="1:28" ht="15.75" x14ac:dyDescent="0.25">
      <c r="A18" s="2" t="s">
        <v>26</v>
      </c>
      <c r="B18" s="146"/>
      <c r="C18" s="99"/>
      <c r="D18" s="67"/>
      <c r="E18" s="70" t="s">
        <v>228</v>
      </c>
      <c r="F18" s="72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67"/>
      <c r="R18" s="16"/>
      <c r="S18" s="16"/>
      <c r="T18" s="16"/>
      <c r="U18" s="16"/>
      <c r="V18" s="16"/>
      <c r="W18" s="16"/>
      <c r="X18" s="16"/>
      <c r="Y18" s="16"/>
      <c r="Z18" s="45"/>
      <c r="AA18" s="63"/>
      <c r="AB18" s="63"/>
    </row>
    <row r="19" spans="1:28" ht="15.75" x14ac:dyDescent="0.25">
      <c r="A19" s="2" t="s">
        <v>182</v>
      </c>
      <c r="B19" s="146"/>
      <c r="C19" s="99"/>
      <c r="D19" s="68"/>
      <c r="E19" s="71" t="s">
        <v>228</v>
      </c>
      <c r="F19" s="44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68"/>
      <c r="R19" s="16"/>
      <c r="S19" s="16"/>
      <c r="T19" s="16"/>
      <c r="U19" s="16"/>
      <c r="V19" s="16"/>
      <c r="W19" s="16"/>
      <c r="X19" s="16"/>
      <c r="Y19" s="16"/>
      <c r="Z19" s="45"/>
      <c r="AA19" s="63"/>
      <c r="AB19" s="63"/>
    </row>
    <row r="20" spans="1:28" ht="15.75" x14ac:dyDescent="0.25">
      <c r="A20" s="2" t="s">
        <v>6</v>
      </c>
      <c r="B20" s="145">
        <f>B21+B22</f>
        <v>0</v>
      </c>
      <c r="C20" s="99"/>
      <c r="D20" s="68"/>
      <c r="E20" s="71" t="s">
        <v>228</v>
      </c>
      <c r="F20" s="44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68"/>
      <c r="R20" s="16"/>
      <c r="S20" s="16"/>
      <c r="T20" s="16"/>
      <c r="U20" s="16"/>
      <c r="V20" s="16"/>
      <c r="W20" s="16"/>
      <c r="X20" s="16"/>
      <c r="Y20" s="16"/>
      <c r="Z20" s="45"/>
      <c r="AA20" s="63"/>
      <c r="AB20" s="63"/>
    </row>
    <row r="21" spans="1:28" ht="15.75" x14ac:dyDescent="0.25">
      <c r="A21" s="2" t="s">
        <v>27</v>
      </c>
      <c r="B21" s="146"/>
      <c r="C21" s="99"/>
      <c r="D21" s="68"/>
      <c r="E21" s="71" t="s">
        <v>228</v>
      </c>
      <c r="F21" s="44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68"/>
      <c r="R21" s="16"/>
      <c r="S21" s="16"/>
      <c r="T21" s="16"/>
      <c r="U21" s="16"/>
      <c r="V21" s="16"/>
      <c r="W21" s="16"/>
      <c r="X21" s="16"/>
      <c r="Y21" s="16"/>
      <c r="Z21" s="45"/>
      <c r="AA21" s="63"/>
      <c r="AB21" s="63"/>
    </row>
    <row r="22" spans="1:28" ht="15.75" x14ac:dyDescent="0.25">
      <c r="A22" s="2" t="s">
        <v>183</v>
      </c>
      <c r="B22" s="146"/>
      <c r="C22" s="99"/>
      <c r="D22" s="68"/>
      <c r="E22" s="16" t="s">
        <v>228</v>
      </c>
      <c r="F22" s="44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68"/>
      <c r="R22" s="16"/>
      <c r="S22" s="16"/>
      <c r="T22" s="16"/>
      <c r="U22" s="16"/>
      <c r="V22" s="16"/>
      <c r="W22" s="16"/>
      <c r="X22" s="16"/>
      <c r="Y22" s="16"/>
      <c r="Z22" s="45"/>
      <c r="AA22" s="63"/>
      <c r="AB22" s="63"/>
    </row>
    <row r="23" spans="1:28" ht="15.75" x14ac:dyDescent="0.25">
      <c r="A23" s="46" t="s">
        <v>28</v>
      </c>
      <c r="B23" s="145">
        <f>B24+B27</f>
        <v>0</v>
      </c>
      <c r="C23" s="99"/>
      <c r="D23" s="68"/>
      <c r="E23" s="16" t="s">
        <v>228</v>
      </c>
      <c r="F23" s="44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68"/>
      <c r="R23" s="16"/>
      <c r="S23" s="16"/>
      <c r="T23" s="16"/>
      <c r="U23" s="16"/>
      <c r="V23" s="16"/>
      <c r="W23" s="16"/>
      <c r="X23" s="16"/>
      <c r="Y23" s="16"/>
      <c r="Z23" s="45"/>
      <c r="AA23" s="63"/>
      <c r="AB23" s="63"/>
    </row>
    <row r="24" spans="1:28" ht="15.75" x14ac:dyDescent="0.25">
      <c r="A24" s="2" t="s">
        <v>29</v>
      </c>
      <c r="B24" s="145">
        <f>B25+B26</f>
        <v>0</v>
      </c>
      <c r="C24" s="99"/>
      <c r="D24" s="68"/>
      <c r="E24" s="16" t="s">
        <v>228</v>
      </c>
      <c r="F24" s="44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68"/>
      <c r="R24" s="16"/>
      <c r="S24" s="16"/>
      <c r="T24" s="16"/>
      <c r="U24" s="16"/>
      <c r="V24" s="16"/>
      <c r="W24" s="16"/>
      <c r="X24" s="16"/>
      <c r="Y24" s="16"/>
      <c r="Z24" s="45"/>
      <c r="AA24" s="63"/>
      <c r="AB24" s="63"/>
    </row>
    <row r="25" spans="1:28" ht="15.75" x14ac:dyDescent="0.25">
      <c r="A25" s="2" t="s">
        <v>30</v>
      </c>
      <c r="B25" s="146"/>
      <c r="C25" s="99"/>
      <c r="D25" s="68"/>
      <c r="E25" s="16" t="s">
        <v>228</v>
      </c>
      <c r="F25" s="44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68"/>
      <c r="R25" s="16"/>
      <c r="S25" s="16"/>
      <c r="T25" s="16"/>
      <c r="U25" s="16"/>
      <c r="V25" s="16"/>
      <c r="W25" s="16"/>
      <c r="X25" s="16"/>
      <c r="Y25" s="16"/>
      <c r="Z25" s="45"/>
      <c r="AA25" s="63"/>
      <c r="AB25" s="63"/>
    </row>
    <row r="26" spans="1:28" ht="15.75" x14ac:dyDescent="0.25">
      <c r="A26" s="2" t="s">
        <v>184</v>
      </c>
      <c r="B26" s="146"/>
      <c r="C26" s="99"/>
      <c r="D26" s="68"/>
      <c r="E26" s="16" t="s">
        <v>228</v>
      </c>
      <c r="F26" s="44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68"/>
      <c r="R26" s="16"/>
      <c r="S26" s="16"/>
      <c r="T26" s="16"/>
      <c r="U26" s="16"/>
      <c r="V26" s="16"/>
      <c r="W26" s="16"/>
      <c r="X26" s="16"/>
      <c r="Y26" s="16"/>
      <c r="Z26" s="45"/>
      <c r="AA26" s="63"/>
      <c r="AB26" s="63"/>
    </row>
    <row r="27" spans="1:28" ht="15.75" x14ac:dyDescent="0.25">
      <c r="A27" s="2" t="s">
        <v>31</v>
      </c>
      <c r="B27" s="145">
        <f>B28+B29</f>
        <v>0</v>
      </c>
      <c r="C27" s="99"/>
      <c r="D27" s="68"/>
      <c r="E27" s="16" t="s">
        <v>228</v>
      </c>
      <c r="F27" s="44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68"/>
      <c r="R27" s="16"/>
      <c r="S27" s="16"/>
      <c r="T27" s="16"/>
      <c r="U27" s="16"/>
      <c r="V27" s="16"/>
      <c r="W27" s="16"/>
      <c r="X27" s="16"/>
      <c r="Y27" s="16"/>
      <c r="Z27" s="45"/>
      <c r="AA27" s="63"/>
      <c r="AB27" s="63"/>
    </row>
    <row r="28" spans="1:28" ht="15.75" x14ac:dyDescent="0.25">
      <c r="A28" s="2" t="s">
        <v>32</v>
      </c>
      <c r="B28" s="146"/>
      <c r="C28" s="99"/>
      <c r="D28" s="68"/>
      <c r="E28" s="16" t="s">
        <v>228</v>
      </c>
      <c r="F28" s="44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68"/>
      <c r="R28" s="16"/>
      <c r="S28" s="16"/>
      <c r="T28" s="16"/>
      <c r="U28" s="16"/>
      <c r="V28" s="16"/>
      <c r="W28" s="16"/>
      <c r="X28" s="16"/>
      <c r="Y28" s="16"/>
      <c r="Z28" s="45"/>
      <c r="AA28" s="63"/>
      <c r="AB28" s="63"/>
    </row>
    <row r="29" spans="1:28" ht="15.75" x14ac:dyDescent="0.25">
      <c r="A29" s="2" t="s">
        <v>185</v>
      </c>
      <c r="B29" s="146"/>
      <c r="C29" s="99"/>
      <c r="D29" s="68"/>
      <c r="E29" s="16" t="s">
        <v>228</v>
      </c>
      <c r="F29" s="44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68"/>
      <c r="R29" s="16"/>
      <c r="S29" s="16"/>
      <c r="T29" s="16"/>
      <c r="U29" s="16"/>
      <c r="V29" s="16"/>
      <c r="W29" s="16"/>
      <c r="X29" s="16"/>
      <c r="Y29" s="16"/>
      <c r="Z29" s="45"/>
      <c r="AA29" s="63"/>
      <c r="AB29" s="63"/>
    </row>
    <row r="30" spans="1:28" ht="15.75" x14ac:dyDescent="0.25">
      <c r="A30" s="46" t="s">
        <v>33</v>
      </c>
      <c r="B30" s="145">
        <f>B31+B32</f>
        <v>0</v>
      </c>
      <c r="C30" s="99"/>
      <c r="D30" s="68"/>
      <c r="E30" s="16" t="s">
        <v>228</v>
      </c>
      <c r="F30" s="44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68"/>
      <c r="R30" s="16"/>
      <c r="S30" s="16"/>
      <c r="T30" s="16"/>
      <c r="U30" s="16"/>
      <c r="V30" s="16"/>
      <c r="W30" s="16"/>
      <c r="X30" s="16"/>
      <c r="Y30" s="16"/>
      <c r="Z30" s="45"/>
      <c r="AA30" s="63"/>
      <c r="AB30" s="63"/>
    </row>
    <row r="31" spans="1:28" ht="15.75" x14ac:dyDescent="0.25">
      <c r="A31" s="2" t="s">
        <v>34</v>
      </c>
      <c r="B31" s="146"/>
      <c r="C31" s="99"/>
      <c r="D31" s="68"/>
      <c r="E31" s="16" t="s">
        <v>228</v>
      </c>
      <c r="F31" s="44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68"/>
      <c r="R31" s="16"/>
      <c r="S31" s="16"/>
      <c r="T31" s="16"/>
      <c r="U31" s="16"/>
      <c r="V31" s="16"/>
      <c r="W31" s="16"/>
      <c r="X31" s="16"/>
      <c r="Y31" s="16"/>
      <c r="Z31" s="45"/>
      <c r="AA31" s="63"/>
      <c r="AB31" s="63"/>
    </row>
    <row r="32" spans="1:28" ht="15.75" x14ac:dyDescent="0.25">
      <c r="A32" s="2" t="s">
        <v>186</v>
      </c>
      <c r="B32" s="146"/>
      <c r="C32" s="99"/>
      <c r="D32" s="68"/>
      <c r="E32" s="16" t="s">
        <v>228</v>
      </c>
      <c r="F32" s="44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68"/>
      <c r="R32" s="16"/>
      <c r="S32" s="16"/>
      <c r="T32" s="16"/>
      <c r="U32" s="16"/>
      <c r="V32" s="16"/>
      <c r="W32" s="16"/>
      <c r="X32" s="16"/>
      <c r="Y32" s="16"/>
      <c r="Z32" s="45"/>
      <c r="AA32" s="63"/>
      <c r="AB32" s="63"/>
    </row>
    <row r="33" spans="1:28" ht="15.75" x14ac:dyDescent="0.25">
      <c r="A33" s="46" t="s">
        <v>35</v>
      </c>
      <c r="B33" s="145">
        <f>B34+B37</f>
        <v>0</v>
      </c>
      <c r="C33" s="99"/>
      <c r="D33" s="68"/>
      <c r="E33" s="16" t="s">
        <v>228</v>
      </c>
      <c r="F33" s="44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68"/>
      <c r="R33" s="16"/>
      <c r="S33" s="16"/>
      <c r="T33" s="16"/>
      <c r="U33" s="16"/>
      <c r="V33" s="16"/>
      <c r="W33" s="16"/>
      <c r="X33" s="16"/>
      <c r="Y33" s="16"/>
      <c r="Z33" s="45"/>
      <c r="AA33" s="63"/>
      <c r="AB33" s="63"/>
    </row>
    <row r="34" spans="1:28" ht="15.75" x14ac:dyDescent="0.25">
      <c r="A34" s="2" t="s">
        <v>36</v>
      </c>
      <c r="B34" s="145">
        <f>B35+B36</f>
        <v>0</v>
      </c>
      <c r="C34" s="99"/>
      <c r="D34" s="68"/>
      <c r="E34" s="16" t="s">
        <v>228</v>
      </c>
      <c r="F34" s="44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68"/>
      <c r="R34" s="16"/>
      <c r="S34" s="16"/>
      <c r="T34" s="16"/>
      <c r="U34" s="16"/>
      <c r="V34" s="16"/>
      <c r="W34" s="16"/>
      <c r="X34" s="16"/>
      <c r="Y34" s="16"/>
      <c r="Z34" s="45"/>
      <c r="AA34" s="63"/>
      <c r="AB34" s="63"/>
    </row>
    <row r="35" spans="1:28" ht="15.75" x14ac:dyDescent="0.25">
      <c r="A35" s="2" t="s">
        <v>37</v>
      </c>
      <c r="B35" s="146"/>
      <c r="C35" s="99"/>
      <c r="D35" s="68"/>
      <c r="E35" s="16" t="s">
        <v>228</v>
      </c>
      <c r="F35" s="44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68"/>
      <c r="R35" s="16"/>
      <c r="S35" s="16"/>
      <c r="T35" s="16"/>
      <c r="U35" s="16"/>
      <c r="V35" s="16"/>
      <c r="W35" s="16"/>
      <c r="X35" s="16"/>
      <c r="Y35" s="16"/>
      <c r="Z35" s="45"/>
      <c r="AA35" s="63"/>
      <c r="AB35" s="63"/>
    </row>
    <row r="36" spans="1:28" ht="15.75" x14ac:dyDescent="0.25">
      <c r="A36" s="2" t="s">
        <v>187</v>
      </c>
      <c r="B36" s="146"/>
      <c r="C36" s="99"/>
      <c r="D36" s="68"/>
      <c r="E36" s="16" t="s">
        <v>228</v>
      </c>
      <c r="F36" s="44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68"/>
      <c r="R36" s="16"/>
      <c r="S36" s="16"/>
      <c r="T36" s="16"/>
      <c r="U36" s="16"/>
      <c r="V36" s="16"/>
      <c r="W36" s="16"/>
      <c r="X36" s="16"/>
      <c r="Y36" s="16"/>
      <c r="Z36" s="45"/>
      <c r="AA36" s="63"/>
      <c r="AB36" s="63"/>
    </row>
    <row r="37" spans="1:28" ht="15.75" x14ac:dyDescent="0.25">
      <c r="A37" s="2" t="s">
        <v>38</v>
      </c>
      <c r="B37" s="145">
        <f>B38+B39</f>
        <v>0</v>
      </c>
      <c r="C37" s="99"/>
      <c r="D37" s="67"/>
      <c r="E37" s="70" t="s">
        <v>228</v>
      </c>
      <c r="F37" s="72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67"/>
      <c r="R37" s="16"/>
      <c r="S37" s="16"/>
      <c r="T37" s="16"/>
      <c r="U37" s="16"/>
      <c r="V37" s="16"/>
      <c r="W37" s="16"/>
      <c r="X37" s="16"/>
      <c r="Y37" s="16"/>
      <c r="Z37" s="45"/>
      <c r="AA37" s="63"/>
      <c r="AB37" s="63"/>
    </row>
    <row r="38" spans="1:28" ht="15.75" x14ac:dyDescent="0.25">
      <c r="A38" s="2" t="s">
        <v>39</v>
      </c>
      <c r="B38" s="146"/>
      <c r="C38" s="99"/>
      <c r="D38" s="68"/>
      <c r="E38" s="71" t="s">
        <v>228</v>
      </c>
      <c r="F38" s="44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68"/>
      <c r="R38" s="16"/>
      <c r="S38" s="16"/>
      <c r="T38" s="16"/>
      <c r="U38" s="16"/>
      <c r="V38" s="16"/>
      <c r="W38" s="16"/>
      <c r="X38" s="16"/>
      <c r="Y38" s="16"/>
      <c r="Z38" s="45"/>
      <c r="AA38" s="63"/>
      <c r="AB38" s="63"/>
    </row>
    <row r="39" spans="1:28" ht="15.75" x14ac:dyDescent="0.25">
      <c r="A39" s="2" t="s">
        <v>188</v>
      </c>
      <c r="B39" s="146"/>
      <c r="C39" s="99"/>
      <c r="D39" s="68"/>
      <c r="E39" s="71" t="s">
        <v>228</v>
      </c>
      <c r="F39" s="44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68"/>
      <c r="R39" s="16"/>
      <c r="S39" s="16"/>
      <c r="T39" s="16"/>
      <c r="U39" s="16"/>
      <c r="V39" s="16"/>
      <c r="W39" s="16"/>
      <c r="X39" s="16"/>
      <c r="Y39" s="16"/>
      <c r="Z39" s="45"/>
      <c r="AA39" s="63"/>
      <c r="AB39" s="63"/>
    </row>
    <row r="40" spans="1:28" ht="15.75" x14ac:dyDescent="0.25">
      <c r="A40" s="46" t="s">
        <v>279</v>
      </c>
      <c r="B40" s="145">
        <f>B41+B42</f>
        <v>0</v>
      </c>
      <c r="C40" s="99"/>
      <c r="D40" s="68"/>
      <c r="E40" s="71" t="s">
        <v>228</v>
      </c>
      <c r="F40" s="44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68"/>
      <c r="R40" s="16"/>
      <c r="S40" s="16"/>
      <c r="T40" s="16"/>
      <c r="U40" s="16"/>
      <c r="V40" s="16"/>
      <c r="W40" s="16"/>
      <c r="X40" s="16"/>
      <c r="Y40" s="16"/>
      <c r="Z40" s="45"/>
      <c r="AA40" s="63"/>
      <c r="AB40" s="63"/>
    </row>
    <row r="41" spans="1:28" ht="15.75" x14ac:dyDescent="0.25">
      <c r="A41" s="2" t="s">
        <v>317</v>
      </c>
      <c r="B41" s="146"/>
      <c r="C41" s="99"/>
      <c r="D41" s="68"/>
      <c r="E41" s="16" t="s">
        <v>228</v>
      </c>
      <c r="F41" s="44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68"/>
      <c r="R41" s="16"/>
      <c r="S41" s="16"/>
      <c r="T41" s="16"/>
      <c r="U41" s="16"/>
      <c r="V41" s="16"/>
      <c r="W41" s="16"/>
      <c r="X41" s="16"/>
      <c r="Y41" s="16"/>
      <c r="Z41" s="45"/>
      <c r="AA41" s="63"/>
      <c r="AB41" s="63"/>
    </row>
    <row r="42" spans="1:28" ht="15.75" x14ac:dyDescent="0.25">
      <c r="A42" s="2" t="s">
        <v>318</v>
      </c>
      <c r="B42" s="146"/>
      <c r="C42" s="99"/>
      <c r="D42" s="68"/>
      <c r="E42" s="16" t="s">
        <v>228</v>
      </c>
      <c r="F42" s="44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68"/>
      <c r="R42" s="16"/>
      <c r="S42" s="16"/>
      <c r="T42" s="16"/>
      <c r="U42" s="16"/>
      <c r="V42" s="16"/>
      <c r="W42" s="16"/>
      <c r="X42" s="16"/>
      <c r="Y42" s="16"/>
      <c r="Z42" s="45"/>
      <c r="AA42" s="63"/>
      <c r="AB42" s="63"/>
    </row>
    <row r="43" spans="1:28" ht="15.75" x14ac:dyDescent="0.25">
      <c r="A43" s="46" t="s">
        <v>314</v>
      </c>
      <c r="B43" s="145">
        <f>B44+B45</f>
        <v>0</v>
      </c>
      <c r="C43" s="99"/>
      <c r="D43" s="68"/>
      <c r="E43" s="16" t="s">
        <v>228</v>
      </c>
      <c r="F43" s="44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68"/>
      <c r="R43" s="16"/>
      <c r="S43" s="16"/>
      <c r="T43" s="16"/>
      <c r="U43" s="16"/>
      <c r="V43" s="16"/>
      <c r="W43" s="16"/>
      <c r="X43" s="16"/>
      <c r="Y43" s="16"/>
      <c r="Z43" s="45"/>
      <c r="AA43" s="63"/>
      <c r="AB43" s="63"/>
    </row>
    <row r="44" spans="1:28" ht="15.75" x14ac:dyDescent="0.25">
      <c r="A44" s="2" t="s">
        <v>315</v>
      </c>
      <c r="B44" s="146"/>
      <c r="C44" s="99"/>
      <c r="D44" s="68"/>
      <c r="E44" s="16" t="s">
        <v>228</v>
      </c>
      <c r="F44" s="44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68"/>
      <c r="R44" s="16"/>
      <c r="S44" s="16"/>
      <c r="T44" s="16"/>
      <c r="U44" s="16"/>
      <c r="V44" s="16"/>
      <c r="W44" s="16"/>
      <c r="X44" s="16"/>
      <c r="Y44" s="16"/>
      <c r="Z44" s="45"/>
      <c r="AA44" s="63"/>
      <c r="AB44" s="63"/>
    </row>
    <row r="45" spans="1:28" ht="15.75" x14ac:dyDescent="0.25">
      <c r="A45" s="2" t="s">
        <v>316</v>
      </c>
      <c r="B45" s="146"/>
      <c r="C45" s="99"/>
      <c r="D45" s="68"/>
      <c r="E45" s="16" t="s">
        <v>228</v>
      </c>
      <c r="F45" s="44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68"/>
      <c r="R45" s="16"/>
      <c r="S45" s="16"/>
      <c r="T45" s="16"/>
      <c r="U45" s="16"/>
      <c r="V45" s="16"/>
      <c r="W45" s="16"/>
      <c r="X45" s="16"/>
      <c r="Y45" s="16"/>
      <c r="Z45" s="45"/>
      <c r="AA45" s="63"/>
      <c r="AB45" s="63"/>
    </row>
    <row r="46" spans="1:28" ht="15.75" x14ac:dyDescent="0.25">
      <c r="A46" s="46" t="s">
        <v>280</v>
      </c>
      <c r="B46" s="146"/>
      <c r="C46" s="99"/>
      <c r="D46" s="68"/>
      <c r="E46" s="16" t="s">
        <v>228</v>
      </c>
      <c r="F46" s="44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68"/>
      <c r="R46" s="16"/>
      <c r="S46" s="16"/>
      <c r="T46" s="16"/>
      <c r="U46" s="16"/>
      <c r="V46" s="16"/>
      <c r="W46" s="16"/>
      <c r="X46" s="16"/>
      <c r="Y46" s="16"/>
      <c r="Z46" s="45"/>
      <c r="AA46" s="63"/>
      <c r="AB46" s="63"/>
    </row>
    <row r="47" spans="1:28" ht="15.75" x14ac:dyDescent="0.25">
      <c r="A47" s="47" t="s">
        <v>40</v>
      </c>
      <c r="B47" s="145">
        <f>B48+B55+B58+B61+B68+B71+B74+B77+B80</f>
        <v>0</v>
      </c>
      <c r="C47" s="99"/>
      <c r="D47" s="68"/>
      <c r="E47" s="16" t="s">
        <v>228</v>
      </c>
      <c r="F47" s="44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68"/>
      <c r="R47" s="16"/>
      <c r="S47" s="16"/>
      <c r="T47" s="16"/>
      <c r="U47" s="16"/>
      <c r="V47" s="16"/>
      <c r="W47" s="16"/>
      <c r="X47" s="16"/>
      <c r="Y47" s="16"/>
      <c r="Z47" s="45"/>
      <c r="AA47" s="63"/>
      <c r="AB47" s="63"/>
    </row>
    <row r="48" spans="1:28" ht="15.75" x14ac:dyDescent="0.25">
      <c r="A48" s="46" t="s">
        <v>5</v>
      </c>
      <c r="B48" s="145">
        <f>B49+B52</f>
        <v>0</v>
      </c>
      <c r="C48" s="99"/>
      <c r="D48" s="68"/>
      <c r="E48" s="16" t="s">
        <v>228</v>
      </c>
      <c r="F48" s="44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68"/>
      <c r="R48" s="16"/>
      <c r="S48" s="16"/>
      <c r="T48" s="16"/>
      <c r="U48" s="16"/>
      <c r="V48" s="16"/>
      <c r="W48" s="16"/>
      <c r="X48" s="16"/>
      <c r="Y48" s="16"/>
      <c r="Z48" s="45"/>
      <c r="AA48" s="63"/>
      <c r="AB48" s="63"/>
    </row>
    <row r="49" spans="1:28" ht="15.75" x14ac:dyDescent="0.25">
      <c r="A49" s="2" t="s">
        <v>274</v>
      </c>
      <c r="B49" s="145">
        <f>B50+B51</f>
        <v>0</v>
      </c>
      <c r="C49" s="99"/>
      <c r="D49" s="68"/>
      <c r="E49" s="16" t="s">
        <v>228</v>
      </c>
      <c r="F49" s="44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68"/>
      <c r="R49" s="16"/>
      <c r="S49" s="16"/>
      <c r="T49" s="16"/>
      <c r="U49" s="16"/>
      <c r="V49" s="16"/>
      <c r="W49" s="16"/>
      <c r="X49" s="16"/>
      <c r="Y49" s="16"/>
      <c r="Z49" s="45"/>
      <c r="AA49" s="63"/>
      <c r="AB49" s="63"/>
    </row>
    <row r="50" spans="1:28" ht="15.75" x14ac:dyDescent="0.25">
      <c r="A50" s="2" t="s">
        <v>277</v>
      </c>
      <c r="B50" s="146"/>
      <c r="C50" s="99"/>
      <c r="D50" s="68"/>
      <c r="E50" s="16" t="s">
        <v>228</v>
      </c>
      <c r="F50" s="44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68"/>
      <c r="R50" s="16"/>
      <c r="S50" s="16"/>
      <c r="T50" s="16"/>
      <c r="U50" s="16"/>
      <c r="V50" s="16"/>
      <c r="W50" s="16"/>
      <c r="X50" s="16"/>
      <c r="Y50" s="16"/>
      <c r="Z50" s="45"/>
      <c r="AA50" s="63"/>
      <c r="AB50" s="63"/>
    </row>
    <row r="51" spans="1:28" ht="15.75" x14ac:dyDescent="0.25">
      <c r="A51" s="2" t="s">
        <v>278</v>
      </c>
      <c r="B51" s="146"/>
      <c r="C51" s="99"/>
      <c r="D51" s="68"/>
      <c r="E51" s="16" t="s">
        <v>228</v>
      </c>
      <c r="F51" s="160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68"/>
      <c r="R51" s="16"/>
      <c r="S51" s="16"/>
      <c r="T51" s="16"/>
      <c r="U51" s="16"/>
      <c r="V51" s="16"/>
      <c r="W51" s="16"/>
      <c r="X51" s="16"/>
      <c r="Y51" s="16"/>
      <c r="Z51" s="45"/>
      <c r="AA51" s="63"/>
      <c r="AB51" s="63"/>
    </row>
    <row r="52" spans="1:28" ht="15.75" x14ac:dyDescent="0.25">
      <c r="A52" s="2" t="s">
        <v>6</v>
      </c>
      <c r="B52" s="145">
        <f>B53+B54</f>
        <v>0</v>
      </c>
      <c r="C52" s="99"/>
      <c r="D52" s="68"/>
      <c r="E52" s="16" t="s">
        <v>228</v>
      </c>
      <c r="F52" s="44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68"/>
      <c r="R52" s="16"/>
      <c r="S52" s="16"/>
      <c r="T52" s="16"/>
      <c r="U52" s="16"/>
      <c r="V52" s="16"/>
      <c r="W52" s="16"/>
      <c r="X52" s="16"/>
      <c r="Y52" s="16"/>
      <c r="Z52" s="45"/>
      <c r="AA52" s="63"/>
      <c r="AB52" s="63"/>
    </row>
    <row r="53" spans="1:28" ht="15.75" x14ac:dyDescent="0.25">
      <c r="A53" s="2" t="s">
        <v>275</v>
      </c>
      <c r="B53" s="146"/>
      <c r="C53" s="99"/>
      <c r="D53" s="68"/>
      <c r="E53" s="16" t="s">
        <v>228</v>
      </c>
      <c r="F53" s="44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68"/>
      <c r="R53" s="16"/>
      <c r="S53" s="16"/>
      <c r="T53" s="16"/>
      <c r="U53" s="16"/>
      <c r="V53" s="16"/>
      <c r="W53" s="16"/>
      <c r="X53" s="16"/>
      <c r="Y53" s="16"/>
      <c r="Z53" s="45"/>
      <c r="AA53" s="63"/>
      <c r="AB53" s="63"/>
    </row>
    <row r="54" spans="1:28" ht="15.75" x14ac:dyDescent="0.25">
      <c r="A54" s="2" t="s">
        <v>276</v>
      </c>
      <c r="B54" s="146"/>
      <c r="C54" s="99"/>
      <c r="D54" s="68"/>
      <c r="E54" s="16" t="s">
        <v>228</v>
      </c>
      <c r="F54" s="44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68"/>
      <c r="R54" s="16"/>
      <c r="S54" s="16"/>
      <c r="T54" s="16"/>
      <c r="U54" s="16"/>
      <c r="V54" s="16"/>
      <c r="W54" s="16"/>
      <c r="X54" s="16"/>
      <c r="Y54" s="16"/>
      <c r="Z54" s="45"/>
      <c r="AA54" s="63"/>
      <c r="AB54" s="63"/>
    </row>
    <row r="55" spans="1:28" ht="15.75" x14ac:dyDescent="0.25">
      <c r="A55" s="46" t="s">
        <v>41</v>
      </c>
      <c r="B55" s="145">
        <f>B56+B57</f>
        <v>0</v>
      </c>
      <c r="C55" s="99"/>
      <c r="D55" s="68"/>
      <c r="E55" s="16" t="s">
        <v>228</v>
      </c>
      <c r="F55" s="44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68"/>
      <c r="R55" s="16"/>
      <c r="S55" s="16"/>
      <c r="T55" s="16"/>
      <c r="U55" s="16"/>
      <c r="V55" s="16"/>
      <c r="W55" s="16"/>
      <c r="X55" s="16"/>
      <c r="Y55" s="16"/>
      <c r="Z55" s="45"/>
      <c r="AA55" s="63"/>
      <c r="AB55" s="63"/>
    </row>
    <row r="56" spans="1:28" ht="15.75" x14ac:dyDescent="0.25">
      <c r="A56" s="2" t="s">
        <v>42</v>
      </c>
      <c r="B56" s="146"/>
      <c r="C56" s="99"/>
      <c r="D56" s="67"/>
      <c r="E56" s="70" t="s">
        <v>228</v>
      </c>
      <c r="F56" s="72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67"/>
      <c r="R56" s="16"/>
      <c r="S56" s="16"/>
      <c r="T56" s="16"/>
      <c r="U56" s="16"/>
      <c r="V56" s="16"/>
      <c r="W56" s="16"/>
      <c r="X56" s="16"/>
      <c r="Y56" s="16"/>
      <c r="Z56" s="45"/>
      <c r="AA56" s="63"/>
      <c r="AB56" s="63"/>
    </row>
    <row r="57" spans="1:28" ht="15.75" x14ac:dyDescent="0.25">
      <c r="A57" s="2" t="s">
        <v>189</v>
      </c>
      <c r="B57" s="146"/>
      <c r="C57" s="99"/>
      <c r="D57" s="68"/>
      <c r="E57" s="71" t="s">
        <v>228</v>
      </c>
      <c r="F57" s="44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68"/>
      <c r="R57" s="16"/>
      <c r="S57" s="16"/>
      <c r="T57" s="16"/>
      <c r="U57" s="16"/>
      <c r="V57" s="16"/>
      <c r="W57" s="16"/>
      <c r="X57" s="16"/>
      <c r="Y57" s="16"/>
      <c r="Z57" s="45"/>
      <c r="AA57" s="63"/>
      <c r="AB57" s="63"/>
    </row>
    <row r="58" spans="1:28" ht="15.75" x14ac:dyDescent="0.25">
      <c r="A58" s="46" t="s">
        <v>43</v>
      </c>
      <c r="B58" s="145">
        <f>B59+B60</f>
        <v>0</v>
      </c>
      <c r="C58" s="99"/>
      <c r="D58" s="68"/>
      <c r="E58" s="71" t="s">
        <v>228</v>
      </c>
      <c r="F58" s="44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68"/>
      <c r="R58" s="16"/>
      <c r="S58" s="16"/>
      <c r="T58" s="16"/>
      <c r="U58" s="16"/>
      <c r="V58" s="16"/>
      <c r="W58" s="16"/>
      <c r="X58" s="16"/>
      <c r="Y58" s="16"/>
      <c r="Z58" s="45"/>
      <c r="AA58" s="63"/>
      <c r="AB58" s="63"/>
    </row>
    <row r="59" spans="1:28" ht="15.75" x14ac:dyDescent="0.25">
      <c r="A59" s="2" t="s">
        <v>44</v>
      </c>
      <c r="B59" s="146"/>
      <c r="C59" s="99"/>
      <c r="D59" s="68"/>
      <c r="E59" s="71" t="s">
        <v>228</v>
      </c>
      <c r="F59" s="44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68"/>
      <c r="R59" s="16"/>
      <c r="S59" s="16"/>
      <c r="T59" s="16"/>
      <c r="U59" s="16"/>
      <c r="V59" s="16"/>
      <c r="W59" s="16"/>
      <c r="X59" s="16"/>
      <c r="Y59" s="16"/>
      <c r="Z59" s="45"/>
      <c r="AA59" s="63"/>
      <c r="AB59" s="63"/>
    </row>
    <row r="60" spans="1:28" ht="15.75" x14ac:dyDescent="0.25">
      <c r="A60" s="2" t="s">
        <v>190</v>
      </c>
      <c r="B60" s="146"/>
      <c r="C60" s="99"/>
      <c r="D60" s="68"/>
      <c r="E60" s="16" t="s">
        <v>228</v>
      </c>
      <c r="F60" s="44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68"/>
      <c r="R60" s="16"/>
      <c r="S60" s="16"/>
      <c r="T60" s="16"/>
      <c r="U60" s="16"/>
      <c r="V60" s="16"/>
      <c r="W60" s="16"/>
      <c r="X60" s="16"/>
      <c r="Y60" s="16"/>
      <c r="Z60" s="45"/>
      <c r="AA60" s="63"/>
      <c r="AB60" s="63"/>
    </row>
    <row r="61" spans="1:28" ht="15.75" x14ac:dyDescent="0.25">
      <c r="A61" s="46" t="s">
        <v>7</v>
      </c>
      <c r="B61" s="145">
        <f>B62+B65</f>
        <v>0</v>
      </c>
      <c r="C61" s="99"/>
      <c r="D61" s="68"/>
      <c r="E61" s="16" t="s">
        <v>228</v>
      </c>
      <c r="F61" s="44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68"/>
      <c r="R61" s="16"/>
      <c r="S61" s="16"/>
      <c r="T61" s="16"/>
      <c r="U61" s="16"/>
      <c r="V61" s="16"/>
      <c r="W61" s="16"/>
      <c r="X61" s="16"/>
      <c r="Y61" s="16"/>
      <c r="Z61" s="45"/>
      <c r="AA61" s="63"/>
      <c r="AB61" s="63"/>
    </row>
    <row r="62" spans="1:28" ht="15.75" x14ac:dyDescent="0.25">
      <c r="A62" s="2" t="s">
        <v>45</v>
      </c>
      <c r="B62" s="145">
        <f>B63+B64</f>
        <v>0</v>
      </c>
      <c r="C62" s="99"/>
      <c r="D62" s="68"/>
      <c r="E62" s="16" t="s">
        <v>228</v>
      </c>
      <c r="F62" s="44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68"/>
      <c r="R62" s="16"/>
      <c r="S62" s="16"/>
      <c r="T62" s="16"/>
      <c r="U62" s="16"/>
      <c r="V62" s="16"/>
      <c r="W62" s="16"/>
      <c r="X62" s="16"/>
      <c r="Y62" s="16"/>
      <c r="Z62" s="45"/>
      <c r="AA62" s="63"/>
      <c r="AB62" s="63"/>
    </row>
    <row r="63" spans="1:28" ht="15.75" x14ac:dyDescent="0.25">
      <c r="A63" s="2" t="s">
        <v>46</v>
      </c>
      <c r="B63" s="146"/>
      <c r="C63" s="99"/>
      <c r="D63" s="68"/>
      <c r="E63" s="16" t="s">
        <v>228</v>
      </c>
      <c r="F63" s="44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68"/>
      <c r="R63" s="16"/>
      <c r="S63" s="16"/>
      <c r="T63" s="16"/>
      <c r="U63" s="16"/>
      <c r="V63" s="16"/>
      <c r="W63" s="16"/>
      <c r="X63" s="16"/>
      <c r="Y63" s="16"/>
      <c r="Z63" s="45"/>
      <c r="AA63" s="63"/>
      <c r="AB63" s="63"/>
    </row>
    <row r="64" spans="1:28" ht="15.75" x14ac:dyDescent="0.25">
      <c r="A64" s="2" t="s">
        <v>191</v>
      </c>
      <c r="B64" s="146"/>
      <c r="C64" s="99"/>
      <c r="D64" s="68"/>
      <c r="E64" s="16" t="s">
        <v>228</v>
      </c>
      <c r="F64" s="44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68"/>
      <c r="R64" s="16"/>
      <c r="S64" s="16"/>
      <c r="T64" s="16"/>
      <c r="U64" s="16"/>
      <c r="V64" s="16"/>
      <c r="W64" s="16"/>
      <c r="X64" s="16"/>
      <c r="Y64" s="16"/>
      <c r="Z64" s="45"/>
      <c r="AA64" s="63"/>
      <c r="AB64" s="63"/>
    </row>
    <row r="65" spans="1:28" ht="15.75" x14ac:dyDescent="0.25">
      <c r="A65" s="2" t="s">
        <v>47</v>
      </c>
      <c r="B65" s="145">
        <f>B66+B67</f>
        <v>0</v>
      </c>
      <c r="C65" s="99"/>
      <c r="D65" s="68"/>
      <c r="E65" s="16" t="s">
        <v>228</v>
      </c>
      <c r="F65" s="44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68"/>
      <c r="R65" s="16"/>
      <c r="S65" s="16"/>
      <c r="T65" s="16"/>
      <c r="U65" s="16"/>
      <c r="V65" s="16"/>
      <c r="W65" s="16"/>
      <c r="X65" s="16"/>
      <c r="Y65" s="16"/>
      <c r="Z65" s="45"/>
      <c r="AA65" s="63"/>
      <c r="AB65" s="63"/>
    </row>
    <row r="66" spans="1:28" ht="15.75" x14ac:dyDescent="0.25">
      <c r="A66" s="2" t="s">
        <v>48</v>
      </c>
      <c r="B66" s="146"/>
      <c r="C66" s="99"/>
      <c r="D66" s="68"/>
      <c r="E66" s="16" t="s">
        <v>228</v>
      </c>
      <c r="F66" s="44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68"/>
      <c r="R66" s="16"/>
      <c r="S66" s="16"/>
      <c r="T66" s="16"/>
      <c r="U66" s="16"/>
      <c r="V66" s="16"/>
      <c r="W66" s="16"/>
      <c r="X66" s="16"/>
      <c r="Y66" s="16"/>
      <c r="Z66" s="45"/>
      <c r="AA66" s="63"/>
      <c r="AB66" s="63"/>
    </row>
    <row r="67" spans="1:28" ht="15.75" x14ac:dyDescent="0.25">
      <c r="A67" s="2" t="s">
        <v>192</v>
      </c>
      <c r="B67" s="146"/>
      <c r="C67" s="99"/>
      <c r="D67" s="68"/>
      <c r="E67" s="16" t="s">
        <v>228</v>
      </c>
      <c r="F67" s="44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68"/>
      <c r="R67" s="16"/>
      <c r="S67" s="16"/>
      <c r="T67" s="16"/>
      <c r="U67" s="16"/>
      <c r="V67" s="16"/>
      <c r="W67" s="16"/>
      <c r="X67" s="16"/>
      <c r="Y67" s="16"/>
      <c r="Z67" s="45"/>
      <c r="AA67" s="63"/>
      <c r="AB67" s="63"/>
    </row>
    <row r="68" spans="1:28" ht="15.75" x14ac:dyDescent="0.25">
      <c r="A68" s="46" t="s">
        <v>49</v>
      </c>
      <c r="B68" s="145">
        <f>B69+B70</f>
        <v>0</v>
      </c>
      <c r="C68" s="99"/>
      <c r="D68" s="68"/>
      <c r="E68" s="16" t="s">
        <v>228</v>
      </c>
      <c r="F68" s="44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68"/>
      <c r="R68" s="16"/>
      <c r="S68" s="16"/>
      <c r="T68" s="16"/>
      <c r="U68" s="16"/>
      <c r="V68" s="16"/>
      <c r="W68" s="16"/>
      <c r="X68" s="16"/>
      <c r="Y68" s="16"/>
      <c r="Z68" s="45"/>
      <c r="AA68" s="63"/>
      <c r="AB68" s="63"/>
    </row>
    <row r="69" spans="1:28" ht="15.75" x14ac:dyDescent="0.25">
      <c r="A69" s="2" t="s">
        <v>50</v>
      </c>
      <c r="B69" s="146"/>
      <c r="C69" s="99"/>
      <c r="D69" s="68"/>
      <c r="E69" s="16" t="s">
        <v>228</v>
      </c>
      <c r="F69" s="44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68"/>
      <c r="R69" s="16"/>
      <c r="S69" s="16"/>
      <c r="T69" s="16"/>
      <c r="U69" s="16"/>
      <c r="V69" s="16"/>
      <c r="W69" s="16"/>
      <c r="X69" s="16"/>
      <c r="Y69" s="16"/>
      <c r="Z69" s="45"/>
      <c r="AA69" s="63"/>
      <c r="AB69" s="63"/>
    </row>
    <row r="70" spans="1:28" ht="15.75" x14ac:dyDescent="0.25">
      <c r="A70" s="2" t="s">
        <v>193</v>
      </c>
      <c r="B70" s="146"/>
      <c r="C70" s="99"/>
      <c r="D70" s="68"/>
      <c r="E70" s="16" t="s">
        <v>228</v>
      </c>
      <c r="F70" s="44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68"/>
      <c r="R70" s="16"/>
      <c r="S70" s="16"/>
      <c r="T70" s="16"/>
      <c r="U70" s="16"/>
      <c r="V70" s="16"/>
      <c r="W70" s="16"/>
      <c r="X70" s="16"/>
      <c r="Y70" s="16"/>
      <c r="Z70" s="45"/>
      <c r="AA70" s="63"/>
      <c r="AB70" s="63"/>
    </row>
    <row r="71" spans="1:28" ht="15.75" x14ac:dyDescent="0.25">
      <c r="A71" s="46" t="s">
        <v>51</v>
      </c>
      <c r="B71" s="145">
        <f>B72+B73</f>
        <v>0</v>
      </c>
      <c r="C71" s="99"/>
      <c r="D71" s="68"/>
      <c r="E71" s="16" t="s">
        <v>228</v>
      </c>
      <c r="F71" s="44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68"/>
      <c r="R71" s="16"/>
      <c r="S71" s="16"/>
      <c r="T71" s="16"/>
      <c r="U71" s="16"/>
      <c r="V71" s="16"/>
      <c r="W71" s="16"/>
      <c r="X71" s="16"/>
      <c r="Y71" s="16"/>
      <c r="Z71" s="45"/>
      <c r="AA71" s="63"/>
      <c r="AB71" s="63"/>
    </row>
    <row r="72" spans="1:28" ht="15.75" x14ac:dyDescent="0.25">
      <c r="A72" s="2" t="s">
        <v>52</v>
      </c>
      <c r="B72" s="146"/>
      <c r="C72" s="99"/>
      <c r="D72" s="68"/>
      <c r="E72" s="16" t="s">
        <v>228</v>
      </c>
      <c r="F72" s="44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68"/>
      <c r="R72" s="16"/>
      <c r="S72" s="16"/>
      <c r="T72" s="16"/>
      <c r="U72" s="16"/>
      <c r="V72" s="16"/>
      <c r="W72" s="16"/>
      <c r="X72" s="16"/>
      <c r="Y72" s="16"/>
      <c r="Z72" s="45"/>
      <c r="AA72" s="63"/>
      <c r="AB72" s="63"/>
    </row>
    <row r="73" spans="1:28" ht="15.75" x14ac:dyDescent="0.25">
      <c r="A73" s="2" t="s">
        <v>194</v>
      </c>
      <c r="B73" s="146"/>
      <c r="C73" s="99"/>
      <c r="D73" s="68"/>
      <c r="E73" s="16" t="s">
        <v>228</v>
      </c>
      <c r="F73" s="44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68"/>
      <c r="R73" s="16"/>
      <c r="S73" s="16"/>
      <c r="T73" s="16"/>
      <c r="U73" s="16"/>
      <c r="V73" s="16"/>
      <c r="W73" s="16"/>
      <c r="X73" s="16"/>
      <c r="Y73" s="16"/>
      <c r="Z73" s="45"/>
      <c r="AA73" s="63"/>
      <c r="AB73" s="63"/>
    </row>
    <row r="74" spans="1:28" ht="15.75" x14ac:dyDescent="0.25">
      <c r="A74" s="46" t="s">
        <v>53</v>
      </c>
      <c r="B74" s="145">
        <f>B75+B76</f>
        <v>0</v>
      </c>
      <c r="C74" s="99"/>
      <c r="D74" s="68"/>
      <c r="E74" s="16" t="s">
        <v>228</v>
      </c>
      <c r="F74" s="160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68"/>
      <c r="R74" s="16"/>
      <c r="S74" s="16"/>
      <c r="T74" s="16"/>
      <c r="U74" s="16"/>
      <c r="V74" s="16"/>
      <c r="W74" s="16"/>
      <c r="X74" s="16"/>
      <c r="Y74" s="16"/>
      <c r="Z74" s="45"/>
      <c r="AA74" s="63"/>
      <c r="AB74" s="63"/>
    </row>
    <row r="75" spans="1:28" ht="15.75" x14ac:dyDescent="0.25">
      <c r="A75" s="2" t="s">
        <v>54</v>
      </c>
      <c r="B75" s="146"/>
      <c r="C75" s="99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16"/>
      <c r="S75" s="16"/>
      <c r="T75" s="16"/>
      <c r="U75" s="16"/>
      <c r="V75" s="16"/>
      <c r="W75" s="16"/>
      <c r="X75" s="16"/>
      <c r="Y75" s="16"/>
      <c r="Z75" s="45"/>
      <c r="AA75" s="63"/>
      <c r="AB75" s="63"/>
    </row>
    <row r="76" spans="1:28" ht="15.75" x14ac:dyDescent="0.25">
      <c r="A76" s="2" t="s">
        <v>195</v>
      </c>
      <c r="B76" s="146"/>
      <c r="C76" s="99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45"/>
      <c r="AA76" s="63"/>
      <c r="AB76" s="63"/>
    </row>
    <row r="77" spans="1:28" ht="15.75" x14ac:dyDescent="0.25">
      <c r="A77" s="46" t="s">
        <v>319</v>
      </c>
      <c r="B77" s="145">
        <f>B78+B79</f>
        <v>0</v>
      </c>
      <c r="C77" s="99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45"/>
      <c r="AA77" s="63"/>
      <c r="AB77" s="63"/>
    </row>
    <row r="78" spans="1:28" ht="15.75" x14ac:dyDescent="0.25">
      <c r="A78" s="2" t="s">
        <v>72</v>
      </c>
      <c r="B78" s="146"/>
      <c r="C78" s="99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45"/>
      <c r="AA78" s="63"/>
      <c r="AB78" s="63"/>
    </row>
    <row r="79" spans="1:28" ht="15.75" x14ac:dyDescent="0.25">
      <c r="A79" s="55" t="s">
        <v>196</v>
      </c>
      <c r="B79" s="146"/>
      <c r="C79" s="99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45"/>
      <c r="AA79" s="63"/>
      <c r="AB79" s="63"/>
    </row>
    <row r="80" spans="1:28" ht="15.75" x14ac:dyDescent="0.25">
      <c r="A80" s="46" t="s">
        <v>271</v>
      </c>
      <c r="B80" s="145">
        <f>B81+B82</f>
        <v>0</v>
      </c>
      <c r="C80" s="99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45"/>
      <c r="AA80" s="63"/>
      <c r="AB80" s="63"/>
    </row>
    <row r="81" spans="1:28" ht="15.75" x14ac:dyDescent="0.25">
      <c r="A81" s="2" t="s">
        <v>272</v>
      </c>
      <c r="B81" s="146"/>
      <c r="C81" s="99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45"/>
      <c r="AA81" s="63"/>
      <c r="AB81" s="63"/>
    </row>
    <row r="82" spans="1:28" ht="15.75" x14ac:dyDescent="0.25">
      <c r="A82" s="55" t="s">
        <v>273</v>
      </c>
      <c r="B82" s="146">
        <v>0</v>
      </c>
      <c r="C82" s="99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45"/>
      <c r="AA82" s="63"/>
      <c r="AB82" s="63"/>
    </row>
    <row r="83" spans="1:28" ht="15.75" x14ac:dyDescent="0.25">
      <c r="A83" s="56" t="s">
        <v>55</v>
      </c>
      <c r="B83" s="145">
        <f>B84+B97+B100+B103+B110+B113+B116+B119</f>
        <v>0</v>
      </c>
      <c r="C83" s="99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45"/>
      <c r="AA83" s="63"/>
      <c r="AB83" s="63"/>
    </row>
    <row r="84" spans="1:28" ht="15.75" x14ac:dyDescent="0.25">
      <c r="A84" s="57" t="s">
        <v>56</v>
      </c>
      <c r="B84" s="145">
        <f>B85+B88+B91+B94</f>
        <v>0</v>
      </c>
      <c r="C84" s="99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45"/>
      <c r="AA84" s="63"/>
      <c r="AB84" s="63"/>
    </row>
    <row r="85" spans="1:28" ht="15.75" x14ac:dyDescent="0.25">
      <c r="A85" s="55" t="s">
        <v>57</v>
      </c>
      <c r="B85" s="145">
        <f>B86+B87</f>
        <v>0</v>
      </c>
      <c r="C85" s="99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45"/>
      <c r="AA85" s="63"/>
      <c r="AB85" s="63"/>
    </row>
    <row r="86" spans="1:28" ht="15.75" x14ac:dyDescent="0.25">
      <c r="A86" s="55" t="s">
        <v>58</v>
      </c>
      <c r="B86" s="146"/>
      <c r="C86" s="99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45"/>
      <c r="AA86" s="63"/>
      <c r="AB86" s="63"/>
    </row>
    <row r="87" spans="1:28" ht="15.75" x14ac:dyDescent="0.25">
      <c r="A87" s="55" t="s">
        <v>197</v>
      </c>
      <c r="B87" s="146"/>
      <c r="C87" s="99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45"/>
      <c r="AA87" s="63"/>
      <c r="AB87" s="63"/>
    </row>
    <row r="88" spans="1:28" ht="15.75" x14ac:dyDescent="0.25">
      <c r="A88" s="55" t="s">
        <v>237</v>
      </c>
      <c r="B88" s="145">
        <f>B89+B90</f>
        <v>0</v>
      </c>
      <c r="C88" s="99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45"/>
      <c r="AA88" s="63"/>
      <c r="AB88" s="63"/>
    </row>
    <row r="89" spans="1:28" ht="15.75" x14ac:dyDescent="0.25">
      <c r="A89" s="55" t="s">
        <v>59</v>
      </c>
      <c r="B89" s="146"/>
      <c r="C89" s="99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45"/>
      <c r="AA89" s="63"/>
      <c r="AB89" s="63"/>
    </row>
    <row r="90" spans="1:28" ht="15.75" x14ac:dyDescent="0.25">
      <c r="A90" s="55" t="s">
        <v>198</v>
      </c>
      <c r="B90" s="146"/>
      <c r="C90" s="99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45"/>
      <c r="AA90" s="63"/>
      <c r="AB90" s="63"/>
    </row>
    <row r="91" spans="1:28" ht="15.75" x14ac:dyDescent="0.25">
      <c r="A91" s="55" t="s">
        <v>60</v>
      </c>
      <c r="B91" s="145">
        <f>B92+B93</f>
        <v>0</v>
      </c>
      <c r="C91" s="99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45"/>
      <c r="AA91" s="63"/>
      <c r="AB91" s="63"/>
    </row>
    <row r="92" spans="1:28" ht="15.75" x14ac:dyDescent="0.25">
      <c r="A92" s="55" t="s">
        <v>61</v>
      </c>
      <c r="B92" s="146"/>
      <c r="C92" s="99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45"/>
      <c r="AA92" s="63"/>
      <c r="AB92" s="63"/>
    </row>
    <row r="93" spans="1:28" ht="15.75" x14ac:dyDescent="0.25">
      <c r="A93" s="55" t="s">
        <v>199</v>
      </c>
      <c r="B93" s="146"/>
      <c r="C93" s="99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45"/>
      <c r="AA93" s="63"/>
      <c r="AB93" s="63"/>
    </row>
    <row r="94" spans="1:28" ht="15.75" x14ac:dyDescent="0.25">
      <c r="A94" s="55" t="s">
        <v>62</v>
      </c>
      <c r="B94" s="145">
        <f>B95+B96</f>
        <v>0</v>
      </c>
      <c r="C94" s="99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45"/>
      <c r="AA94" s="63"/>
      <c r="AB94" s="63"/>
    </row>
    <row r="95" spans="1:28" ht="15.75" x14ac:dyDescent="0.25">
      <c r="A95" s="55" t="s">
        <v>63</v>
      </c>
      <c r="B95" s="146"/>
      <c r="C95" s="99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45"/>
      <c r="AA95" s="63"/>
      <c r="AB95" s="63"/>
    </row>
    <row r="96" spans="1:28" ht="15.75" x14ac:dyDescent="0.25">
      <c r="A96" s="55" t="s">
        <v>200</v>
      </c>
      <c r="B96" s="146"/>
      <c r="C96" s="99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45"/>
      <c r="AA96" s="63"/>
      <c r="AB96" s="63"/>
    </row>
    <row r="97" spans="1:28" ht="15.75" x14ac:dyDescent="0.25">
      <c r="A97" s="57" t="s">
        <v>64</v>
      </c>
      <c r="B97" s="145">
        <f>B98+B99</f>
        <v>0</v>
      </c>
      <c r="C97" s="99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45"/>
      <c r="AA97" s="63"/>
      <c r="AB97" s="63"/>
    </row>
    <row r="98" spans="1:28" ht="15.75" x14ac:dyDescent="0.25">
      <c r="A98" s="55" t="s">
        <v>65</v>
      </c>
      <c r="B98" s="146"/>
      <c r="C98" s="99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45"/>
      <c r="AA98" s="63"/>
      <c r="AB98" s="63"/>
    </row>
    <row r="99" spans="1:28" ht="15.75" x14ac:dyDescent="0.25">
      <c r="A99" s="55" t="s">
        <v>201</v>
      </c>
      <c r="B99" s="146"/>
      <c r="C99" s="99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45"/>
      <c r="AA99" s="63"/>
      <c r="AB99" s="63"/>
    </row>
    <row r="100" spans="1:28" ht="15.75" x14ac:dyDescent="0.25">
      <c r="A100" s="57" t="s">
        <v>66</v>
      </c>
      <c r="B100" s="145">
        <f>B101+B102</f>
        <v>0</v>
      </c>
      <c r="C100" s="99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45"/>
      <c r="AA100" s="63"/>
      <c r="AB100" s="63"/>
    </row>
    <row r="101" spans="1:28" ht="15.75" x14ac:dyDescent="0.25">
      <c r="A101" s="55" t="s">
        <v>67</v>
      </c>
      <c r="B101" s="146"/>
      <c r="C101" s="99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45"/>
      <c r="AA101" s="63"/>
      <c r="AB101" s="63"/>
    </row>
    <row r="102" spans="1:28" ht="15.75" x14ac:dyDescent="0.25">
      <c r="A102" s="55" t="s">
        <v>202</v>
      </c>
      <c r="B102" s="146"/>
      <c r="C102" s="99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45"/>
      <c r="AA102" s="63"/>
      <c r="AB102" s="63"/>
    </row>
    <row r="103" spans="1:28" ht="15.75" x14ac:dyDescent="0.25">
      <c r="A103" s="57" t="s">
        <v>68</v>
      </c>
      <c r="B103" s="145">
        <f>B104+B107</f>
        <v>0</v>
      </c>
      <c r="C103" s="99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45"/>
      <c r="AA103" s="63"/>
      <c r="AB103" s="63"/>
    </row>
    <row r="104" spans="1:28" ht="15.75" x14ac:dyDescent="0.25">
      <c r="A104" s="55" t="s">
        <v>238</v>
      </c>
      <c r="B104" s="145">
        <f>B105+B106</f>
        <v>0</v>
      </c>
      <c r="C104" s="99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45"/>
      <c r="AA104" s="63"/>
      <c r="AB104" s="63"/>
    </row>
    <row r="105" spans="1:28" ht="15.75" x14ac:dyDescent="0.25">
      <c r="A105" s="2" t="s">
        <v>239</v>
      </c>
      <c r="B105" s="146"/>
      <c r="C105" s="99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45"/>
      <c r="AA105" s="63"/>
      <c r="AB105" s="63"/>
    </row>
    <row r="106" spans="1:28" ht="15.75" x14ac:dyDescent="0.25">
      <c r="A106" s="2" t="s">
        <v>240</v>
      </c>
      <c r="B106" s="146"/>
      <c r="C106" s="99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45"/>
      <c r="AA106" s="63"/>
      <c r="AB106" s="63"/>
    </row>
    <row r="107" spans="1:28" ht="15.75" x14ac:dyDescent="0.25">
      <c r="A107" s="2" t="s">
        <v>241</v>
      </c>
      <c r="B107" s="145">
        <f>B108+B109</f>
        <v>0</v>
      </c>
      <c r="C107" s="99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45"/>
      <c r="AA107" s="63"/>
      <c r="AB107" s="63"/>
    </row>
    <row r="108" spans="1:28" ht="15.75" x14ac:dyDescent="0.25">
      <c r="A108" s="2" t="s">
        <v>242</v>
      </c>
      <c r="B108" s="146"/>
      <c r="C108" s="99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45"/>
      <c r="AA108" s="63"/>
      <c r="AB108" s="63"/>
    </row>
    <row r="109" spans="1:28" ht="15.75" x14ac:dyDescent="0.25">
      <c r="A109" s="55" t="s">
        <v>243</v>
      </c>
      <c r="B109" s="146"/>
      <c r="C109" s="99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45"/>
      <c r="AA109" s="63"/>
      <c r="AB109" s="63"/>
    </row>
    <row r="110" spans="1:28" ht="15.75" x14ac:dyDescent="0.25">
      <c r="A110" s="57" t="s">
        <v>69</v>
      </c>
      <c r="B110" s="145">
        <f>B111+B112</f>
        <v>0</v>
      </c>
      <c r="C110" s="99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45"/>
      <c r="AA110" s="63"/>
      <c r="AB110" s="63"/>
    </row>
    <row r="111" spans="1:28" ht="15.75" x14ac:dyDescent="0.25">
      <c r="A111" s="55" t="s">
        <v>244</v>
      </c>
      <c r="B111" s="146"/>
      <c r="C111" s="99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45"/>
      <c r="AA111" s="63"/>
      <c r="AB111" s="63"/>
    </row>
    <row r="112" spans="1:28" ht="15.75" x14ac:dyDescent="0.25">
      <c r="A112" s="55" t="s">
        <v>245</v>
      </c>
      <c r="B112" s="146"/>
      <c r="C112" s="99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45"/>
      <c r="AA112" s="63"/>
      <c r="AB112" s="63"/>
    </row>
    <row r="113" spans="1:28" ht="15.75" x14ac:dyDescent="0.25">
      <c r="A113" s="57" t="s">
        <v>70</v>
      </c>
      <c r="B113" s="145">
        <f>B114+B115</f>
        <v>0</v>
      </c>
      <c r="C113" s="99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45"/>
      <c r="AA113" s="63"/>
      <c r="AB113" s="63"/>
    </row>
    <row r="114" spans="1:28" ht="15.75" x14ac:dyDescent="0.25">
      <c r="A114" s="55" t="s">
        <v>246</v>
      </c>
      <c r="B114" s="146"/>
      <c r="C114" s="99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45"/>
      <c r="AA114" s="63"/>
      <c r="AB114" s="63"/>
    </row>
    <row r="115" spans="1:28" ht="15.75" x14ac:dyDescent="0.25">
      <c r="A115" s="55" t="s">
        <v>247</v>
      </c>
      <c r="B115" s="146"/>
      <c r="C115" s="99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45"/>
      <c r="AA115" s="63"/>
      <c r="AB115" s="63"/>
    </row>
    <row r="116" spans="1:28" ht="15.75" x14ac:dyDescent="0.25">
      <c r="A116" s="57" t="s">
        <v>71</v>
      </c>
      <c r="B116" s="145">
        <f>B117+B118</f>
        <v>0</v>
      </c>
      <c r="C116" s="99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45"/>
      <c r="AA116" s="63"/>
      <c r="AB116" s="63"/>
    </row>
    <row r="117" spans="1:28" ht="15.75" x14ac:dyDescent="0.25">
      <c r="A117" s="55" t="s">
        <v>248</v>
      </c>
      <c r="B117" s="146"/>
      <c r="C117" s="99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45"/>
      <c r="AA117" s="63"/>
      <c r="AB117" s="63"/>
    </row>
    <row r="118" spans="1:28" ht="15.75" x14ac:dyDescent="0.25">
      <c r="A118" s="55" t="s">
        <v>249</v>
      </c>
      <c r="B118" s="146"/>
      <c r="C118" s="99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45"/>
      <c r="AA118" s="63"/>
      <c r="AB118" s="63"/>
    </row>
    <row r="119" spans="1:28" ht="15.75" x14ac:dyDescent="0.25">
      <c r="A119" s="57" t="s">
        <v>320</v>
      </c>
      <c r="B119" s="145">
        <f>B120+B121</f>
        <v>0</v>
      </c>
      <c r="C119" s="99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45"/>
      <c r="AA119" s="63"/>
      <c r="AB119" s="63"/>
    </row>
    <row r="120" spans="1:28" ht="15.75" x14ac:dyDescent="0.25">
      <c r="A120" s="55" t="s">
        <v>250</v>
      </c>
      <c r="B120" s="146"/>
      <c r="C120" s="99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45"/>
      <c r="AA120" s="63"/>
      <c r="AB120" s="63"/>
    </row>
    <row r="121" spans="1:28" ht="15.75" x14ac:dyDescent="0.25">
      <c r="A121" s="55" t="s">
        <v>251</v>
      </c>
      <c r="B121" s="146"/>
      <c r="C121" s="99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45"/>
      <c r="AA121" s="63"/>
      <c r="AB121" s="63"/>
    </row>
    <row r="122" spans="1:28" ht="15.75" x14ac:dyDescent="0.25">
      <c r="A122" s="57" t="s">
        <v>270</v>
      </c>
      <c r="B122" s="146">
        <v>0</v>
      </c>
      <c r="C122" s="99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45"/>
      <c r="AA122" s="63"/>
      <c r="AB122" s="63"/>
    </row>
    <row r="123" spans="1:28" ht="15.75" x14ac:dyDescent="0.25">
      <c r="A123" s="56" t="s">
        <v>73</v>
      </c>
      <c r="B123" s="145">
        <f>B124+B146+B153+B156+B160+B163+B166+B169+B172</f>
        <v>0</v>
      </c>
      <c r="C123" s="99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45"/>
      <c r="AA123" s="63"/>
      <c r="AB123" s="63"/>
    </row>
    <row r="124" spans="1:28" ht="15.75" x14ac:dyDescent="0.25">
      <c r="A124" s="57" t="s">
        <v>8</v>
      </c>
      <c r="B124" s="145">
        <f>B125+B132+B135+B139</f>
        <v>0</v>
      </c>
      <c r="C124" s="99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45"/>
      <c r="AA124" s="63"/>
      <c r="AB124" s="63"/>
    </row>
    <row r="125" spans="1:28" ht="15.75" x14ac:dyDescent="0.25">
      <c r="A125" s="55" t="s">
        <v>9</v>
      </c>
      <c r="B125" s="145">
        <f>B126+B129</f>
        <v>0</v>
      </c>
      <c r="C125" s="99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45"/>
      <c r="AA125" s="63"/>
      <c r="AB125" s="63"/>
    </row>
    <row r="126" spans="1:28" ht="15.75" x14ac:dyDescent="0.25">
      <c r="A126" s="55" t="s">
        <v>264</v>
      </c>
      <c r="B126" s="145">
        <f>B127+B128</f>
        <v>0</v>
      </c>
      <c r="C126" s="99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45"/>
      <c r="AA126" s="63"/>
      <c r="AB126" s="63"/>
    </row>
    <row r="127" spans="1:28" ht="15.75" x14ac:dyDescent="0.25">
      <c r="A127" s="55" t="s">
        <v>265</v>
      </c>
      <c r="B127" s="146"/>
      <c r="C127" s="99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45"/>
      <c r="AA127" s="63"/>
      <c r="AB127" s="63"/>
    </row>
    <row r="128" spans="1:28" ht="15.75" x14ac:dyDescent="0.25">
      <c r="A128" s="55" t="s">
        <v>266</v>
      </c>
      <c r="B128" s="146"/>
      <c r="C128" s="99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45"/>
      <c r="AA128" s="63"/>
      <c r="AB128" s="63"/>
    </row>
    <row r="129" spans="1:28" ht="15.75" x14ac:dyDescent="0.25">
      <c r="A129" s="55" t="s">
        <v>267</v>
      </c>
      <c r="B129" s="145">
        <f>B130+B131</f>
        <v>0</v>
      </c>
      <c r="C129" s="99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45"/>
      <c r="AA129" s="63"/>
      <c r="AB129" s="63"/>
    </row>
    <row r="130" spans="1:28" ht="15.75" x14ac:dyDescent="0.25">
      <c r="A130" s="55" t="s">
        <v>268</v>
      </c>
      <c r="B130" s="146"/>
      <c r="C130" s="99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45"/>
      <c r="AA130" s="63"/>
      <c r="AB130" s="63"/>
    </row>
    <row r="131" spans="1:28" ht="15.75" x14ac:dyDescent="0.25">
      <c r="A131" s="55" t="s">
        <v>269</v>
      </c>
      <c r="B131" s="146"/>
      <c r="C131" s="99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45"/>
      <c r="AA131" s="63"/>
      <c r="AB131" s="63"/>
    </row>
    <row r="132" spans="1:28" ht="15.75" x14ac:dyDescent="0.25">
      <c r="A132" s="55" t="s">
        <v>10</v>
      </c>
      <c r="B132" s="145">
        <f>B133+B134</f>
        <v>0</v>
      </c>
      <c r="C132" s="99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45"/>
      <c r="AA132" s="63"/>
      <c r="AB132" s="63"/>
    </row>
    <row r="133" spans="1:28" ht="15.75" x14ac:dyDescent="0.25">
      <c r="A133" s="55" t="s">
        <v>74</v>
      </c>
      <c r="B133" s="146"/>
      <c r="C133" s="99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45"/>
      <c r="AA133" s="63"/>
      <c r="AB133" s="63"/>
    </row>
    <row r="134" spans="1:28" ht="15.75" x14ac:dyDescent="0.25">
      <c r="A134" s="55" t="s">
        <v>203</v>
      </c>
      <c r="B134" s="146"/>
      <c r="C134" s="99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45"/>
      <c r="AA134" s="63"/>
      <c r="AB134" s="63"/>
    </row>
    <row r="135" spans="1:28" ht="15.75" x14ac:dyDescent="0.25">
      <c r="A135" s="55" t="s">
        <v>11</v>
      </c>
      <c r="B135" s="145">
        <f>B136+B137</f>
        <v>0</v>
      </c>
      <c r="C135" s="99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45"/>
      <c r="AA135" s="63"/>
      <c r="AB135" s="63"/>
    </row>
    <row r="136" spans="1:28" ht="15.75" x14ac:dyDescent="0.25">
      <c r="A136" s="55" t="s">
        <v>75</v>
      </c>
      <c r="B136" s="146"/>
      <c r="C136" s="99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45"/>
      <c r="AA136" s="63"/>
      <c r="AB136" s="63"/>
    </row>
    <row r="137" spans="1:28" ht="15.75" x14ac:dyDescent="0.25">
      <c r="A137" s="55" t="s">
        <v>204</v>
      </c>
      <c r="B137" s="146"/>
      <c r="C137" s="99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45"/>
      <c r="AA137" s="63"/>
      <c r="AB137" s="63"/>
    </row>
    <row r="138" spans="1:28" ht="15.75" x14ac:dyDescent="0.25">
      <c r="A138" s="55" t="s">
        <v>321</v>
      </c>
      <c r="B138" s="148"/>
      <c r="C138" s="99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45"/>
      <c r="AA138" s="63"/>
      <c r="AB138" s="63"/>
    </row>
    <row r="139" spans="1:28" ht="15.75" x14ac:dyDescent="0.25">
      <c r="A139" s="55" t="s">
        <v>322</v>
      </c>
      <c r="B139" s="145">
        <f>B140+B143</f>
        <v>0</v>
      </c>
      <c r="C139" s="99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45"/>
      <c r="AA139" s="63"/>
      <c r="AB139" s="63"/>
    </row>
    <row r="140" spans="1:28" ht="15.75" x14ac:dyDescent="0.25">
      <c r="A140" s="55" t="s">
        <v>150</v>
      </c>
      <c r="B140" s="145">
        <f>B141+B142</f>
        <v>0</v>
      </c>
      <c r="C140" s="99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45"/>
      <c r="AA140" s="63"/>
      <c r="AB140" s="63"/>
    </row>
    <row r="141" spans="1:28" ht="15.75" x14ac:dyDescent="0.25">
      <c r="A141" s="55" t="s">
        <v>151</v>
      </c>
      <c r="B141" s="146"/>
      <c r="C141" s="99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45"/>
      <c r="AA141" s="63"/>
      <c r="AB141" s="63"/>
    </row>
    <row r="142" spans="1:28" ht="15.75" x14ac:dyDescent="0.25">
      <c r="A142" s="55" t="s">
        <v>252</v>
      </c>
      <c r="B142" s="146"/>
      <c r="C142" s="99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45"/>
      <c r="AA142" s="63"/>
      <c r="AB142" s="63"/>
    </row>
    <row r="143" spans="1:28" ht="15.75" x14ac:dyDescent="0.25">
      <c r="A143" s="55" t="s">
        <v>152</v>
      </c>
      <c r="B143" s="145">
        <f>B144+B145</f>
        <v>0</v>
      </c>
      <c r="C143" s="99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45"/>
      <c r="AA143" s="63"/>
      <c r="AB143" s="63"/>
    </row>
    <row r="144" spans="1:28" ht="15.75" x14ac:dyDescent="0.25">
      <c r="A144" s="55" t="s">
        <v>153</v>
      </c>
      <c r="B144" s="146"/>
      <c r="C144" s="99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45"/>
      <c r="AA144" s="63"/>
      <c r="AB144" s="63"/>
    </row>
    <row r="145" spans="1:28" ht="15.75" x14ac:dyDescent="0.25">
      <c r="A145" s="55" t="s">
        <v>205</v>
      </c>
      <c r="B145" s="146"/>
      <c r="C145" s="99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45"/>
      <c r="AA145" s="63"/>
      <c r="AB145" s="63"/>
    </row>
    <row r="146" spans="1:28" ht="15.75" x14ac:dyDescent="0.25">
      <c r="A146" s="57" t="s">
        <v>76</v>
      </c>
      <c r="B146" s="145">
        <f>B147+B150</f>
        <v>0</v>
      </c>
      <c r="C146" s="99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45"/>
      <c r="AA146" s="63"/>
      <c r="AB146" s="63"/>
    </row>
    <row r="147" spans="1:28" ht="15.75" x14ac:dyDescent="0.25">
      <c r="A147" s="2" t="s">
        <v>77</v>
      </c>
      <c r="B147" s="145">
        <f>B148+B149</f>
        <v>0</v>
      </c>
      <c r="C147" s="99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45"/>
      <c r="AA147" s="63"/>
      <c r="AB147" s="63"/>
    </row>
    <row r="148" spans="1:28" ht="15.75" x14ac:dyDescent="0.25">
      <c r="A148" s="2" t="s">
        <v>78</v>
      </c>
      <c r="B148" s="146"/>
      <c r="C148" s="99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45"/>
      <c r="AA148" s="63"/>
      <c r="AB148" s="63"/>
    </row>
    <row r="149" spans="1:28" ht="15.75" x14ac:dyDescent="0.25">
      <c r="A149" s="2" t="s">
        <v>206</v>
      </c>
      <c r="B149" s="146"/>
      <c r="C149" s="99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45"/>
      <c r="AA149" s="63"/>
      <c r="AB149" s="63"/>
    </row>
    <row r="150" spans="1:28" ht="15.75" x14ac:dyDescent="0.25">
      <c r="A150" s="2" t="s">
        <v>79</v>
      </c>
      <c r="B150" s="145">
        <f>B151+B152</f>
        <v>0</v>
      </c>
      <c r="C150" s="99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45"/>
      <c r="AA150" s="63"/>
      <c r="AB150" s="63"/>
    </row>
    <row r="151" spans="1:28" ht="15.75" x14ac:dyDescent="0.25">
      <c r="A151" s="2" t="s">
        <v>80</v>
      </c>
      <c r="B151" s="146"/>
      <c r="C151" s="99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45"/>
      <c r="AA151" s="63"/>
      <c r="AB151" s="63"/>
    </row>
    <row r="152" spans="1:28" ht="15.75" x14ac:dyDescent="0.25">
      <c r="A152" s="55" t="s">
        <v>207</v>
      </c>
      <c r="B152" s="146"/>
      <c r="C152" s="99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45"/>
      <c r="AA152" s="63"/>
      <c r="AB152" s="63"/>
    </row>
    <row r="153" spans="1:28" ht="15.75" x14ac:dyDescent="0.25">
      <c r="A153" s="57" t="s">
        <v>81</v>
      </c>
      <c r="B153" s="145">
        <f>B154+B155</f>
        <v>0</v>
      </c>
      <c r="C153" s="99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45"/>
      <c r="AA153" s="63"/>
      <c r="AB153" s="63"/>
    </row>
    <row r="154" spans="1:28" ht="15.75" x14ac:dyDescent="0.25">
      <c r="A154" s="55" t="s">
        <v>82</v>
      </c>
      <c r="B154" s="146"/>
      <c r="C154" s="99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45"/>
      <c r="AA154" s="63"/>
      <c r="AB154" s="63"/>
    </row>
    <row r="155" spans="1:28" ht="15.75" x14ac:dyDescent="0.25">
      <c r="A155" s="55" t="s">
        <v>208</v>
      </c>
      <c r="B155" s="146"/>
      <c r="C155" s="99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45"/>
      <c r="AA155" s="63"/>
      <c r="AB155" s="63"/>
    </row>
    <row r="156" spans="1:28" ht="15.75" x14ac:dyDescent="0.25">
      <c r="A156" s="57" t="s">
        <v>12</v>
      </c>
      <c r="B156" s="145">
        <f>B157</f>
        <v>0</v>
      </c>
      <c r="C156" s="99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45"/>
      <c r="AA156" s="63"/>
      <c r="AB156" s="63"/>
    </row>
    <row r="157" spans="1:28" ht="15.75" x14ac:dyDescent="0.25">
      <c r="A157" s="55" t="s">
        <v>83</v>
      </c>
      <c r="B157" s="145">
        <f>B158+B159</f>
        <v>0</v>
      </c>
      <c r="C157" s="99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45"/>
      <c r="AA157" s="63"/>
      <c r="AB157" s="63"/>
    </row>
    <row r="158" spans="1:28" ht="15.75" x14ac:dyDescent="0.25">
      <c r="A158" s="2" t="s">
        <v>84</v>
      </c>
      <c r="B158" s="146"/>
      <c r="C158" s="99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45"/>
      <c r="AA158" s="63"/>
      <c r="AB158" s="63"/>
    </row>
    <row r="159" spans="1:28" ht="15.75" x14ac:dyDescent="0.25">
      <c r="A159" s="2" t="s">
        <v>209</v>
      </c>
      <c r="B159" s="146"/>
      <c r="C159" s="99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45"/>
      <c r="AA159" s="63"/>
      <c r="AB159" s="63"/>
    </row>
    <row r="160" spans="1:28" ht="15.75" x14ac:dyDescent="0.25">
      <c r="A160" s="57" t="s">
        <v>233</v>
      </c>
      <c r="B160" s="145">
        <f>B161+B162</f>
        <v>0</v>
      </c>
      <c r="C160" s="99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45"/>
      <c r="AA160" s="63"/>
      <c r="AB160" s="63"/>
    </row>
    <row r="161" spans="1:28" ht="15.75" x14ac:dyDescent="0.25">
      <c r="A161" s="55" t="s">
        <v>281</v>
      </c>
      <c r="B161" s="146"/>
      <c r="C161" s="99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45"/>
      <c r="AA161" s="63"/>
      <c r="AB161" s="63"/>
    </row>
    <row r="162" spans="1:28" ht="15.75" x14ac:dyDescent="0.25">
      <c r="A162" s="55" t="s">
        <v>282</v>
      </c>
      <c r="B162" s="146"/>
      <c r="C162" s="99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45"/>
      <c r="AA162" s="63"/>
      <c r="AB162" s="63"/>
    </row>
    <row r="163" spans="1:28" ht="15.75" x14ac:dyDescent="0.25">
      <c r="A163" s="57" t="s">
        <v>13</v>
      </c>
      <c r="B163" s="145">
        <f>B164+B165</f>
        <v>0</v>
      </c>
      <c r="C163" s="99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45"/>
      <c r="AA163" s="63"/>
      <c r="AB163" s="63"/>
    </row>
    <row r="164" spans="1:28" ht="15.75" x14ac:dyDescent="0.25">
      <c r="A164" s="55" t="s">
        <v>85</v>
      </c>
      <c r="B164" s="146"/>
      <c r="C164" s="99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45"/>
      <c r="AA164" s="63"/>
      <c r="AB164" s="63"/>
    </row>
    <row r="165" spans="1:28" ht="15.75" x14ac:dyDescent="0.25">
      <c r="A165" s="55" t="s">
        <v>210</v>
      </c>
      <c r="B165" s="146"/>
      <c r="C165" s="99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45"/>
      <c r="AA165" s="63"/>
      <c r="AB165" s="63"/>
    </row>
    <row r="166" spans="1:28" ht="15.75" x14ac:dyDescent="0.25">
      <c r="A166" s="57" t="s">
        <v>14</v>
      </c>
      <c r="B166" s="145">
        <f>B167+B168</f>
        <v>0</v>
      </c>
      <c r="C166" s="99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45"/>
      <c r="AA166" s="63"/>
      <c r="AB166" s="63"/>
    </row>
    <row r="167" spans="1:28" ht="15.75" x14ac:dyDescent="0.25">
      <c r="A167" s="55" t="s">
        <v>253</v>
      </c>
      <c r="B167" s="146"/>
      <c r="C167" s="99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45"/>
      <c r="AA167" s="63"/>
      <c r="AB167" s="63"/>
    </row>
    <row r="168" spans="1:28" ht="15.75" x14ac:dyDescent="0.25">
      <c r="A168" s="55" t="s">
        <v>254</v>
      </c>
      <c r="B168" s="146"/>
      <c r="C168" s="99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45"/>
      <c r="AA168" s="63"/>
      <c r="AB168" s="63"/>
    </row>
    <row r="169" spans="1:28" ht="15.75" x14ac:dyDescent="0.25">
      <c r="A169" s="57" t="s">
        <v>323</v>
      </c>
      <c r="B169" s="145">
        <f>B170+B171</f>
        <v>0</v>
      </c>
      <c r="C169" s="99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45"/>
      <c r="AA169" s="63"/>
      <c r="AB169" s="63"/>
    </row>
    <row r="170" spans="1:28" ht="15.75" x14ac:dyDescent="0.25">
      <c r="A170" s="55" t="s">
        <v>255</v>
      </c>
      <c r="B170" s="146"/>
      <c r="C170" s="99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45"/>
      <c r="AA170" s="63"/>
      <c r="AB170" s="63"/>
    </row>
    <row r="171" spans="1:28" ht="15.75" x14ac:dyDescent="0.25">
      <c r="A171" s="55" t="s">
        <v>256</v>
      </c>
      <c r="B171" s="146"/>
      <c r="C171" s="99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45"/>
      <c r="AA171" s="63"/>
      <c r="AB171" s="63"/>
    </row>
    <row r="172" spans="1:28" ht="15.75" x14ac:dyDescent="0.25">
      <c r="A172" s="57" t="s">
        <v>234</v>
      </c>
      <c r="B172" s="145">
        <f>B174+B173</f>
        <v>0</v>
      </c>
      <c r="C172" s="99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45"/>
      <c r="AA172" s="63"/>
      <c r="AB172" s="63"/>
    </row>
    <row r="173" spans="1:28" ht="15.75" x14ac:dyDescent="0.25">
      <c r="A173" s="55" t="s">
        <v>235</v>
      </c>
      <c r="B173" s="147"/>
      <c r="C173" s="99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45"/>
      <c r="AA173" s="63"/>
      <c r="AB173" s="63"/>
    </row>
    <row r="174" spans="1:28" ht="15.75" x14ac:dyDescent="0.25">
      <c r="A174" s="55" t="s">
        <v>236</v>
      </c>
      <c r="B174" s="146"/>
      <c r="C174" s="99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45"/>
      <c r="AA174" s="63"/>
      <c r="AB174" s="63"/>
    </row>
    <row r="175" spans="1:28" ht="15.75" x14ac:dyDescent="0.25">
      <c r="A175" s="62" t="s">
        <v>86</v>
      </c>
      <c r="B175" s="148"/>
      <c r="C175" s="99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45"/>
      <c r="AA175" s="63"/>
      <c r="AB175" s="63"/>
    </row>
    <row r="176" spans="1:28" ht="15.75" x14ac:dyDescent="0.25">
      <c r="A176" s="81" t="s">
        <v>87</v>
      </c>
      <c r="B176" s="145">
        <f>B178+B177</f>
        <v>0</v>
      </c>
      <c r="C176" s="99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45"/>
      <c r="AA176" s="63"/>
      <c r="AB176" s="63"/>
    </row>
    <row r="177" spans="1:28" ht="15.75" x14ac:dyDescent="0.25">
      <c r="A177" s="55" t="s">
        <v>257</v>
      </c>
      <c r="B177" s="146"/>
      <c r="C177" s="99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45"/>
      <c r="AA177" s="63"/>
      <c r="AB177" s="63"/>
    </row>
    <row r="178" spans="1:28" ht="15.75" x14ac:dyDescent="0.25">
      <c r="A178" s="55" t="s">
        <v>258</v>
      </c>
      <c r="B178" s="146"/>
      <c r="C178" s="99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45"/>
      <c r="AA178" s="63"/>
      <c r="AB178" s="63"/>
    </row>
    <row r="179" spans="1:28" ht="15.75" x14ac:dyDescent="0.25">
      <c r="A179" s="62" t="s">
        <v>88</v>
      </c>
      <c r="B179" s="146"/>
      <c r="C179" s="99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45"/>
      <c r="AA179" s="63"/>
      <c r="AB179" s="63"/>
    </row>
    <row r="180" spans="1:28" ht="15.75" x14ac:dyDescent="0.25">
      <c r="A180" s="81" t="s">
        <v>15</v>
      </c>
      <c r="B180" s="145">
        <f>B181+B182</f>
        <v>0</v>
      </c>
      <c r="C180" s="99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45"/>
      <c r="AA180" s="63"/>
      <c r="AB180" s="63"/>
    </row>
    <row r="181" spans="1:28" ht="15.75" x14ac:dyDescent="0.25">
      <c r="A181" s="55" t="s">
        <v>16</v>
      </c>
      <c r="B181" s="146"/>
      <c r="C181" s="99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45"/>
      <c r="AA181" s="63"/>
      <c r="AB181" s="63"/>
    </row>
    <row r="182" spans="1:28" ht="15.75" x14ac:dyDescent="0.25">
      <c r="A182" s="55" t="s">
        <v>211</v>
      </c>
      <c r="B182" s="146"/>
      <c r="C182" s="99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45"/>
      <c r="AA182" s="63"/>
      <c r="AB182" s="63"/>
    </row>
    <row r="183" spans="1:28" ht="15.75" x14ac:dyDescent="0.25">
      <c r="A183" s="62" t="s">
        <v>124</v>
      </c>
      <c r="B183" s="146"/>
      <c r="C183" s="99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45"/>
      <c r="AA183" s="63"/>
      <c r="AB183" s="63"/>
    </row>
    <row r="184" spans="1:28" ht="15.75" x14ac:dyDescent="0.25">
      <c r="A184" s="62" t="s">
        <v>89</v>
      </c>
      <c r="B184" s="146"/>
      <c r="C184" s="99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45"/>
      <c r="AA184" s="63"/>
      <c r="AB184" s="63"/>
    </row>
    <row r="185" spans="1:28" ht="15.75" x14ac:dyDescent="0.25">
      <c r="A185" s="62" t="s">
        <v>285</v>
      </c>
      <c r="B185" s="159"/>
      <c r="C185" s="99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45"/>
      <c r="AA185" s="63"/>
      <c r="AB185" s="63"/>
    </row>
    <row r="186" spans="1:28" ht="15.75" x14ac:dyDescent="0.25">
      <c r="A186" s="81" t="s">
        <v>434</v>
      </c>
      <c r="B186" s="145">
        <f>B187</f>
        <v>0</v>
      </c>
      <c r="C186" s="99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45"/>
      <c r="AA186" s="63"/>
      <c r="AB186" s="63"/>
    </row>
    <row r="187" spans="1:28" ht="15.75" x14ac:dyDescent="0.25">
      <c r="A187" s="55" t="s">
        <v>435</v>
      </c>
      <c r="B187" s="159"/>
      <c r="C187" s="99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45"/>
      <c r="AA187" s="63"/>
      <c r="AB187" s="63"/>
    </row>
    <row r="188" spans="1:28" ht="15.75" x14ac:dyDescent="0.25">
      <c r="A188" s="81" t="s">
        <v>436</v>
      </c>
      <c r="B188" s="145">
        <f>SUM(B189:B191)</f>
        <v>0</v>
      </c>
      <c r="C188" s="99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45"/>
      <c r="AA188" s="63"/>
      <c r="AB188" s="63"/>
    </row>
    <row r="189" spans="1:28" ht="15.75" x14ac:dyDescent="0.25">
      <c r="A189" s="55" t="s">
        <v>324</v>
      </c>
      <c r="B189" s="146"/>
      <c r="C189" s="99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45"/>
      <c r="AA189" s="63"/>
      <c r="AB189" s="63"/>
    </row>
    <row r="190" spans="1:28" ht="15.75" x14ac:dyDescent="0.25">
      <c r="A190" s="55" t="s">
        <v>437</v>
      </c>
      <c r="B190" s="146"/>
      <c r="C190" s="99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45"/>
      <c r="AA190" s="63"/>
      <c r="AB190" s="63"/>
    </row>
    <row r="191" spans="1:28" ht="15.75" x14ac:dyDescent="0.25">
      <c r="A191" s="55" t="s">
        <v>438</v>
      </c>
      <c r="B191" s="146"/>
      <c r="C191" s="99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45"/>
      <c r="AA191" s="63"/>
      <c r="AB191" s="63"/>
    </row>
    <row r="192" spans="1:28" ht="15.75" x14ac:dyDescent="0.25">
      <c r="A192" s="81" t="s">
        <v>439</v>
      </c>
      <c r="B192" s="145">
        <f>SUM(B193:B195)</f>
        <v>0</v>
      </c>
      <c r="C192" s="99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45"/>
      <c r="AA192" s="63"/>
      <c r="AB192" s="63"/>
    </row>
    <row r="193" spans="1:28" ht="15.75" x14ac:dyDescent="0.25">
      <c r="A193" s="55" t="s">
        <v>440</v>
      </c>
      <c r="B193" s="146"/>
      <c r="C193" s="99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45"/>
      <c r="AA193" s="63"/>
      <c r="AB193" s="63"/>
    </row>
    <row r="194" spans="1:28" ht="15.75" x14ac:dyDescent="0.25">
      <c r="A194" s="55" t="s">
        <v>441</v>
      </c>
      <c r="B194" s="146"/>
      <c r="C194" s="99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45"/>
      <c r="AA194" s="63"/>
      <c r="AB194" s="63"/>
    </row>
    <row r="195" spans="1:28" ht="15.75" x14ac:dyDescent="0.25">
      <c r="A195" s="55" t="s">
        <v>442</v>
      </c>
      <c r="B195" s="146"/>
      <c r="C195" s="99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45"/>
      <c r="AA195" s="63"/>
      <c r="AB195" s="63"/>
    </row>
    <row r="196" spans="1:28" ht="15.75" x14ac:dyDescent="0.25">
      <c r="A196" s="62" t="s">
        <v>90</v>
      </c>
      <c r="B196" s="145"/>
      <c r="C196" s="99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45"/>
      <c r="AA196" s="63"/>
      <c r="AB196" s="63"/>
    </row>
    <row r="197" spans="1:28" ht="15.75" x14ac:dyDescent="0.25">
      <c r="A197" s="57" t="s">
        <v>91</v>
      </c>
      <c r="B197" s="145">
        <f>B198+B199+B200</f>
        <v>0</v>
      </c>
      <c r="C197" s="99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45"/>
      <c r="AA197" s="63"/>
      <c r="AB197" s="63"/>
    </row>
    <row r="198" spans="1:28" ht="15.75" x14ac:dyDescent="0.25">
      <c r="A198" s="55" t="s">
        <v>92</v>
      </c>
      <c r="B198" s="146"/>
      <c r="C198" s="99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45"/>
      <c r="AA198" s="63"/>
      <c r="AB198" s="63"/>
    </row>
    <row r="199" spans="1:28" ht="15.75" x14ac:dyDescent="0.25">
      <c r="A199" s="55" t="s">
        <v>93</v>
      </c>
      <c r="B199" s="146"/>
      <c r="C199" s="99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45"/>
      <c r="AA199" s="63"/>
      <c r="AB199" s="63"/>
    </row>
    <row r="200" spans="1:28" ht="15.75" x14ac:dyDescent="0.25">
      <c r="A200" s="55" t="s">
        <v>94</v>
      </c>
      <c r="B200" s="146"/>
      <c r="C200" s="99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45"/>
      <c r="AA200" s="63"/>
      <c r="AB200" s="63"/>
    </row>
    <row r="201" spans="1:28" ht="15.75" x14ac:dyDescent="0.25">
      <c r="A201" s="57" t="s">
        <v>95</v>
      </c>
      <c r="B201" s="145">
        <f>B202+B203+B204+B205</f>
        <v>0</v>
      </c>
      <c r="C201" s="99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45"/>
      <c r="AA201" s="63"/>
      <c r="AB201" s="63"/>
    </row>
    <row r="202" spans="1:28" ht="15.75" x14ac:dyDescent="0.25">
      <c r="A202" s="55" t="s">
        <v>96</v>
      </c>
      <c r="B202" s="146"/>
      <c r="C202" s="99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45"/>
      <c r="AA202" s="63"/>
      <c r="AB202" s="63"/>
    </row>
    <row r="203" spans="1:28" ht="15.75" customHeight="1" x14ac:dyDescent="0.25">
      <c r="A203" s="55" t="s">
        <v>98</v>
      </c>
      <c r="B203" s="146"/>
      <c r="C203" s="99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45"/>
      <c r="AA203" s="63"/>
      <c r="AB203" s="63"/>
    </row>
    <row r="204" spans="1:28" ht="12.75" customHeight="1" x14ac:dyDescent="0.25">
      <c r="A204" s="55" t="s">
        <v>97</v>
      </c>
      <c r="B204" s="146"/>
      <c r="C204" s="99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45"/>
      <c r="AA204" s="63"/>
      <c r="AB204" s="63"/>
    </row>
    <row r="205" spans="1:28" ht="26.25" x14ac:dyDescent="0.25">
      <c r="A205" s="55" t="s">
        <v>99</v>
      </c>
      <c r="B205" s="146"/>
      <c r="C205" s="99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45"/>
      <c r="AA205" s="63"/>
      <c r="AB205" s="63"/>
    </row>
    <row r="206" spans="1:28" ht="15.75" x14ac:dyDescent="0.25">
      <c r="A206" s="57" t="s">
        <v>100</v>
      </c>
      <c r="B206" s="145">
        <f>B207+B208+B209+B210</f>
        <v>0</v>
      </c>
      <c r="C206" s="99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45"/>
      <c r="AA206" s="63"/>
      <c r="AB206" s="63"/>
    </row>
    <row r="207" spans="1:28" ht="18.75" customHeight="1" x14ac:dyDescent="0.25">
      <c r="A207" s="55" t="s">
        <v>101</v>
      </c>
      <c r="B207" s="146"/>
      <c r="C207" s="99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45"/>
      <c r="AA207" s="63"/>
      <c r="AB207" s="63"/>
    </row>
    <row r="208" spans="1:28" ht="15.75" x14ac:dyDescent="0.25">
      <c r="A208" s="55" t="s">
        <v>102</v>
      </c>
      <c r="B208" s="146"/>
      <c r="C208" s="99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45"/>
      <c r="AA208" s="63"/>
      <c r="AB208" s="63"/>
    </row>
    <row r="209" spans="1:28" ht="15.75" customHeight="1" x14ac:dyDescent="0.25">
      <c r="A209" s="55" t="s">
        <v>103</v>
      </c>
      <c r="B209" s="146"/>
      <c r="C209" s="99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45"/>
      <c r="AA209" s="63"/>
      <c r="AB209" s="63"/>
    </row>
    <row r="210" spans="1:28" ht="26.25" x14ac:dyDescent="0.25">
      <c r="A210" s="55" t="s">
        <v>104</v>
      </c>
      <c r="B210" s="146"/>
      <c r="C210" s="99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45"/>
      <c r="AA210" s="63"/>
      <c r="AB210" s="63"/>
    </row>
    <row r="211" spans="1:28" ht="15.75" x14ac:dyDescent="0.25">
      <c r="A211" s="57" t="s">
        <v>105</v>
      </c>
      <c r="B211" s="145">
        <f>B212+B215+B218+B221</f>
        <v>0</v>
      </c>
      <c r="C211" s="99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45"/>
      <c r="AA211" s="63"/>
      <c r="AB211" s="63"/>
    </row>
    <row r="212" spans="1:28" ht="15.75" x14ac:dyDescent="0.25">
      <c r="A212" s="55" t="s">
        <v>106</v>
      </c>
      <c r="B212" s="145">
        <f>B213+B214</f>
        <v>0</v>
      </c>
      <c r="C212" s="99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45"/>
      <c r="AA212" s="63"/>
      <c r="AB212" s="63"/>
    </row>
    <row r="213" spans="1:28" ht="15.75" x14ac:dyDescent="0.25">
      <c r="A213" s="55" t="s">
        <v>107</v>
      </c>
      <c r="B213" s="146"/>
      <c r="C213" s="99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45"/>
      <c r="AA213" s="63"/>
      <c r="AB213" s="63"/>
    </row>
    <row r="214" spans="1:28" ht="15.75" x14ac:dyDescent="0.25">
      <c r="A214" s="55" t="s">
        <v>259</v>
      </c>
      <c r="B214" s="146"/>
      <c r="C214" s="99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45"/>
      <c r="AA214" s="63"/>
      <c r="AB214" s="63"/>
    </row>
    <row r="215" spans="1:28" ht="15.75" x14ac:dyDescent="0.25">
      <c r="A215" s="55" t="s">
        <v>108</v>
      </c>
      <c r="B215" s="145">
        <f>B216+B217</f>
        <v>0</v>
      </c>
      <c r="C215" s="99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45"/>
      <c r="AA215" s="63"/>
      <c r="AB215" s="63"/>
    </row>
    <row r="216" spans="1:28" ht="15.75" x14ac:dyDescent="0.25">
      <c r="A216" s="55" t="s">
        <v>111</v>
      </c>
      <c r="B216" s="146"/>
      <c r="C216" s="99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45"/>
      <c r="AA216" s="63"/>
      <c r="AB216" s="63"/>
    </row>
    <row r="217" spans="1:28" ht="15.75" x14ac:dyDescent="0.25">
      <c r="A217" s="55" t="s">
        <v>212</v>
      </c>
      <c r="B217" s="146"/>
      <c r="C217" s="99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45"/>
      <c r="AA217" s="63"/>
      <c r="AB217" s="63"/>
    </row>
    <row r="218" spans="1:28" ht="15.75" customHeight="1" x14ac:dyDescent="0.25">
      <c r="A218" s="55" t="s">
        <v>109</v>
      </c>
      <c r="B218" s="145">
        <f>B219+B220</f>
        <v>0</v>
      </c>
      <c r="C218" s="99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45"/>
      <c r="AA218" s="63"/>
      <c r="AB218" s="63"/>
    </row>
    <row r="219" spans="1:28" ht="15.75" x14ac:dyDescent="0.25">
      <c r="A219" s="55" t="s">
        <v>110</v>
      </c>
      <c r="B219" s="147"/>
      <c r="C219" s="99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45"/>
      <c r="AA219" s="63"/>
      <c r="AB219" s="63"/>
    </row>
    <row r="220" spans="1:28" ht="15.75" customHeight="1" x14ac:dyDescent="0.25">
      <c r="A220" s="55" t="s">
        <v>213</v>
      </c>
      <c r="B220" s="147"/>
      <c r="C220" s="99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45"/>
      <c r="AA220" s="63"/>
      <c r="AB220" s="63"/>
    </row>
    <row r="221" spans="1:28" ht="26.25" x14ac:dyDescent="0.25">
      <c r="A221" s="55" t="s">
        <v>112</v>
      </c>
      <c r="B221" s="145">
        <f>B222+B223</f>
        <v>0</v>
      </c>
      <c r="C221" s="99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45"/>
      <c r="AA221" s="63"/>
      <c r="AB221" s="63"/>
    </row>
    <row r="222" spans="1:28" ht="15.75" x14ac:dyDescent="0.25">
      <c r="A222" s="55" t="s">
        <v>113</v>
      </c>
      <c r="B222" s="146"/>
      <c r="C222" s="99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45"/>
      <c r="AA222" s="63"/>
      <c r="AB222" s="63"/>
    </row>
    <row r="223" spans="1:28" ht="15.75" x14ac:dyDescent="0.25">
      <c r="A223" s="55" t="s">
        <v>214</v>
      </c>
      <c r="B223" s="146"/>
      <c r="C223" s="99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45"/>
      <c r="AA223" s="63"/>
      <c r="AB223" s="63"/>
    </row>
    <row r="224" spans="1:28" ht="15.75" x14ac:dyDescent="0.25">
      <c r="A224" s="57" t="s">
        <v>114</v>
      </c>
      <c r="B224" s="145">
        <f>B225+B228+B231</f>
        <v>0</v>
      </c>
      <c r="C224" s="99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45"/>
      <c r="AA224" s="63"/>
      <c r="AB224" s="63"/>
    </row>
    <row r="225" spans="1:28" ht="15.75" x14ac:dyDescent="0.25">
      <c r="A225" s="55" t="s">
        <v>115</v>
      </c>
      <c r="B225" s="145">
        <f>B226+B227</f>
        <v>0</v>
      </c>
      <c r="C225" s="99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45"/>
      <c r="AA225" s="63"/>
      <c r="AB225" s="63"/>
    </row>
    <row r="226" spans="1:28" ht="15.75" x14ac:dyDescent="0.25">
      <c r="A226" s="55" t="s">
        <v>116</v>
      </c>
      <c r="B226" s="146"/>
      <c r="C226" s="99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45"/>
      <c r="AA226" s="63"/>
      <c r="AB226" s="63"/>
    </row>
    <row r="227" spans="1:28" ht="15.75" x14ac:dyDescent="0.25">
      <c r="A227" s="55" t="s">
        <v>215</v>
      </c>
      <c r="B227" s="146"/>
      <c r="C227" s="99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45"/>
      <c r="AA227" s="63"/>
      <c r="AB227" s="63"/>
    </row>
    <row r="228" spans="1:28" ht="15.75" x14ac:dyDescent="0.25">
      <c r="A228" s="55" t="s">
        <v>117</v>
      </c>
      <c r="B228" s="145">
        <f>B229+B230</f>
        <v>0</v>
      </c>
      <c r="C228" s="99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45"/>
      <c r="AA228" s="63"/>
      <c r="AB228" s="63"/>
    </row>
    <row r="229" spans="1:28" ht="15.75" x14ac:dyDescent="0.25">
      <c r="A229" s="55" t="s">
        <v>118</v>
      </c>
      <c r="B229" s="146"/>
      <c r="C229" s="99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45"/>
      <c r="AA229" s="63"/>
      <c r="AB229" s="63"/>
    </row>
    <row r="230" spans="1:28" ht="15.75" customHeight="1" x14ac:dyDescent="0.25">
      <c r="A230" s="55" t="s">
        <v>216</v>
      </c>
      <c r="B230" s="146"/>
      <c r="C230" s="99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45"/>
      <c r="AA230" s="63"/>
      <c r="AB230" s="63"/>
    </row>
    <row r="231" spans="1:28" ht="26.25" x14ac:dyDescent="0.25">
      <c r="A231" s="55" t="s">
        <v>119</v>
      </c>
      <c r="B231" s="145">
        <f>B232+B233</f>
        <v>0</v>
      </c>
      <c r="C231" s="99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45"/>
      <c r="AA231" s="63"/>
      <c r="AB231" s="63"/>
    </row>
    <row r="232" spans="1:28" ht="15.75" x14ac:dyDescent="0.25">
      <c r="A232" s="55" t="s">
        <v>120</v>
      </c>
      <c r="B232" s="146"/>
      <c r="C232" s="99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45"/>
      <c r="AA232" s="63"/>
      <c r="AB232" s="63"/>
    </row>
    <row r="233" spans="1:28" ht="15.75" x14ac:dyDescent="0.25">
      <c r="A233" s="55" t="s">
        <v>217</v>
      </c>
      <c r="B233" s="146"/>
      <c r="C233" s="99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45"/>
      <c r="AA233" s="63"/>
      <c r="AB233" s="63"/>
    </row>
    <row r="234" spans="1:28" ht="15.75" x14ac:dyDescent="0.25">
      <c r="A234" s="57" t="s">
        <v>121</v>
      </c>
      <c r="B234" s="145">
        <f>B235+B238+B241</f>
        <v>0</v>
      </c>
      <c r="C234" s="99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45"/>
      <c r="AA234" s="63"/>
      <c r="AB234" s="63"/>
    </row>
    <row r="235" spans="1:28" ht="15.75" x14ac:dyDescent="0.25">
      <c r="A235" s="55" t="s">
        <v>122</v>
      </c>
      <c r="B235" s="145">
        <f>B236+B237</f>
        <v>0</v>
      </c>
      <c r="C235" s="99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45"/>
      <c r="AA235" s="63"/>
      <c r="AB235" s="63"/>
    </row>
    <row r="236" spans="1:28" ht="15.75" x14ac:dyDescent="0.25">
      <c r="A236" s="55" t="s">
        <v>123</v>
      </c>
      <c r="B236" s="146"/>
      <c r="C236" s="99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45"/>
      <c r="AA236" s="63"/>
      <c r="AB236" s="63"/>
    </row>
    <row r="237" spans="1:28" ht="15.75" x14ac:dyDescent="0.25">
      <c r="A237" s="55" t="s">
        <v>218</v>
      </c>
      <c r="B237" s="146"/>
      <c r="C237" s="99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45"/>
      <c r="AA237" s="63"/>
      <c r="AB237" s="63"/>
    </row>
    <row r="238" spans="1:28" ht="15.75" x14ac:dyDescent="0.25">
      <c r="A238" s="55" t="s">
        <v>125</v>
      </c>
      <c r="B238" s="145">
        <f>B239+B240</f>
        <v>0</v>
      </c>
      <c r="C238" s="99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45"/>
      <c r="AA238" s="63"/>
      <c r="AB238" s="63"/>
    </row>
    <row r="239" spans="1:28" ht="15.75" x14ac:dyDescent="0.25">
      <c r="A239" s="55" t="s">
        <v>126</v>
      </c>
      <c r="B239" s="146"/>
      <c r="C239" s="99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45"/>
      <c r="AA239" s="63"/>
      <c r="AB239" s="63"/>
    </row>
    <row r="240" spans="1:28" ht="15.75" customHeight="1" x14ac:dyDescent="0.25">
      <c r="A240" s="55" t="s">
        <v>219</v>
      </c>
      <c r="B240" s="146"/>
      <c r="C240" s="99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45"/>
      <c r="AA240" s="63"/>
      <c r="AB240" s="63"/>
    </row>
    <row r="241" spans="1:28" ht="26.25" x14ac:dyDescent="0.25">
      <c r="A241" s="55" t="s">
        <v>127</v>
      </c>
      <c r="B241" s="145">
        <f>B242+B243</f>
        <v>0</v>
      </c>
      <c r="C241" s="99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45"/>
      <c r="AA241" s="63"/>
      <c r="AB241" s="63"/>
    </row>
    <row r="242" spans="1:28" ht="15.75" x14ac:dyDescent="0.25">
      <c r="A242" s="55" t="s">
        <v>128</v>
      </c>
      <c r="B242" s="146"/>
      <c r="C242" s="99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45"/>
      <c r="AA242" s="63"/>
      <c r="AB242" s="63"/>
    </row>
    <row r="243" spans="1:28" ht="15.75" x14ac:dyDescent="0.25">
      <c r="A243" s="55" t="s">
        <v>220</v>
      </c>
      <c r="B243" s="146"/>
      <c r="C243" s="99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45"/>
      <c r="AA243" s="63"/>
      <c r="AB243" s="63"/>
    </row>
    <row r="244" spans="1:28" ht="15.75" x14ac:dyDescent="0.25">
      <c r="A244" s="57" t="s">
        <v>284</v>
      </c>
      <c r="B244" s="146"/>
      <c r="C244" s="99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45"/>
      <c r="AA244" s="63"/>
      <c r="AB244" s="63"/>
    </row>
    <row r="245" spans="1:28" ht="15.75" x14ac:dyDescent="0.25">
      <c r="A245" s="58" t="s">
        <v>129</v>
      </c>
      <c r="B245" s="145">
        <f>B246+B247</f>
        <v>0</v>
      </c>
      <c r="C245" s="99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45"/>
      <c r="AA245" s="63"/>
      <c r="AB245" s="63"/>
    </row>
    <row r="246" spans="1:28" ht="15.75" x14ac:dyDescent="0.25">
      <c r="A246" s="55" t="s">
        <v>260</v>
      </c>
      <c r="B246" s="146"/>
      <c r="C246" s="99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45"/>
      <c r="AA246" s="63"/>
      <c r="AB246" s="63"/>
    </row>
    <row r="247" spans="1:28" ht="15.75" x14ac:dyDescent="0.25">
      <c r="A247" s="55" t="s">
        <v>261</v>
      </c>
      <c r="B247" s="146"/>
      <c r="C247" s="99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45"/>
      <c r="AA247" s="63"/>
      <c r="AB247" s="63"/>
    </row>
    <row r="248" spans="1:28" ht="15.75" x14ac:dyDescent="0.25">
      <c r="A248" s="55" t="s">
        <v>130</v>
      </c>
      <c r="B248" s="145">
        <f>B249+B250</f>
        <v>0</v>
      </c>
      <c r="C248" s="99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45"/>
      <c r="AA248" s="63"/>
      <c r="AB248" s="63"/>
    </row>
    <row r="249" spans="1:28" ht="15.75" x14ac:dyDescent="0.25">
      <c r="A249" s="55" t="s">
        <v>262</v>
      </c>
      <c r="B249" s="146"/>
      <c r="C249" s="99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45"/>
      <c r="AA249" s="63"/>
      <c r="AB249" s="63"/>
    </row>
    <row r="250" spans="1:28" ht="15.75" x14ac:dyDescent="0.25">
      <c r="A250" s="55" t="s">
        <v>263</v>
      </c>
      <c r="B250" s="146"/>
      <c r="C250" s="99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45"/>
      <c r="AA250" s="63"/>
      <c r="AB250" s="63"/>
    </row>
    <row r="251" spans="1:28" ht="15.75" x14ac:dyDescent="0.25">
      <c r="A251" s="62" t="s">
        <v>325</v>
      </c>
      <c r="B251" s="149"/>
      <c r="C251" s="99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45"/>
      <c r="AA251" s="63"/>
      <c r="AB251" s="63"/>
    </row>
    <row r="252" spans="1:28" ht="15.75" x14ac:dyDescent="0.25">
      <c r="A252" s="62" t="s">
        <v>326</v>
      </c>
      <c r="B252" s="149"/>
      <c r="C252" s="99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45"/>
      <c r="AA252" s="63"/>
      <c r="AB252" s="63"/>
    </row>
    <row r="253" spans="1:28" ht="15.75" x14ac:dyDescent="0.25">
      <c r="A253" s="62" t="s">
        <v>327</v>
      </c>
      <c r="B253" s="145">
        <f>B254+B255+B256+B257+B258+B259+B260+B261+B262</f>
        <v>0</v>
      </c>
      <c r="C253" s="99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45"/>
      <c r="AA253" s="63"/>
      <c r="AB253" s="63"/>
    </row>
    <row r="254" spans="1:28" ht="18.75" customHeight="1" x14ac:dyDescent="0.25">
      <c r="A254" s="55" t="s">
        <v>329</v>
      </c>
      <c r="B254" s="146"/>
      <c r="C254" s="99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45"/>
      <c r="AA254" s="63"/>
      <c r="AB254" s="63"/>
    </row>
    <row r="255" spans="1:28" ht="15.75" x14ac:dyDescent="0.25">
      <c r="A255" s="55" t="s">
        <v>328</v>
      </c>
      <c r="B255" s="146"/>
      <c r="C255" s="99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45"/>
      <c r="AA255" s="63"/>
      <c r="AB255" s="63"/>
    </row>
    <row r="256" spans="1:28" ht="15.75" customHeight="1" x14ac:dyDescent="0.25">
      <c r="A256" s="55" t="s">
        <v>330</v>
      </c>
      <c r="B256" s="146"/>
      <c r="C256" s="99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45"/>
      <c r="AA256" s="63"/>
      <c r="AB256" s="63"/>
    </row>
    <row r="257" spans="1:28" ht="15.75" x14ac:dyDescent="0.25">
      <c r="A257" s="55" t="s">
        <v>331</v>
      </c>
      <c r="B257" s="146"/>
      <c r="C257" s="99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45"/>
      <c r="AA257" s="63"/>
      <c r="AB257" s="63"/>
    </row>
    <row r="258" spans="1:28" ht="15.75" x14ac:dyDescent="0.25">
      <c r="A258" s="55" t="s">
        <v>332</v>
      </c>
      <c r="B258" s="146"/>
      <c r="C258" s="99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45"/>
      <c r="AA258" s="63"/>
      <c r="AB258" s="63"/>
    </row>
    <row r="259" spans="1:28" ht="15.75" x14ac:dyDescent="0.25">
      <c r="A259" s="55" t="s">
        <v>333</v>
      </c>
      <c r="B259" s="146"/>
      <c r="C259" s="99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45"/>
      <c r="AA259" s="63"/>
      <c r="AB259" s="63"/>
    </row>
    <row r="260" spans="1:28" ht="15.75" x14ac:dyDescent="0.25">
      <c r="A260" s="55" t="s">
        <v>334</v>
      </c>
      <c r="B260" s="146"/>
      <c r="C260" s="99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45"/>
      <c r="AA260" s="63"/>
      <c r="AB260" s="63"/>
    </row>
    <row r="261" spans="1:28" ht="15.75" x14ac:dyDescent="0.25">
      <c r="A261" s="55" t="s">
        <v>335</v>
      </c>
      <c r="B261" s="146"/>
      <c r="C261" s="99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45"/>
      <c r="AA261" s="63"/>
      <c r="AB261" s="63"/>
    </row>
    <row r="262" spans="1:28" ht="15.75" x14ac:dyDescent="0.25">
      <c r="A262" s="55" t="s">
        <v>336</v>
      </c>
      <c r="B262" s="146"/>
      <c r="C262" s="99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45"/>
      <c r="AA262" s="63"/>
      <c r="AB262" s="63"/>
    </row>
    <row r="263" spans="1:28" ht="15.75" x14ac:dyDescent="0.25">
      <c r="A263" s="76" t="s">
        <v>337</v>
      </c>
      <c r="B263" s="151"/>
      <c r="C263" s="99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45"/>
      <c r="AA263" s="63"/>
      <c r="AB263" s="63"/>
    </row>
    <row r="264" spans="1:28" ht="15.75" x14ac:dyDescent="0.25">
      <c r="A264" s="57" t="s">
        <v>131</v>
      </c>
      <c r="B264" s="150">
        <f>B265+B266+B267+B268</f>
        <v>0</v>
      </c>
      <c r="C264" s="99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45"/>
      <c r="AA264" s="63"/>
      <c r="AB264" s="63"/>
    </row>
    <row r="265" spans="1:28" ht="15.75" x14ac:dyDescent="0.25">
      <c r="A265" s="55" t="s">
        <v>132</v>
      </c>
      <c r="B265" s="146"/>
      <c r="C265" s="99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45"/>
      <c r="AA265" s="63"/>
      <c r="AB265" s="63"/>
    </row>
    <row r="266" spans="1:28" ht="15.75" x14ac:dyDescent="0.25">
      <c r="A266" s="55" t="s">
        <v>133</v>
      </c>
      <c r="B266" s="146"/>
      <c r="C266" s="99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45"/>
      <c r="AA266" s="63"/>
      <c r="AB266" s="63"/>
    </row>
    <row r="267" spans="1:28" ht="15.75" x14ac:dyDescent="0.25">
      <c r="A267" s="55" t="s">
        <v>134</v>
      </c>
      <c r="B267" s="146"/>
      <c r="C267" s="99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45"/>
      <c r="AA267" s="63"/>
      <c r="AB267" s="63"/>
    </row>
    <row r="268" spans="1:28" ht="26.25" x14ac:dyDescent="0.25">
      <c r="A268" s="58" t="s">
        <v>154</v>
      </c>
      <c r="B268" s="146"/>
      <c r="C268" s="99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45"/>
      <c r="AA268" s="63"/>
      <c r="AB268" s="63"/>
    </row>
    <row r="269" spans="1:28" ht="15.75" x14ac:dyDescent="0.25">
      <c r="A269" s="57" t="s">
        <v>338</v>
      </c>
      <c r="B269" s="146"/>
      <c r="C269" s="99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45"/>
      <c r="AA269" s="63"/>
      <c r="AB269" s="63"/>
    </row>
    <row r="270" spans="1:28" ht="15.75" x14ac:dyDescent="0.25">
      <c r="A270" s="76" t="s">
        <v>17</v>
      </c>
      <c r="B270" s="151"/>
      <c r="C270" s="99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45"/>
      <c r="AA270" s="63"/>
      <c r="AB270" s="63"/>
    </row>
    <row r="271" spans="1:28" ht="15.75" x14ac:dyDescent="0.25">
      <c r="A271" s="59" t="s">
        <v>135</v>
      </c>
      <c r="B271" s="152"/>
      <c r="C271" s="99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45"/>
      <c r="AA271" s="63"/>
      <c r="AB271" s="63"/>
    </row>
    <row r="272" spans="1:28" ht="15.75" x14ac:dyDescent="0.25">
      <c r="A272" s="59" t="s">
        <v>225</v>
      </c>
      <c r="B272" s="146"/>
      <c r="C272" s="99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45"/>
      <c r="AA272" s="63"/>
      <c r="AB272" s="63"/>
    </row>
    <row r="273" spans="1:28" ht="15.75" x14ac:dyDescent="0.25">
      <c r="A273" s="59" t="s">
        <v>226</v>
      </c>
      <c r="B273" s="146"/>
      <c r="C273" s="99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45"/>
      <c r="AA273" s="63"/>
      <c r="AB273" s="63"/>
    </row>
    <row r="274" spans="1:28" ht="15.75" x14ac:dyDescent="0.25">
      <c r="A274" s="59" t="s">
        <v>339</v>
      </c>
      <c r="B274" s="149"/>
      <c r="C274" s="99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45"/>
      <c r="AA274" s="63"/>
      <c r="AB274" s="63"/>
    </row>
    <row r="275" spans="1:28" ht="15.75" x14ac:dyDescent="0.25">
      <c r="A275" s="59" t="s">
        <v>340</v>
      </c>
      <c r="B275" s="149"/>
      <c r="C275" s="99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45"/>
      <c r="AA275" s="63"/>
      <c r="AB275" s="63"/>
    </row>
    <row r="276" spans="1:28" ht="15.75" x14ac:dyDescent="0.25">
      <c r="A276" s="76" t="s">
        <v>341</v>
      </c>
      <c r="B276" s="151"/>
      <c r="C276" s="99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45"/>
      <c r="AA276" s="63"/>
      <c r="AB276" s="63"/>
    </row>
    <row r="277" spans="1:28" ht="15.75" x14ac:dyDescent="0.25">
      <c r="A277" s="57" t="s">
        <v>342</v>
      </c>
      <c r="B277" s="145">
        <f>B278+B281</f>
        <v>0</v>
      </c>
      <c r="C277" s="99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45"/>
      <c r="AA277" s="63"/>
      <c r="AB277" s="63"/>
    </row>
    <row r="278" spans="1:28" ht="15.75" x14ac:dyDescent="0.25">
      <c r="A278" s="55" t="s">
        <v>346</v>
      </c>
      <c r="B278" s="145">
        <f>B279+B280</f>
        <v>0</v>
      </c>
      <c r="C278" s="99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45"/>
      <c r="AA278" s="63"/>
      <c r="AB278" s="63"/>
    </row>
    <row r="279" spans="1:28" ht="15.75" x14ac:dyDescent="0.25">
      <c r="A279" s="55" t="s">
        <v>347</v>
      </c>
      <c r="B279" s="146"/>
      <c r="C279" s="99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45"/>
      <c r="AA279" s="63"/>
      <c r="AB279" s="63"/>
    </row>
    <row r="280" spans="1:28" ht="15.75" x14ac:dyDescent="0.25">
      <c r="A280" s="55" t="s">
        <v>350</v>
      </c>
      <c r="B280" s="146"/>
      <c r="C280" s="99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45"/>
      <c r="AA280" s="63"/>
      <c r="AB280" s="63"/>
    </row>
    <row r="281" spans="1:28" ht="15.75" x14ac:dyDescent="0.25">
      <c r="A281" s="55" t="s">
        <v>348</v>
      </c>
      <c r="B281" s="145">
        <f>B282+B283</f>
        <v>0</v>
      </c>
      <c r="C281" s="99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45"/>
      <c r="AA281" s="63"/>
      <c r="AB281" s="63"/>
    </row>
    <row r="282" spans="1:28" ht="15.75" x14ac:dyDescent="0.25">
      <c r="A282" s="55" t="s">
        <v>349</v>
      </c>
      <c r="B282" s="146"/>
      <c r="C282" s="99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45"/>
      <c r="AA282" s="63"/>
      <c r="AB282" s="63"/>
    </row>
    <row r="283" spans="1:28" ht="15.75" x14ac:dyDescent="0.25">
      <c r="A283" s="55" t="s">
        <v>351</v>
      </c>
      <c r="B283" s="146"/>
      <c r="C283" s="99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45"/>
      <c r="AA283" s="63"/>
      <c r="AB283" s="63"/>
    </row>
    <row r="284" spans="1:28" ht="15.75" x14ac:dyDescent="0.25">
      <c r="A284" s="57" t="s">
        <v>345</v>
      </c>
      <c r="B284" s="145">
        <f>B285+B288</f>
        <v>0</v>
      </c>
      <c r="C284" s="99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45"/>
      <c r="AA284" s="63"/>
      <c r="AB284" s="63"/>
    </row>
    <row r="285" spans="1:28" ht="15.75" x14ac:dyDescent="0.25">
      <c r="A285" s="55" t="s">
        <v>352</v>
      </c>
      <c r="B285" s="145">
        <f>B286+B287</f>
        <v>0</v>
      </c>
      <c r="C285" s="99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45"/>
      <c r="AA285" s="63"/>
      <c r="AB285" s="63"/>
    </row>
    <row r="286" spans="1:28" ht="15.75" x14ac:dyDescent="0.25">
      <c r="A286" s="55" t="s">
        <v>343</v>
      </c>
      <c r="B286" s="146"/>
      <c r="C286" s="99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45"/>
      <c r="AA286" s="63"/>
      <c r="AB286" s="63"/>
    </row>
    <row r="287" spans="1:28" ht="15.75" x14ac:dyDescent="0.25">
      <c r="A287" s="55" t="s">
        <v>353</v>
      </c>
      <c r="B287" s="146"/>
      <c r="C287" s="99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45"/>
      <c r="AA287" s="63"/>
      <c r="AB287" s="63"/>
    </row>
    <row r="288" spans="1:28" ht="15.75" x14ac:dyDescent="0.25">
      <c r="A288" s="55" t="s">
        <v>354</v>
      </c>
      <c r="B288" s="145">
        <f>B289+B290</f>
        <v>0</v>
      </c>
      <c r="C288" s="99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45"/>
      <c r="AA288" s="63"/>
      <c r="AB288" s="63"/>
    </row>
    <row r="289" spans="1:28" ht="15.75" x14ac:dyDescent="0.25">
      <c r="A289" s="55" t="s">
        <v>344</v>
      </c>
      <c r="B289" s="146"/>
      <c r="C289" s="99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45"/>
      <c r="AA289" s="63"/>
      <c r="AB289" s="63"/>
    </row>
    <row r="290" spans="1:28" ht="15.75" x14ac:dyDescent="0.25">
      <c r="A290" s="55" t="s">
        <v>355</v>
      </c>
      <c r="B290" s="146"/>
      <c r="C290" s="99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45"/>
      <c r="AA290" s="63"/>
      <c r="AB290" s="63"/>
    </row>
    <row r="291" spans="1:28" ht="15.75" x14ac:dyDescent="0.25">
      <c r="A291" s="78" t="s">
        <v>18</v>
      </c>
      <c r="B291" s="155"/>
      <c r="C291" s="99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45"/>
      <c r="AA291" s="63"/>
      <c r="AB291" s="63"/>
    </row>
    <row r="292" spans="1:28" ht="15.75" x14ac:dyDescent="0.25">
      <c r="A292" s="79" t="s">
        <v>19</v>
      </c>
      <c r="B292" s="156"/>
      <c r="C292" s="99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45"/>
      <c r="AA292" s="63"/>
      <c r="AB292" s="63"/>
    </row>
    <row r="293" spans="1:28" ht="15.75" x14ac:dyDescent="0.25">
      <c r="A293" s="74" t="s">
        <v>20</v>
      </c>
      <c r="B293" s="153"/>
      <c r="C293" s="99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45"/>
      <c r="AA293" s="63"/>
      <c r="AB293" s="63"/>
    </row>
    <row r="294" spans="1:28" ht="15.75" x14ac:dyDescent="0.25">
      <c r="A294" s="80" t="s">
        <v>21</v>
      </c>
      <c r="B294" s="157"/>
      <c r="C294" s="99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45"/>
      <c r="AA294" s="63"/>
      <c r="AB294" s="63"/>
    </row>
    <row r="295" spans="1:28" ht="15.75" x14ac:dyDescent="0.25">
      <c r="A295" s="75" t="s">
        <v>137</v>
      </c>
      <c r="B295" s="154"/>
      <c r="C295" s="99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45"/>
      <c r="AA295" s="63"/>
      <c r="AB295" s="63"/>
    </row>
    <row r="296" spans="1:28" ht="15.75" x14ac:dyDescent="0.25">
      <c r="A296" s="57" t="s">
        <v>138</v>
      </c>
      <c r="B296" s="152"/>
      <c r="C296" s="99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45"/>
      <c r="AA296" s="63"/>
      <c r="AB296" s="63"/>
    </row>
    <row r="297" spans="1:28" ht="15.75" x14ac:dyDescent="0.25">
      <c r="A297" s="57" t="s">
        <v>136</v>
      </c>
      <c r="B297" s="145">
        <f>B298+B301+B304+B307+B310+B312</f>
        <v>0</v>
      </c>
      <c r="C297" s="99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45"/>
      <c r="AA297" s="63"/>
      <c r="AB297" s="63"/>
    </row>
    <row r="298" spans="1:28" ht="15.75" x14ac:dyDescent="0.25">
      <c r="A298" s="60" t="s">
        <v>155</v>
      </c>
      <c r="B298" s="145">
        <f>B299+B300</f>
        <v>0</v>
      </c>
      <c r="C298" s="99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45"/>
      <c r="AA298" s="63"/>
      <c r="AB298" s="63"/>
    </row>
    <row r="299" spans="1:28" ht="15.75" x14ac:dyDescent="0.25">
      <c r="A299" s="55" t="s">
        <v>139</v>
      </c>
      <c r="B299" s="146"/>
      <c r="C299" s="99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45"/>
      <c r="AA299" s="63"/>
      <c r="AB299" s="63"/>
    </row>
    <row r="300" spans="1:28" ht="15.75" x14ac:dyDescent="0.25">
      <c r="A300" s="55" t="s">
        <v>221</v>
      </c>
      <c r="B300" s="146"/>
      <c r="C300" s="99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45"/>
      <c r="AA300" s="63"/>
      <c r="AB300" s="63"/>
    </row>
    <row r="301" spans="1:28" ht="15.75" x14ac:dyDescent="0.25">
      <c r="A301" s="55" t="s">
        <v>140</v>
      </c>
      <c r="B301" s="145">
        <f>B302+B303</f>
        <v>0</v>
      </c>
      <c r="C301" s="99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45"/>
      <c r="AA301" s="63"/>
      <c r="AB301" s="63"/>
    </row>
    <row r="302" spans="1:28" ht="15.75" x14ac:dyDescent="0.25">
      <c r="A302" s="55" t="s">
        <v>141</v>
      </c>
      <c r="B302" s="146"/>
      <c r="C302" s="99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45"/>
      <c r="AA302" s="63"/>
      <c r="AB302" s="63"/>
    </row>
    <row r="303" spans="1:28" ht="15.75" x14ac:dyDescent="0.25">
      <c r="A303" s="55" t="s">
        <v>222</v>
      </c>
      <c r="B303" s="146"/>
      <c r="C303" s="99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45"/>
      <c r="AA303" s="63"/>
      <c r="AB303" s="63"/>
    </row>
    <row r="304" spans="1:28" ht="15.75" x14ac:dyDescent="0.25">
      <c r="A304" s="55" t="s">
        <v>142</v>
      </c>
      <c r="B304" s="145">
        <f>B305+B306</f>
        <v>0</v>
      </c>
      <c r="C304" s="99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45"/>
      <c r="AA304" s="63"/>
      <c r="AB304" s="63"/>
    </row>
    <row r="305" spans="1:28" ht="15.75" x14ac:dyDescent="0.25">
      <c r="A305" s="55" t="s">
        <v>22</v>
      </c>
      <c r="B305" s="146"/>
      <c r="C305" s="99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45"/>
      <c r="AA305" s="63"/>
      <c r="AB305" s="63"/>
    </row>
    <row r="306" spans="1:28" ht="15.75" x14ac:dyDescent="0.25">
      <c r="A306" s="55" t="s">
        <v>223</v>
      </c>
      <c r="B306" s="146"/>
      <c r="C306" s="99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45"/>
      <c r="AA306" s="63"/>
      <c r="AB306" s="63"/>
    </row>
    <row r="307" spans="1:28" ht="15.75" x14ac:dyDescent="0.25">
      <c r="A307" s="55" t="s">
        <v>143</v>
      </c>
      <c r="B307" s="145">
        <f>B308+B309</f>
        <v>0</v>
      </c>
      <c r="C307" s="99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45"/>
      <c r="AA307" s="63"/>
      <c r="AB307" s="63"/>
    </row>
    <row r="308" spans="1:28" ht="15.75" x14ac:dyDescent="0.25">
      <c r="A308" s="55" t="s">
        <v>144</v>
      </c>
      <c r="B308" s="146"/>
      <c r="C308" s="99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45"/>
      <c r="AA308" s="63"/>
      <c r="AB308" s="63"/>
    </row>
    <row r="309" spans="1:28" ht="15.75" x14ac:dyDescent="0.25">
      <c r="A309" s="55" t="s">
        <v>224</v>
      </c>
      <c r="B309" s="146"/>
      <c r="C309" s="99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45"/>
      <c r="AA309" s="63"/>
      <c r="AB309" s="63"/>
    </row>
    <row r="310" spans="1:28" ht="15.75" x14ac:dyDescent="0.25">
      <c r="A310" s="55" t="s">
        <v>145</v>
      </c>
      <c r="B310" s="148"/>
      <c r="C310" s="99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45"/>
      <c r="AA310" s="63"/>
      <c r="AB310" s="63"/>
    </row>
    <row r="311" spans="1:28" ht="15.75" x14ac:dyDescent="0.25">
      <c r="A311" s="60" t="s">
        <v>146</v>
      </c>
      <c r="B311" s="145"/>
      <c r="C311" s="99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45"/>
      <c r="AA311" s="63"/>
      <c r="AB311" s="63"/>
    </row>
    <row r="312" spans="1:28" ht="15.75" x14ac:dyDescent="0.25">
      <c r="A312" s="55" t="s">
        <v>147</v>
      </c>
      <c r="B312" s="146"/>
      <c r="C312" s="99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45"/>
      <c r="AA312" s="63"/>
      <c r="AB312" s="63"/>
    </row>
    <row r="313" spans="1:28" ht="25.5" x14ac:dyDescent="0.25">
      <c r="A313" s="61" t="s">
        <v>230</v>
      </c>
      <c r="B313" s="147"/>
      <c r="C313" s="99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45"/>
      <c r="AA313" s="63"/>
      <c r="AB313" s="63"/>
    </row>
    <row r="314" spans="1:28" ht="15.75" x14ac:dyDescent="0.25">
      <c r="A314" s="57" t="s">
        <v>148</v>
      </c>
      <c r="B314" s="149"/>
      <c r="C314" s="99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45"/>
      <c r="AA314" s="63"/>
      <c r="AB314" s="63"/>
    </row>
    <row r="315" spans="1:28" ht="26.25" x14ac:dyDescent="0.25">
      <c r="A315" s="76" t="s">
        <v>356</v>
      </c>
      <c r="B315" s="151"/>
      <c r="C315" s="99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45"/>
      <c r="AA315" s="63"/>
      <c r="AB315" s="63"/>
    </row>
    <row r="316" spans="1:28" ht="15.75" x14ac:dyDescent="0.25">
      <c r="A316" s="57" t="s">
        <v>149</v>
      </c>
      <c r="B316" s="148"/>
      <c r="C316" s="99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45"/>
      <c r="AA316" s="63"/>
      <c r="AB316" s="63"/>
    </row>
    <row r="317" spans="1:28" ht="15.75" x14ac:dyDescent="0.25">
      <c r="A317" s="55" t="s">
        <v>357</v>
      </c>
      <c r="B317" s="145">
        <f>B318+B319</f>
        <v>0</v>
      </c>
      <c r="C317" s="99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45"/>
      <c r="AA317" s="63"/>
      <c r="AB317" s="63"/>
    </row>
    <row r="318" spans="1:28" ht="15.75" x14ac:dyDescent="0.25">
      <c r="A318" s="55" t="s">
        <v>22</v>
      </c>
      <c r="B318" s="146"/>
      <c r="C318" s="99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45"/>
      <c r="AA318" s="63"/>
      <c r="AB318" s="63"/>
    </row>
    <row r="319" spans="1:28" ht="15.75" x14ac:dyDescent="0.25">
      <c r="A319" s="55" t="s">
        <v>223</v>
      </c>
      <c r="B319" s="146"/>
      <c r="C319" s="99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45"/>
      <c r="AA319" s="63"/>
      <c r="AB319" s="63"/>
    </row>
    <row r="320" spans="1:28" s="267" customFormat="1" ht="18.75" customHeight="1" x14ac:dyDescent="0.2">
      <c r="A320" s="268" t="s">
        <v>444</v>
      </c>
      <c r="B320" s="270"/>
      <c r="C320" s="263"/>
      <c r="D320" s="264"/>
      <c r="E320" s="264"/>
      <c r="F320" s="264"/>
      <c r="G320" s="264"/>
      <c r="H320" s="264"/>
      <c r="I320" s="264"/>
      <c r="J320" s="264"/>
      <c r="K320" s="264"/>
      <c r="L320" s="264"/>
      <c r="M320" s="264"/>
      <c r="N320" s="264"/>
      <c r="O320" s="264"/>
      <c r="P320" s="264"/>
      <c r="Q320" s="264"/>
      <c r="R320" s="264"/>
      <c r="S320" s="264"/>
      <c r="T320" s="264"/>
      <c r="U320" s="264"/>
      <c r="V320" s="264"/>
      <c r="W320" s="264"/>
      <c r="X320" s="264"/>
      <c r="Y320" s="264"/>
      <c r="Z320" s="265"/>
      <c r="AA320" s="266"/>
      <c r="AB320" s="266"/>
    </row>
    <row r="321" spans="1:28" s="267" customFormat="1" ht="18.75" customHeight="1" x14ac:dyDescent="0.2">
      <c r="A321" s="269" t="s">
        <v>446</v>
      </c>
      <c r="B321" s="152"/>
      <c r="C321" s="263"/>
      <c r="D321" s="264"/>
      <c r="E321" s="264"/>
      <c r="F321" s="264"/>
      <c r="G321" s="264"/>
      <c r="H321" s="264"/>
      <c r="I321" s="264"/>
      <c r="J321" s="264"/>
      <c r="K321" s="264"/>
      <c r="L321" s="264"/>
      <c r="M321" s="264"/>
      <c r="N321" s="264"/>
      <c r="O321" s="264"/>
      <c r="P321" s="264"/>
      <c r="Q321" s="264"/>
      <c r="R321" s="264"/>
      <c r="S321" s="264"/>
      <c r="T321" s="264"/>
      <c r="U321" s="264"/>
      <c r="V321" s="264"/>
      <c r="W321" s="264"/>
      <c r="X321" s="264"/>
      <c r="Y321" s="264"/>
      <c r="Z321" s="265"/>
      <c r="AA321" s="266"/>
      <c r="AB321" s="266"/>
    </row>
    <row r="322" spans="1:28" s="267" customFormat="1" ht="18.75" customHeight="1" x14ac:dyDescent="0.2">
      <c r="A322" s="269" t="s">
        <v>447</v>
      </c>
      <c r="B322" s="148"/>
      <c r="C322" s="263"/>
      <c r="D322" s="264"/>
      <c r="E322" s="264"/>
      <c r="F322" s="264"/>
      <c r="G322" s="264"/>
      <c r="H322" s="264"/>
      <c r="I322" s="264"/>
      <c r="J322" s="264"/>
      <c r="K322" s="264"/>
      <c r="L322" s="264"/>
      <c r="M322" s="264"/>
      <c r="N322" s="264"/>
      <c r="O322" s="264"/>
      <c r="P322" s="264"/>
      <c r="Q322" s="264"/>
      <c r="R322" s="264"/>
      <c r="S322" s="264"/>
      <c r="T322" s="264"/>
      <c r="U322" s="264"/>
      <c r="V322" s="264"/>
      <c r="W322" s="264"/>
      <c r="X322" s="264"/>
      <c r="Y322" s="264"/>
      <c r="Z322" s="265"/>
      <c r="AA322" s="266"/>
      <c r="AB322" s="266"/>
    </row>
    <row r="323" spans="1:28" ht="30" customHeight="1" x14ac:dyDescent="0.25">
      <c r="A323" s="268" t="s">
        <v>445</v>
      </c>
      <c r="B323" s="146"/>
      <c r="C323" s="99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45"/>
      <c r="AA323" s="63"/>
      <c r="AB323" s="63"/>
    </row>
    <row r="324" spans="1:28" ht="15.75" x14ac:dyDescent="0.25">
      <c r="A324" s="52"/>
      <c r="B324" s="50"/>
      <c r="C324" s="99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45"/>
      <c r="AA324" s="63"/>
      <c r="AB324" s="63"/>
    </row>
    <row r="325" spans="1:28" ht="15.75" x14ac:dyDescent="0.25">
      <c r="A325" s="53"/>
      <c r="B325" s="50"/>
      <c r="C325" s="99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45"/>
      <c r="AA325" s="63"/>
      <c r="AB325" s="63"/>
    </row>
    <row r="326" spans="1:28" ht="15.75" x14ac:dyDescent="0.25">
      <c r="A326" s="41"/>
      <c r="B326" s="42"/>
      <c r="C326" s="99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45"/>
      <c r="AA326" s="63"/>
      <c r="AB326" s="63"/>
    </row>
  </sheetData>
  <sheetProtection sheet="1" objects="1" scenarios="1" selectLockedCells="1"/>
  <mergeCells count="2">
    <mergeCell ref="E11:F11"/>
    <mergeCell ref="F15:P15"/>
  </mergeCells>
  <dataValidations count="8">
    <dataValidation type="whole" allowBlank="1" showInputMessage="1" showErrorMessage="1" sqref="B175 D174:Y216 B177:B217 C175:C217 C318:C319">
      <formula1>0</formula1>
      <formula2>100000000000000000000</formula2>
    </dataValidation>
    <dataValidation type="whole" allowBlank="1" showInputMessage="1" showErrorMessage="1" sqref="B277:B319 C278:C317 D300:Y319 D323:Y326 B321:B323">
      <formula1>0</formula1>
      <formula2>1E+24</formula2>
    </dataValidation>
    <dataValidation type="whole" allowBlank="1" showInputMessage="1" showErrorMessage="1" sqref="D264:Y299 C276:C277 B276 D320:Y322">
      <formula1>0</formula1>
      <formula2>100000000000000000</formula2>
    </dataValidation>
    <dataValidation type="whole" allowBlank="1" showInputMessage="1" showErrorMessage="1" sqref="D38:D55 G16:P67 B15:C70 D19:D36 Q19:Q36 R15:Z67 Q38:Q55 D57:D74 Q57:Q74 Z68:Z326">
      <formula1>0</formula1>
      <formula2>1E+22</formula2>
    </dataValidation>
    <dataValidation type="whole" allowBlank="1" showInputMessage="1" showErrorMessage="1" sqref="D217:Y263 D120:Y173 B176 B218:C275 B123:C174 C320:C322">
      <formula1>0</formula1>
      <formula2>1000000000000000000</formula2>
    </dataValidation>
    <dataValidation type="whole" allowBlank="1" showInputMessage="1" showErrorMessage="1" sqref="G68:P119 R68:Y119 D75:F119 Q75:Q119 B71:C122">
      <formula1>0</formula1>
      <formula2>10000000000000000000</formula2>
    </dataValidation>
    <dataValidation allowBlank="1" showInputMessage="1" showErrorMessage="1" prompt="Limit your input in a maximum of 80 characters per bullet." sqref="F13:F14"/>
    <dataValidation allowBlank="1" showInputMessage="1" showErrorMessage="1" prompt="Limit your input in a maximum of 70 characters per bullet." sqref="F17:F74"/>
  </dataValidations>
  <pageMargins left="0.7" right="0.7" top="0.75" bottom="0.75" header="0.3" footer="0.3"/>
  <pageSetup paperSize="768"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D326"/>
  <sheetViews>
    <sheetView workbookViewId="0">
      <pane ySplit="13" topLeftCell="A313" activePane="bottomLeft" state="frozen"/>
      <selection pane="bottomLeft" activeCell="B321" sqref="B321"/>
    </sheetView>
  </sheetViews>
  <sheetFormatPr defaultRowHeight="12.75" x14ac:dyDescent="0.2"/>
  <cols>
    <col min="1" max="1" width="39.140625" style="1" customWidth="1"/>
    <col min="2" max="2" width="36.42578125" style="31" customWidth="1"/>
    <col min="3" max="3" width="7.28515625" style="100" customWidth="1"/>
    <col min="4" max="4" width="3.28515625" style="65" customWidth="1"/>
    <col min="5" max="5" width="1.85546875" style="65" customWidth="1"/>
    <col min="6" max="6" width="8.42578125" style="65" customWidth="1"/>
    <col min="7" max="16" width="9.140625" style="65"/>
    <col min="17" max="17" width="2.7109375" style="65" customWidth="1"/>
    <col min="18" max="28" width="9.140625" style="65"/>
  </cols>
  <sheetData>
    <row r="1" spans="1:30" x14ac:dyDescent="0.2">
      <c r="A1" s="13"/>
      <c r="B1" s="29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63"/>
      <c r="AB1" s="63"/>
    </row>
    <row r="2" spans="1:30" x14ac:dyDescent="0.2">
      <c r="A2" s="13"/>
      <c r="B2" s="29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63"/>
      <c r="AB2" s="63"/>
    </row>
    <row r="3" spans="1:30" x14ac:dyDescent="0.2">
      <c r="A3" s="13"/>
      <c r="B3" s="29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63"/>
      <c r="AB3" s="63"/>
    </row>
    <row r="4" spans="1:30" x14ac:dyDescent="0.2">
      <c r="A4" s="13"/>
      <c r="B4" s="29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63"/>
      <c r="AB4" s="63"/>
    </row>
    <row r="5" spans="1:30" x14ac:dyDescent="0.2">
      <c r="A5" s="13"/>
      <c r="B5" s="29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63"/>
      <c r="AB5" s="63"/>
    </row>
    <row r="6" spans="1:30" x14ac:dyDescent="0.2">
      <c r="A6" s="13"/>
      <c r="B6" s="2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63"/>
      <c r="AB6" s="63"/>
    </row>
    <row r="7" spans="1:30" x14ac:dyDescent="0.2">
      <c r="A7" s="13"/>
      <c r="B7" s="29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63"/>
      <c r="AB7" s="63"/>
    </row>
    <row r="8" spans="1:30" x14ac:dyDescent="0.2">
      <c r="A8" s="13"/>
      <c r="B8" s="29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63"/>
      <c r="AB8" s="63"/>
    </row>
    <row r="9" spans="1:30" x14ac:dyDescent="0.2">
      <c r="A9" s="14"/>
      <c r="B9" s="29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63"/>
      <c r="AB9" s="63"/>
    </row>
    <row r="10" spans="1:30" x14ac:dyDescent="0.2">
      <c r="A10" s="15"/>
      <c r="B10" s="29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63"/>
      <c r="AB10" s="63"/>
    </row>
    <row r="11" spans="1:30" ht="15.75" x14ac:dyDescent="0.25">
      <c r="A11" s="5" t="s">
        <v>0</v>
      </c>
      <c r="B11" s="12" t="s">
        <v>177</v>
      </c>
      <c r="C11" s="17"/>
      <c r="D11" s="17"/>
      <c r="E11" s="325"/>
      <c r="F11" s="325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63"/>
      <c r="AB11" s="63"/>
      <c r="AC11" s="3"/>
      <c r="AD11" s="3"/>
    </row>
    <row r="12" spans="1:30" x14ac:dyDescent="0.2">
      <c r="A12" s="48" t="s">
        <v>1</v>
      </c>
      <c r="B12" s="11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25"/>
      <c r="AA12" s="63"/>
      <c r="AB12" s="63"/>
    </row>
    <row r="13" spans="1:30" x14ac:dyDescent="0.2">
      <c r="A13" s="73" t="s">
        <v>3</v>
      </c>
      <c r="B13" s="77"/>
      <c r="C13" s="19"/>
      <c r="D13" s="19"/>
      <c r="E13" s="70"/>
      <c r="F13" s="70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63"/>
      <c r="AB13" s="63"/>
    </row>
    <row r="14" spans="1:30" x14ac:dyDescent="0.2">
      <c r="A14" s="51" t="s">
        <v>4</v>
      </c>
      <c r="B14" s="49"/>
      <c r="C14" s="98"/>
      <c r="D14" s="19"/>
      <c r="E14" s="70"/>
      <c r="F14" s="70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63"/>
      <c r="AB14" s="63"/>
    </row>
    <row r="15" spans="1:30" ht="15.75" x14ac:dyDescent="0.25">
      <c r="A15" s="47" t="s">
        <v>23</v>
      </c>
      <c r="B15" s="145">
        <f>B16+B23+B30+B33+B40+B43</f>
        <v>0</v>
      </c>
      <c r="C15" s="99"/>
      <c r="D15" s="69"/>
      <c r="E15" s="69"/>
      <c r="F15" s="326" t="s">
        <v>227</v>
      </c>
      <c r="G15" s="326"/>
      <c r="H15" s="326"/>
      <c r="I15" s="326"/>
      <c r="J15" s="326"/>
      <c r="K15" s="326"/>
      <c r="L15" s="326"/>
      <c r="M15" s="326"/>
      <c r="N15" s="326"/>
      <c r="O15" s="326"/>
      <c r="P15" s="326"/>
      <c r="Q15" s="69"/>
      <c r="R15" s="16"/>
      <c r="S15" s="16"/>
      <c r="T15" s="16"/>
      <c r="U15" s="16"/>
      <c r="V15" s="16"/>
      <c r="W15" s="16"/>
      <c r="X15" s="16"/>
      <c r="Y15" s="16"/>
      <c r="Z15" s="45"/>
      <c r="AA15" s="63"/>
      <c r="AB15" s="63"/>
    </row>
    <row r="16" spans="1:30" ht="15.75" x14ac:dyDescent="0.25">
      <c r="A16" s="46" t="s">
        <v>24</v>
      </c>
      <c r="B16" s="145">
        <f>B17+B20</f>
        <v>0</v>
      </c>
      <c r="C16" s="99"/>
      <c r="D16" s="66"/>
      <c r="E16" s="18"/>
      <c r="F16" s="18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66"/>
      <c r="R16" s="16"/>
      <c r="S16" s="16"/>
      <c r="T16" s="16"/>
      <c r="U16" s="16"/>
      <c r="V16" s="16"/>
      <c r="W16" s="16"/>
      <c r="X16" s="16"/>
      <c r="Y16" s="16"/>
      <c r="Z16" s="45"/>
      <c r="AA16" s="63"/>
      <c r="AB16" s="63"/>
    </row>
    <row r="17" spans="1:28" ht="15.75" x14ac:dyDescent="0.25">
      <c r="A17" s="2" t="s">
        <v>25</v>
      </c>
      <c r="B17" s="145">
        <f>B18+B19</f>
        <v>0</v>
      </c>
      <c r="C17" s="99"/>
      <c r="D17" s="67"/>
      <c r="E17" s="70" t="s">
        <v>228</v>
      </c>
      <c r="F17" s="161" t="s">
        <v>358</v>
      </c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67"/>
      <c r="R17" s="16"/>
      <c r="S17" s="16"/>
      <c r="T17" s="16"/>
      <c r="U17" s="16"/>
      <c r="V17" s="16"/>
      <c r="W17" s="16"/>
      <c r="X17" s="16"/>
      <c r="Y17" s="16"/>
      <c r="Z17" s="45"/>
      <c r="AA17" s="63"/>
      <c r="AB17" s="63"/>
    </row>
    <row r="18" spans="1:28" ht="15.75" x14ac:dyDescent="0.25">
      <c r="A18" s="2" t="s">
        <v>26</v>
      </c>
      <c r="B18" s="146"/>
      <c r="C18" s="99"/>
      <c r="D18" s="67"/>
      <c r="E18" s="70" t="s">
        <v>228</v>
      </c>
      <c r="F18" s="72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67"/>
      <c r="R18" s="16"/>
      <c r="S18" s="16"/>
      <c r="T18" s="16"/>
      <c r="U18" s="16"/>
      <c r="V18" s="16"/>
      <c r="W18" s="16"/>
      <c r="X18" s="16"/>
      <c r="Y18" s="16"/>
      <c r="Z18" s="45"/>
      <c r="AA18" s="63"/>
      <c r="AB18" s="63"/>
    </row>
    <row r="19" spans="1:28" ht="15.75" x14ac:dyDescent="0.25">
      <c r="A19" s="2" t="s">
        <v>182</v>
      </c>
      <c r="B19" s="146"/>
      <c r="C19" s="99"/>
      <c r="D19" s="68"/>
      <c r="E19" s="71" t="s">
        <v>228</v>
      </c>
      <c r="F19" s="44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68"/>
      <c r="R19" s="16"/>
      <c r="S19" s="16"/>
      <c r="T19" s="16"/>
      <c r="U19" s="16"/>
      <c r="V19" s="16"/>
      <c r="W19" s="16"/>
      <c r="X19" s="16"/>
      <c r="Y19" s="16"/>
      <c r="Z19" s="45"/>
      <c r="AA19" s="63"/>
      <c r="AB19" s="63"/>
    </row>
    <row r="20" spans="1:28" ht="15.75" x14ac:dyDescent="0.25">
      <c r="A20" s="2" t="s">
        <v>6</v>
      </c>
      <c r="B20" s="145">
        <f>B21+B22</f>
        <v>0</v>
      </c>
      <c r="C20" s="99"/>
      <c r="D20" s="68"/>
      <c r="E20" s="71" t="s">
        <v>228</v>
      </c>
      <c r="F20" s="44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68"/>
      <c r="R20" s="16"/>
      <c r="S20" s="16"/>
      <c r="T20" s="16"/>
      <c r="U20" s="16"/>
      <c r="V20" s="16"/>
      <c r="W20" s="16"/>
      <c r="X20" s="16"/>
      <c r="Y20" s="16"/>
      <c r="Z20" s="45"/>
      <c r="AA20" s="63"/>
      <c r="AB20" s="63"/>
    </row>
    <row r="21" spans="1:28" ht="15.75" x14ac:dyDescent="0.25">
      <c r="A21" s="2" t="s">
        <v>27</v>
      </c>
      <c r="B21" s="146"/>
      <c r="C21" s="99"/>
      <c r="D21" s="68"/>
      <c r="E21" s="71" t="s">
        <v>228</v>
      </c>
      <c r="F21" s="44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68"/>
      <c r="R21" s="16"/>
      <c r="S21" s="16"/>
      <c r="T21" s="16"/>
      <c r="U21" s="16"/>
      <c r="V21" s="16"/>
      <c r="W21" s="16"/>
      <c r="X21" s="16"/>
      <c r="Y21" s="16"/>
      <c r="Z21" s="45"/>
      <c r="AA21" s="63"/>
      <c r="AB21" s="63"/>
    </row>
    <row r="22" spans="1:28" ht="15.75" x14ac:dyDescent="0.25">
      <c r="A22" s="2" t="s">
        <v>183</v>
      </c>
      <c r="B22" s="146"/>
      <c r="C22" s="99"/>
      <c r="D22" s="68"/>
      <c r="E22" s="16" t="s">
        <v>228</v>
      </c>
      <c r="F22" s="44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68"/>
      <c r="R22" s="16"/>
      <c r="S22" s="16"/>
      <c r="T22" s="16"/>
      <c r="U22" s="16"/>
      <c r="V22" s="16"/>
      <c r="W22" s="16"/>
      <c r="X22" s="16"/>
      <c r="Y22" s="16"/>
      <c r="Z22" s="45"/>
      <c r="AA22" s="63"/>
      <c r="AB22" s="63"/>
    </row>
    <row r="23" spans="1:28" ht="15.75" x14ac:dyDescent="0.25">
      <c r="A23" s="46" t="s">
        <v>28</v>
      </c>
      <c r="B23" s="145">
        <f>B24+B27</f>
        <v>0</v>
      </c>
      <c r="C23" s="99"/>
      <c r="D23" s="68"/>
      <c r="E23" s="16" t="s">
        <v>228</v>
      </c>
      <c r="F23" s="44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68"/>
      <c r="R23" s="16"/>
      <c r="S23" s="16"/>
      <c r="T23" s="16"/>
      <c r="U23" s="16"/>
      <c r="V23" s="16"/>
      <c r="W23" s="16"/>
      <c r="X23" s="16"/>
      <c r="Y23" s="16"/>
      <c r="Z23" s="45"/>
      <c r="AA23" s="63"/>
      <c r="AB23" s="63"/>
    </row>
    <row r="24" spans="1:28" ht="15.75" x14ac:dyDescent="0.25">
      <c r="A24" s="2" t="s">
        <v>29</v>
      </c>
      <c r="B24" s="145">
        <f>B25+B26</f>
        <v>0</v>
      </c>
      <c r="C24" s="99"/>
      <c r="D24" s="68"/>
      <c r="E24" s="16" t="s">
        <v>228</v>
      </c>
      <c r="F24" s="44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68"/>
      <c r="R24" s="16"/>
      <c r="S24" s="16"/>
      <c r="T24" s="16"/>
      <c r="U24" s="16"/>
      <c r="V24" s="16"/>
      <c r="W24" s="16"/>
      <c r="X24" s="16"/>
      <c r="Y24" s="16"/>
      <c r="Z24" s="45"/>
      <c r="AA24" s="63"/>
      <c r="AB24" s="63"/>
    </row>
    <row r="25" spans="1:28" ht="15.75" x14ac:dyDescent="0.25">
      <c r="A25" s="2" t="s">
        <v>30</v>
      </c>
      <c r="B25" s="146"/>
      <c r="C25" s="99"/>
      <c r="D25" s="68"/>
      <c r="E25" s="16" t="s">
        <v>228</v>
      </c>
      <c r="F25" s="44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68"/>
      <c r="R25" s="16"/>
      <c r="S25" s="16"/>
      <c r="T25" s="16"/>
      <c r="U25" s="16"/>
      <c r="V25" s="16"/>
      <c r="W25" s="16"/>
      <c r="X25" s="16"/>
      <c r="Y25" s="16"/>
      <c r="Z25" s="45"/>
      <c r="AA25" s="63"/>
      <c r="AB25" s="63"/>
    </row>
    <row r="26" spans="1:28" ht="15.75" x14ac:dyDescent="0.25">
      <c r="A26" s="2" t="s">
        <v>184</v>
      </c>
      <c r="B26" s="146"/>
      <c r="C26" s="99"/>
      <c r="D26" s="68"/>
      <c r="E26" s="16" t="s">
        <v>228</v>
      </c>
      <c r="F26" s="44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68"/>
      <c r="R26" s="16"/>
      <c r="S26" s="16"/>
      <c r="T26" s="16"/>
      <c r="U26" s="16"/>
      <c r="V26" s="16"/>
      <c r="W26" s="16"/>
      <c r="X26" s="16"/>
      <c r="Y26" s="16"/>
      <c r="Z26" s="45"/>
      <c r="AA26" s="63"/>
      <c r="AB26" s="63"/>
    </row>
    <row r="27" spans="1:28" ht="15.75" x14ac:dyDescent="0.25">
      <c r="A27" s="2" t="s">
        <v>31</v>
      </c>
      <c r="B27" s="145">
        <f>B28+B29</f>
        <v>0</v>
      </c>
      <c r="C27" s="99"/>
      <c r="D27" s="68"/>
      <c r="E27" s="16" t="s">
        <v>228</v>
      </c>
      <c r="F27" s="44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68"/>
      <c r="R27" s="16"/>
      <c r="S27" s="16"/>
      <c r="T27" s="16"/>
      <c r="U27" s="16"/>
      <c r="V27" s="16"/>
      <c r="W27" s="16"/>
      <c r="X27" s="16"/>
      <c r="Y27" s="16"/>
      <c r="Z27" s="45"/>
      <c r="AA27" s="63"/>
      <c r="AB27" s="63"/>
    </row>
    <row r="28" spans="1:28" ht="15.75" x14ac:dyDescent="0.25">
      <c r="A28" s="2" t="s">
        <v>32</v>
      </c>
      <c r="B28" s="146"/>
      <c r="C28" s="99"/>
      <c r="D28" s="68"/>
      <c r="E28" s="16" t="s">
        <v>228</v>
      </c>
      <c r="F28" s="44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68"/>
      <c r="R28" s="16"/>
      <c r="S28" s="16"/>
      <c r="T28" s="16"/>
      <c r="U28" s="16"/>
      <c r="V28" s="16"/>
      <c r="W28" s="16"/>
      <c r="X28" s="16"/>
      <c r="Y28" s="16"/>
      <c r="Z28" s="45"/>
      <c r="AA28" s="63"/>
      <c r="AB28" s="63"/>
    </row>
    <row r="29" spans="1:28" ht="15.75" x14ac:dyDescent="0.25">
      <c r="A29" s="2" t="s">
        <v>185</v>
      </c>
      <c r="B29" s="146"/>
      <c r="C29" s="99"/>
      <c r="D29" s="68"/>
      <c r="E29" s="16" t="s">
        <v>228</v>
      </c>
      <c r="F29" s="44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68"/>
      <c r="R29" s="16"/>
      <c r="S29" s="16"/>
      <c r="T29" s="16"/>
      <c r="U29" s="16"/>
      <c r="V29" s="16"/>
      <c r="W29" s="16"/>
      <c r="X29" s="16"/>
      <c r="Y29" s="16"/>
      <c r="Z29" s="45"/>
      <c r="AA29" s="63"/>
      <c r="AB29" s="63"/>
    </row>
    <row r="30" spans="1:28" ht="15.75" x14ac:dyDescent="0.25">
      <c r="A30" s="46" t="s">
        <v>33</v>
      </c>
      <c r="B30" s="145">
        <f>B31+B32</f>
        <v>0</v>
      </c>
      <c r="C30" s="99"/>
      <c r="D30" s="68"/>
      <c r="E30" s="16" t="s">
        <v>228</v>
      </c>
      <c r="F30" s="44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68"/>
      <c r="R30" s="16"/>
      <c r="S30" s="16"/>
      <c r="T30" s="16"/>
      <c r="U30" s="16"/>
      <c r="V30" s="16"/>
      <c r="W30" s="16"/>
      <c r="X30" s="16"/>
      <c r="Y30" s="16"/>
      <c r="Z30" s="45"/>
      <c r="AA30" s="63"/>
      <c r="AB30" s="63"/>
    </row>
    <row r="31" spans="1:28" ht="15.75" x14ac:dyDescent="0.25">
      <c r="A31" s="2" t="s">
        <v>34</v>
      </c>
      <c r="B31" s="146"/>
      <c r="C31" s="99"/>
      <c r="D31" s="68"/>
      <c r="E31" s="16" t="s">
        <v>228</v>
      </c>
      <c r="F31" s="44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68"/>
      <c r="R31" s="16"/>
      <c r="S31" s="16"/>
      <c r="T31" s="16"/>
      <c r="U31" s="16"/>
      <c r="V31" s="16"/>
      <c r="W31" s="16"/>
      <c r="X31" s="16"/>
      <c r="Y31" s="16"/>
      <c r="Z31" s="45"/>
      <c r="AA31" s="63"/>
      <c r="AB31" s="63"/>
    </row>
    <row r="32" spans="1:28" ht="15.75" x14ac:dyDescent="0.25">
      <c r="A32" s="2" t="s">
        <v>186</v>
      </c>
      <c r="B32" s="146"/>
      <c r="C32" s="99"/>
      <c r="D32" s="68"/>
      <c r="E32" s="16" t="s">
        <v>228</v>
      </c>
      <c r="F32" s="44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68"/>
      <c r="R32" s="16"/>
      <c r="S32" s="16"/>
      <c r="T32" s="16"/>
      <c r="U32" s="16"/>
      <c r="V32" s="16"/>
      <c r="W32" s="16"/>
      <c r="X32" s="16"/>
      <c r="Y32" s="16"/>
      <c r="Z32" s="45"/>
      <c r="AA32" s="63"/>
      <c r="AB32" s="63"/>
    </row>
    <row r="33" spans="1:28" ht="15.75" x14ac:dyDescent="0.25">
      <c r="A33" s="46" t="s">
        <v>35</v>
      </c>
      <c r="B33" s="145">
        <f>B34+B37</f>
        <v>0</v>
      </c>
      <c r="C33" s="99"/>
      <c r="D33" s="68"/>
      <c r="E33" s="16" t="s">
        <v>228</v>
      </c>
      <c r="F33" s="44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68"/>
      <c r="R33" s="16"/>
      <c r="S33" s="16"/>
      <c r="T33" s="16"/>
      <c r="U33" s="16"/>
      <c r="V33" s="16"/>
      <c r="W33" s="16"/>
      <c r="X33" s="16"/>
      <c r="Y33" s="16"/>
      <c r="Z33" s="45"/>
      <c r="AA33" s="63"/>
      <c r="AB33" s="63"/>
    </row>
    <row r="34" spans="1:28" ht="15.75" x14ac:dyDescent="0.25">
      <c r="A34" s="2" t="s">
        <v>36</v>
      </c>
      <c r="B34" s="145">
        <f>B35+B36</f>
        <v>0</v>
      </c>
      <c r="C34" s="99"/>
      <c r="D34" s="68"/>
      <c r="E34" s="16" t="s">
        <v>228</v>
      </c>
      <c r="F34" s="44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68"/>
      <c r="R34" s="16"/>
      <c r="S34" s="16"/>
      <c r="T34" s="16"/>
      <c r="U34" s="16"/>
      <c r="V34" s="16"/>
      <c r="W34" s="16"/>
      <c r="X34" s="16"/>
      <c r="Y34" s="16"/>
      <c r="Z34" s="45"/>
      <c r="AA34" s="63"/>
      <c r="AB34" s="63"/>
    </row>
    <row r="35" spans="1:28" ht="15.75" x14ac:dyDescent="0.25">
      <c r="A35" s="2" t="s">
        <v>37</v>
      </c>
      <c r="B35" s="146"/>
      <c r="C35" s="99"/>
      <c r="D35" s="68"/>
      <c r="E35" s="16" t="s">
        <v>228</v>
      </c>
      <c r="F35" s="44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68"/>
      <c r="R35" s="16"/>
      <c r="S35" s="16"/>
      <c r="T35" s="16"/>
      <c r="U35" s="16"/>
      <c r="V35" s="16"/>
      <c r="W35" s="16"/>
      <c r="X35" s="16"/>
      <c r="Y35" s="16"/>
      <c r="Z35" s="45"/>
      <c r="AA35" s="63"/>
      <c r="AB35" s="63"/>
    </row>
    <row r="36" spans="1:28" ht="15.75" x14ac:dyDescent="0.25">
      <c r="A36" s="2" t="s">
        <v>187</v>
      </c>
      <c r="B36" s="146"/>
      <c r="C36" s="99"/>
      <c r="D36" s="68"/>
      <c r="E36" s="16" t="s">
        <v>228</v>
      </c>
      <c r="F36" s="44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68"/>
      <c r="R36" s="16"/>
      <c r="S36" s="16"/>
      <c r="T36" s="16"/>
      <c r="U36" s="16"/>
      <c r="V36" s="16"/>
      <c r="W36" s="16"/>
      <c r="X36" s="16"/>
      <c r="Y36" s="16"/>
      <c r="Z36" s="45"/>
      <c r="AA36" s="63"/>
      <c r="AB36" s="63"/>
    </row>
    <row r="37" spans="1:28" ht="15.75" x14ac:dyDescent="0.25">
      <c r="A37" s="2" t="s">
        <v>38</v>
      </c>
      <c r="B37" s="145">
        <f>B38+B39</f>
        <v>0</v>
      </c>
      <c r="C37" s="99"/>
      <c r="D37" s="67"/>
      <c r="E37" s="70" t="s">
        <v>228</v>
      </c>
      <c r="F37" s="72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67"/>
      <c r="R37" s="16"/>
      <c r="S37" s="16"/>
      <c r="T37" s="16"/>
      <c r="U37" s="16"/>
      <c r="V37" s="16"/>
      <c r="W37" s="16"/>
      <c r="X37" s="16"/>
      <c r="Y37" s="16"/>
      <c r="Z37" s="45"/>
      <c r="AA37" s="63"/>
      <c r="AB37" s="63"/>
    </row>
    <row r="38" spans="1:28" ht="15.75" x14ac:dyDescent="0.25">
      <c r="A38" s="2" t="s">
        <v>39</v>
      </c>
      <c r="B38" s="146"/>
      <c r="C38" s="99"/>
      <c r="D38" s="68"/>
      <c r="E38" s="71" t="s">
        <v>228</v>
      </c>
      <c r="F38" s="44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68"/>
      <c r="R38" s="16"/>
      <c r="S38" s="16"/>
      <c r="T38" s="16"/>
      <c r="U38" s="16"/>
      <c r="V38" s="16"/>
      <c r="W38" s="16"/>
      <c r="X38" s="16"/>
      <c r="Y38" s="16"/>
      <c r="Z38" s="45"/>
      <c r="AA38" s="63"/>
      <c r="AB38" s="63"/>
    </row>
    <row r="39" spans="1:28" ht="15.75" x14ac:dyDescent="0.25">
      <c r="A39" s="2" t="s">
        <v>188</v>
      </c>
      <c r="B39" s="146"/>
      <c r="C39" s="99"/>
      <c r="D39" s="68"/>
      <c r="E39" s="71" t="s">
        <v>228</v>
      </c>
      <c r="F39" s="44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68"/>
      <c r="R39" s="16"/>
      <c r="S39" s="16"/>
      <c r="T39" s="16"/>
      <c r="U39" s="16"/>
      <c r="V39" s="16"/>
      <c r="W39" s="16"/>
      <c r="X39" s="16"/>
      <c r="Y39" s="16"/>
      <c r="Z39" s="45"/>
      <c r="AA39" s="63"/>
      <c r="AB39" s="63"/>
    </row>
    <row r="40" spans="1:28" ht="15.75" x14ac:dyDescent="0.25">
      <c r="A40" s="46" t="s">
        <v>279</v>
      </c>
      <c r="B40" s="145">
        <f>B41+B42</f>
        <v>0</v>
      </c>
      <c r="C40" s="99"/>
      <c r="D40" s="68"/>
      <c r="E40" s="71" t="s">
        <v>228</v>
      </c>
      <c r="F40" s="44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68"/>
      <c r="R40" s="16"/>
      <c r="S40" s="16"/>
      <c r="T40" s="16"/>
      <c r="U40" s="16"/>
      <c r="V40" s="16"/>
      <c r="W40" s="16"/>
      <c r="X40" s="16"/>
      <c r="Y40" s="16"/>
      <c r="Z40" s="45"/>
      <c r="AA40" s="63"/>
      <c r="AB40" s="63"/>
    </row>
    <row r="41" spans="1:28" ht="15.75" x14ac:dyDescent="0.25">
      <c r="A41" s="2" t="s">
        <v>317</v>
      </c>
      <c r="B41" s="146"/>
      <c r="C41" s="99"/>
      <c r="D41" s="68"/>
      <c r="E41" s="16" t="s">
        <v>228</v>
      </c>
      <c r="F41" s="44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68"/>
      <c r="R41" s="16"/>
      <c r="S41" s="16"/>
      <c r="T41" s="16"/>
      <c r="U41" s="16"/>
      <c r="V41" s="16"/>
      <c r="W41" s="16"/>
      <c r="X41" s="16"/>
      <c r="Y41" s="16"/>
      <c r="Z41" s="45"/>
      <c r="AA41" s="63"/>
      <c r="AB41" s="63"/>
    </row>
    <row r="42" spans="1:28" ht="15.75" x14ac:dyDescent="0.25">
      <c r="A42" s="2" t="s">
        <v>318</v>
      </c>
      <c r="B42" s="146"/>
      <c r="C42" s="99"/>
      <c r="D42" s="68"/>
      <c r="E42" s="16" t="s">
        <v>228</v>
      </c>
      <c r="F42" s="44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68"/>
      <c r="R42" s="16"/>
      <c r="S42" s="16"/>
      <c r="T42" s="16"/>
      <c r="U42" s="16"/>
      <c r="V42" s="16"/>
      <c r="W42" s="16"/>
      <c r="X42" s="16"/>
      <c r="Y42" s="16"/>
      <c r="Z42" s="45"/>
      <c r="AA42" s="63"/>
      <c r="AB42" s="63"/>
    </row>
    <row r="43" spans="1:28" ht="15.75" x14ac:dyDescent="0.25">
      <c r="A43" s="46" t="s">
        <v>314</v>
      </c>
      <c r="B43" s="145">
        <f>B44+B45</f>
        <v>0</v>
      </c>
      <c r="C43" s="99"/>
      <c r="D43" s="68"/>
      <c r="E43" s="16" t="s">
        <v>228</v>
      </c>
      <c r="F43" s="44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68"/>
      <c r="R43" s="16"/>
      <c r="S43" s="16"/>
      <c r="T43" s="16"/>
      <c r="U43" s="16"/>
      <c r="V43" s="16"/>
      <c r="W43" s="16"/>
      <c r="X43" s="16"/>
      <c r="Y43" s="16"/>
      <c r="Z43" s="45"/>
      <c r="AA43" s="63"/>
      <c r="AB43" s="63"/>
    </row>
    <row r="44" spans="1:28" ht="15.75" x14ac:dyDescent="0.25">
      <c r="A44" s="2" t="s">
        <v>315</v>
      </c>
      <c r="B44" s="146"/>
      <c r="C44" s="99"/>
      <c r="D44" s="68"/>
      <c r="E44" s="16" t="s">
        <v>228</v>
      </c>
      <c r="F44" s="44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68"/>
      <c r="R44" s="16"/>
      <c r="S44" s="16"/>
      <c r="T44" s="16"/>
      <c r="U44" s="16"/>
      <c r="V44" s="16"/>
      <c r="W44" s="16"/>
      <c r="X44" s="16"/>
      <c r="Y44" s="16"/>
      <c r="Z44" s="45"/>
      <c r="AA44" s="63"/>
      <c r="AB44" s="63"/>
    </row>
    <row r="45" spans="1:28" ht="15.75" x14ac:dyDescent="0.25">
      <c r="A45" s="2" t="s">
        <v>316</v>
      </c>
      <c r="B45" s="146"/>
      <c r="C45" s="99"/>
      <c r="D45" s="68"/>
      <c r="E45" s="16" t="s">
        <v>228</v>
      </c>
      <c r="F45" s="44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68"/>
      <c r="R45" s="16"/>
      <c r="S45" s="16"/>
      <c r="T45" s="16"/>
      <c r="U45" s="16"/>
      <c r="V45" s="16"/>
      <c r="W45" s="16"/>
      <c r="X45" s="16"/>
      <c r="Y45" s="16"/>
      <c r="Z45" s="45"/>
      <c r="AA45" s="63"/>
      <c r="AB45" s="63"/>
    </row>
    <row r="46" spans="1:28" ht="15.75" x14ac:dyDescent="0.25">
      <c r="A46" s="46" t="s">
        <v>280</v>
      </c>
      <c r="B46" s="146"/>
      <c r="C46" s="99"/>
      <c r="D46" s="68"/>
      <c r="E46" s="16" t="s">
        <v>228</v>
      </c>
      <c r="F46" s="44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68"/>
      <c r="R46" s="16"/>
      <c r="S46" s="16"/>
      <c r="T46" s="16"/>
      <c r="U46" s="16"/>
      <c r="V46" s="16"/>
      <c r="W46" s="16"/>
      <c r="X46" s="16"/>
      <c r="Y46" s="16"/>
      <c r="Z46" s="45"/>
      <c r="AA46" s="63"/>
      <c r="AB46" s="63"/>
    </row>
    <row r="47" spans="1:28" ht="15.75" x14ac:dyDescent="0.25">
      <c r="A47" s="47" t="s">
        <v>40</v>
      </c>
      <c r="B47" s="145">
        <f>B48+B55+B58+B61+B68+B71+B74+B77+B80</f>
        <v>0</v>
      </c>
      <c r="C47" s="99"/>
      <c r="D47" s="68"/>
      <c r="E47" s="16" t="s">
        <v>228</v>
      </c>
      <c r="F47" s="44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68"/>
      <c r="R47" s="16"/>
      <c r="S47" s="16"/>
      <c r="T47" s="16"/>
      <c r="U47" s="16"/>
      <c r="V47" s="16"/>
      <c r="W47" s="16"/>
      <c r="X47" s="16"/>
      <c r="Y47" s="16"/>
      <c r="Z47" s="45"/>
      <c r="AA47" s="63"/>
      <c r="AB47" s="63"/>
    </row>
    <row r="48" spans="1:28" ht="15.75" x14ac:dyDescent="0.25">
      <c r="A48" s="46" t="s">
        <v>5</v>
      </c>
      <c r="B48" s="145">
        <f>B49+B52</f>
        <v>0</v>
      </c>
      <c r="C48" s="99"/>
      <c r="D48" s="68"/>
      <c r="E48" s="16" t="s">
        <v>228</v>
      </c>
      <c r="F48" s="44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68"/>
      <c r="R48" s="16"/>
      <c r="S48" s="16"/>
      <c r="T48" s="16"/>
      <c r="U48" s="16"/>
      <c r="V48" s="16"/>
      <c r="W48" s="16"/>
      <c r="X48" s="16"/>
      <c r="Y48" s="16"/>
      <c r="Z48" s="45"/>
      <c r="AA48" s="63"/>
      <c r="AB48" s="63"/>
    </row>
    <row r="49" spans="1:28" ht="15.75" x14ac:dyDescent="0.25">
      <c r="A49" s="2" t="s">
        <v>274</v>
      </c>
      <c r="B49" s="145">
        <f>B50+B51</f>
        <v>0</v>
      </c>
      <c r="C49" s="99"/>
      <c r="D49" s="68"/>
      <c r="E49" s="16" t="s">
        <v>228</v>
      </c>
      <c r="F49" s="44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68"/>
      <c r="R49" s="16"/>
      <c r="S49" s="16"/>
      <c r="T49" s="16"/>
      <c r="U49" s="16"/>
      <c r="V49" s="16"/>
      <c r="W49" s="16"/>
      <c r="X49" s="16"/>
      <c r="Y49" s="16"/>
      <c r="Z49" s="45"/>
      <c r="AA49" s="63"/>
      <c r="AB49" s="63"/>
    </row>
    <row r="50" spans="1:28" ht="15.75" x14ac:dyDescent="0.25">
      <c r="A50" s="2" t="s">
        <v>277</v>
      </c>
      <c r="B50" s="146"/>
      <c r="C50" s="99"/>
      <c r="D50" s="68"/>
      <c r="E50" s="16" t="s">
        <v>228</v>
      </c>
      <c r="F50" s="44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68"/>
      <c r="R50" s="16"/>
      <c r="S50" s="16"/>
      <c r="T50" s="16"/>
      <c r="U50" s="16"/>
      <c r="V50" s="16"/>
      <c r="W50" s="16"/>
      <c r="X50" s="16"/>
      <c r="Y50" s="16"/>
      <c r="Z50" s="45"/>
      <c r="AA50" s="63"/>
      <c r="AB50" s="63"/>
    </row>
    <row r="51" spans="1:28" ht="15.75" x14ac:dyDescent="0.25">
      <c r="A51" s="2" t="s">
        <v>278</v>
      </c>
      <c r="B51" s="146"/>
      <c r="C51" s="99"/>
      <c r="D51" s="68"/>
      <c r="E51" s="16" t="s">
        <v>228</v>
      </c>
      <c r="F51" s="160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68"/>
      <c r="R51" s="16"/>
      <c r="S51" s="16"/>
      <c r="T51" s="16"/>
      <c r="U51" s="16"/>
      <c r="V51" s="16"/>
      <c r="W51" s="16"/>
      <c r="X51" s="16"/>
      <c r="Y51" s="16"/>
      <c r="Z51" s="45"/>
      <c r="AA51" s="63"/>
      <c r="AB51" s="63"/>
    </row>
    <row r="52" spans="1:28" ht="15.75" x14ac:dyDescent="0.25">
      <c r="A52" s="2" t="s">
        <v>6</v>
      </c>
      <c r="B52" s="145">
        <f>B53+B54</f>
        <v>0</v>
      </c>
      <c r="C52" s="99"/>
      <c r="D52" s="68"/>
      <c r="E52" s="16" t="s">
        <v>228</v>
      </c>
      <c r="F52" s="44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68"/>
      <c r="R52" s="16"/>
      <c r="S52" s="16"/>
      <c r="T52" s="16"/>
      <c r="U52" s="16"/>
      <c r="V52" s="16"/>
      <c r="W52" s="16"/>
      <c r="X52" s="16"/>
      <c r="Y52" s="16"/>
      <c r="Z52" s="45"/>
      <c r="AA52" s="63"/>
      <c r="AB52" s="63"/>
    </row>
    <row r="53" spans="1:28" ht="15.75" x14ac:dyDescent="0.25">
      <c r="A53" s="2" t="s">
        <v>275</v>
      </c>
      <c r="B53" s="146"/>
      <c r="C53" s="99"/>
      <c r="D53" s="68"/>
      <c r="E53" s="16" t="s">
        <v>228</v>
      </c>
      <c r="F53" s="44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68"/>
      <c r="R53" s="16"/>
      <c r="S53" s="16"/>
      <c r="T53" s="16"/>
      <c r="U53" s="16"/>
      <c r="V53" s="16"/>
      <c r="W53" s="16"/>
      <c r="X53" s="16"/>
      <c r="Y53" s="16"/>
      <c r="Z53" s="45"/>
      <c r="AA53" s="63"/>
      <c r="AB53" s="63"/>
    </row>
    <row r="54" spans="1:28" ht="15.75" x14ac:dyDescent="0.25">
      <c r="A54" s="2" t="s">
        <v>276</v>
      </c>
      <c r="B54" s="146"/>
      <c r="C54" s="99"/>
      <c r="D54" s="68"/>
      <c r="E54" s="16" t="s">
        <v>228</v>
      </c>
      <c r="F54" s="44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68"/>
      <c r="R54" s="16"/>
      <c r="S54" s="16"/>
      <c r="T54" s="16"/>
      <c r="U54" s="16"/>
      <c r="V54" s="16"/>
      <c r="W54" s="16"/>
      <c r="X54" s="16"/>
      <c r="Y54" s="16"/>
      <c r="Z54" s="45"/>
      <c r="AA54" s="63"/>
      <c r="AB54" s="63"/>
    </row>
    <row r="55" spans="1:28" ht="15.75" x14ac:dyDescent="0.25">
      <c r="A55" s="46" t="s">
        <v>41</v>
      </c>
      <c r="B55" s="145">
        <f>B56+B57</f>
        <v>0</v>
      </c>
      <c r="C55" s="99"/>
      <c r="D55" s="68"/>
      <c r="E55" s="16" t="s">
        <v>228</v>
      </c>
      <c r="F55" s="44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68"/>
      <c r="R55" s="16"/>
      <c r="S55" s="16"/>
      <c r="T55" s="16"/>
      <c r="U55" s="16"/>
      <c r="V55" s="16"/>
      <c r="W55" s="16"/>
      <c r="X55" s="16"/>
      <c r="Y55" s="16"/>
      <c r="Z55" s="45"/>
      <c r="AA55" s="63"/>
      <c r="AB55" s="63"/>
    </row>
    <row r="56" spans="1:28" ht="15.75" x14ac:dyDescent="0.25">
      <c r="A56" s="2" t="s">
        <v>42</v>
      </c>
      <c r="B56" s="146"/>
      <c r="C56" s="99"/>
      <c r="D56" s="67"/>
      <c r="E56" s="70" t="s">
        <v>228</v>
      </c>
      <c r="F56" s="72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67"/>
      <c r="R56" s="16"/>
      <c r="S56" s="16"/>
      <c r="T56" s="16"/>
      <c r="U56" s="16"/>
      <c r="V56" s="16"/>
      <c r="W56" s="16"/>
      <c r="X56" s="16"/>
      <c r="Y56" s="16"/>
      <c r="Z56" s="45"/>
      <c r="AA56" s="63"/>
      <c r="AB56" s="63"/>
    </row>
    <row r="57" spans="1:28" ht="15.75" x14ac:dyDescent="0.25">
      <c r="A57" s="2" t="s">
        <v>189</v>
      </c>
      <c r="B57" s="146"/>
      <c r="C57" s="99"/>
      <c r="D57" s="68"/>
      <c r="E57" s="71" t="s">
        <v>228</v>
      </c>
      <c r="F57" s="44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68"/>
      <c r="R57" s="16"/>
      <c r="S57" s="16"/>
      <c r="T57" s="16"/>
      <c r="U57" s="16"/>
      <c r="V57" s="16"/>
      <c r="W57" s="16"/>
      <c r="X57" s="16"/>
      <c r="Y57" s="16"/>
      <c r="Z57" s="45"/>
      <c r="AA57" s="63"/>
      <c r="AB57" s="63"/>
    </row>
    <row r="58" spans="1:28" ht="15.75" x14ac:dyDescent="0.25">
      <c r="A58" s="46" t="s">
        <v>43</v>
      </c>
      <c r="B58" s="145">
        <f>B59+B60</f>
        <v>0</v>
      </c>
      <c r="C58" s="99"/>
      <c r="D58" s="68"/>
      <c r="E58" s="71" t="s">
        <v>228</v>
      </c>
      <c r="F58" s="44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68"/>
      <c r="R58" s="16"/>
      <c r="S58" s="16"/>
      <c r="T58" s="16"/>
      <c r="U58" s="16"/>
      <c r="V58" s="16"/>
      <c r="W58" s="16"/>
      <c r="X58" s="16"/>
      <c r="Y58" s="16"/>
      <c r="Z58" s="45"/>
      <c r="AA58" s="63"/>
      <c r="AB58" s="63"/>
    </row>
    <row r="59" spans="1:28" ht="15.75" x14ac:dyDescent="0.25">
      <c r="A59" s="2" t="s">
        <v>44</v>
      </c>
      <c r="B59" s="146"/>
      <c r="C59" s="99"/>
      <c r="D59" s="68"/>
      <c r="E59" s="71" t="s">
        <v>228</v>
      </c>
      <c r="F59" s="44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68"/>
      <c r="R59" s="16"/>
      <c r="S59" s="16"/>
      <c r="T59" s="16"/>
      <c r="U59" s="16"/>
      <c r="V59" s="16"/>
      <c r="W59" s="16"/>
      <c r="X59" s="16"/>
      <c r="Y59" s="16"/>
      <c r="Z59" s="45"/>
      <c r="AA59" s="63"/>
      <c r="AB59" s="63"/>
    </row>
    <row r="60" spans="1:28" ht="15.75" x14ac:dyDescent="0.25">
      <c r="A60" s="2" t="s">
        <v>190</v>
      </c>
      <c r="B60" s="146"/>
      <c r="C60" s="99"/>
      <c r="D60" s="68"/>
      <c r="E60" s="16" t="s">
        <v>228</v>
      </c>
      <c r="F60" s="44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68"/>
      <c r="R60" s="16"/>
      <c r="S60" s="16"/>
      <c r="T60" s="16"/>
      <c r="U60" s="16"/>
      <c r="V60" s="16"/>
      <c r="W60" s="16"/>
      <c r="X60" s="16"/>
      <c r="Y60" s="16"/>
      <c r="Z60" s="45"/>
      <c r="AA60" s="63"/>
      <c r="AB60" s="63"/>
    </row>
    <row r="61" spans="1:28" ht="15.75" x14ac:dyDescent="0.25">
      <c r="A61" s="46" t="s">
        <v>7</v>
      </c>
      <c r="B61" s="145">
        <f>B62+B65</f>
        <v>0</v>
      </c>
      <c r="C61" s="99"/>
      <c r="D61" s="68"/>
      <c r="E61" s="16" t="s">
        <v>228</v>
      </c>
      <c r="F61" s="44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68"/>
      <c r="R61" s="16"/>
      <c r="S61" s="16"/>
      <c r="T61" s="16"/>
      <c r="U61" s="16"/>
      <c r="V61" s="16"/>
      <c r="W61" s="16"/>
      <c r="X61" s="16"/>
      <c r="Y61" s="16"/>
      <c r="Z61" s="45"/>
      <c r="AA61" s="63"/>
      <c r="AB61" s="63"/>
    </row>
    <row r="62" spans="1:28" ht="15.75" x14ac:dyDescent="0.25">
      <c r="A62" s="2" t="s">
        <v>45</v>
      </c>
      <c r="B62" s="145">
        <f>B63+B64</f>
        <v>0</v>
      </c>
      <c r="C62" s="99"/>
      <c r="D62" s="68"/>
      <c r="E62" s="16" t="s">
        <v>228</v>
      </c>
      <c r="F62" s="44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68"/>
      <c r="R62" s="16"/>
      <c r="S62" s="16"/>
      <c r="T62" s="16"/>
      <c r="U62" s="16"/>
      <c r="V62" s="16"/>
      <c r="W62" s="16"/>
      <c r="X62" s="16"/>
      <c r="Y62" s="16"/>
      <c r="Z62" s="45"/>
      <c r="AA62" s="63"/>
      <c r="AB62" s="63"/>
    </row>
    <row r="63" spans="1:28" ht="15.75" x14ac:dyDescent="0.25">
      <c r="A63" s="2" t="s">
        <v>46</v>
      </c>
      <c r="B63" s="146"/>
      <c r="C63" s="99"/>
      <c r="D63" s="68"/>
      <c r="E63" s="16" t="s">
        <v>228</v>
      </c>
      <c r="F63" s="44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68"/>
      <c r="R63" s="16"/>
      <c r="S63" s="16"/>
      <c r="T63" s="16"/>
      <c r="U63" s="16"/>
      <c r="V63" s="16"/>
      <c r="W63" s="16"/>
      <c r="X63" s="16"/>
      <c r="Y63" s="16"/>
      <c r="Z63" s="45"/>
      <c r="AA63" s="63"/>
      <c r="AB63" s="63"/>
    </row>
    <row r="64" spans="1:28" ht="15.75" x14ac:dyDescent="0.25">
      <c r="A64" s="2" t="s">
        <v>191</v>
      </c>
      <c r="B64" s="146"/>
      <c r="C64" s="99"/>
      <c r="D64" s="68"/>
      <c r="E64" s="16" t="s">
        <v>228</v>
      </c>
      <c r="F64" s="44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68"/>
      <c r="R64" s="16"/>
      <c r="S64" s="16"/>
      <c r="T64" s="16"/>
      <c r="U64" s="16"/>
      <c r="V64" s="16"/>
      <c r="W64" s="16"/>
      <c r="X64" s="16"/>
      <c r="Y64" s="16"/>
      <c r="Z64" s="45"/>
      <c r="AA64" s="63"/>
      <c r="AB64" s="63"/>
    </row>
    <row r="65" spans="1:28" ht="15.75" x14ac:dyDescent="0.25">
      <c r="A65" s="2" t="s">
        <v>47</v>
      </c>
      <c r="B65" s="145">
        <f>B66+B67</f>
        <v>0</v>
      </c>
      <c r="C65" s="99"/>
      <c r="D65" s="68"/>
      <c r="E65" s="16" t="s">
        <v>228</v>
      </c>
      <c r="F65" s="44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68"/>
      <c r="R65" s="16"/>
      <c r="S65" s="16"/>
      <c r="T65" s="16"/>
      <c r="U65" s="16"/>
      <c r="V65" s="16"/>
      <c r="W65" s="16"/>
      <c r="X65" s="16"/>
      <c r="Y65" s="16"/>
      <c r="Z65" s="45"/>
      <c r="AA65" s="63"/>
      <c r="AB65" s="63"/>
    </row>
    <row r="66" spans="1:28" ht="15.75" x14ac:dyDescent="0.25">
      <c r="A66" s="2" t="s">
        <v>48</v>
      </c>
      <c r="B66" s="146"/>
      <c r="C66" s="99"/>
      <c r="D66" s="68"/>
      <c r="E66" s="16" t="s">
        <v>228</v>
      </c>
      <c r="F66" s="44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68"/>
      <c r="R66" s="16"/>
      <c r="S66" s="16"/>
      <c r="T66" s="16"/>
      <c r="U66" s="16"/>
      <c r="V66" s="16"/>
      <c r="W66" s="16"/>
      <c r="X66" s="16"/>
      <c r="Y66" s="16"/>
      <c r="Z66" s="45"/>
      <c r="AA66" s="63"/>
      <c r="AB66" s="63"/>
    </row>
    <row r="67" spans="1:28" ht="15.75" x14ac:dyDescent="0.25">
      <c r="A67" s="2" t="s">
        <v>192</v>
      </c>
      <c r="B67" s="146"/>
      <c r="C67" s="99"/>
      <c r="D67" s="68"/>
      <c r="E67" s="16" t="s">
        <v>228</v>
      </c>
      <c r="F67" s="44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68"/>
      <c r="R67" s="16"/>
      <c r="S67" s="16"/>
      <c r="T67" s="16"/>
      <c r="U67" s="16"/>
      <c r="V67" s="16"/>
      <c r="W67" s="16"/>
      <c r="X67" s="16"/>
      <c r="Y67" s="16"/>
      <c r="Z67" s="45"/>
      <c r="AA67" s="63"/>
      <c r="AB67" s="63"/>
    </row>
    <row r="68" spans="1:28" ht="15.75" x14ac:dyDescent="0.25">
      <c r="A68" s="46" t="s">
        <v>49</v>
      </c>
      <c r="B68" s="145">
        <f>B69+B70</f>
        <v>0</v>
      </c>
      <c r="C68" s="99"/>
      <c r="D68" s="68"/>
      <c r="E68" s="16" t="s">
        <v>228</v>
      </c>
      <c r="F68" s="44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68"/>
      <c r="R68" s="16"/>
      <c r="S68" s="16"/>
      <c r="T68" s="16"/>
      <c r="U68" s="16"/>
      <c r="V68" s="16"/>
      <c r="W68" s="16"/>
      <c r="X68" s="16"/>
      <c r="Y68" s="16"/>
      <c r="Z68" s="45"/>
      <c r="AA68" s="63"/>
      <c r="AB68" s="63"/>
    </row>
    <row r="69" spans="1:28" ht="15.75" x14ac:dyDescent="0.25">
      <c r="A69" s="2" t="s">
        <v>50</v>
      </c>
      <c r="B69" s="146"/>
      <c r="C69" s="99"/>
      <c r="D69" s="68"/>
      <c r="E69" s="16" t="s">
        <v>228</v>
      </c>
      <c r="F69" s="44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68"/>
      <c r="R69" s="16"/>
      <c r="S69" s="16"/>
      <c r="T69" s="16"/>
      <c r="U69" s="16"/>
      <c r="V69" s="16"/>
      <c r="W69" s="16"/>
      <c r="X69" s="16"/>
      <c r="Y69" s="16"/>
      <c r="Z69" s="45"/>
      <c r="AA69" s="63"/>
      <c r="AB69" s="63"/>
    </row>
    <row r="70" spans="1:28" ht="15.75" x14ac:dyDescent="0.25">
      <c r="A70" s="2" t="s">
        <v>193</v>
      </c>
      <c r="B70" s="146"/>
      <c r="C70" s="99"/>
      <c r="D70" s="68"/>
      <c r="E70" s="16" t="s">
        <v>228</v>
      </c>
      <c r="F70" s="44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68"/>
      <c r="R70" s="16"/>
      <c r="S70" s="16"/>
      <c r="T70" s="16"/>
      <c r="U70" s="16"/>
      <c r="V70" s="16"/>
      <c r="W70" s="16"/>
      <c r="X70" s="16"/>
      <c r="Y70" s="16"/>
      <c r="Z70" s="45"/>
      <c r="AA70" s="63"/>
      <c r="AB70" s="63"/>
    </row>
    <row r="71" spans="1:28" ht="15.75" x14ac:dyDescent="0.25">
      <c r="A71" s="46" t="s">
        <v>51</v>
      </c>
      <c r="B71" s="145">
        <f>B72+B73</f>
        <v>0</v>
      </c>
      <c r="C71" s="99"/>
      <c r="D71" s="68"/>
      <c r="E71" s="16" t="s">
        <v>228</v>
      </c>
      <c r="F71" s="44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68"/>
      <c r="R71" s="16"/>
      <c r="S71" s="16"/>
      <c r="T71" s="16"/>
      <c r="U71" s="16"/>
      <c r="V71" s="16"/>
      <c r="W71" s="16"/>
      <c r="X71" s="16"/>
      <c r="Y71" s="16"/>
      <c r="Z71" s="45"/>
      <c r="AA71" s="63"/>
      <c r="AB71" s="63"/>
    </row>
    <row r="72" spans="1:28" ht="15.75" x14ac:dyDescent="0.25">
      <c r="A72" s="2" t="s">
        <v>52</v>
      </c>
      <c r="B72" s="146"/>
      <c r="C72" s="99"/>
      <c r="D72" s="68"/>
      <c r="E72" s="16" t="s">
        <v>228</v>
      </c>
      <c r="F72" s="44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68"/>
      <c r="R72" s="16"/>
      <c r="S72" s="16"/>
      <c r="T72" s="16"/>
      <c r="U72" s="16"/>
      <c r="V72" s="16"/>
      <c r="W72" s="16"/>
      <c r="X72" s="16"/>
      <c r="Y72" s="16"/>
      <c r="Z72" s="45"/>
      <c r="AA72" s="63"/>
      <c r="AB72" s="63"/>
    </row>
    <row r="73" spans="1:28" ht="15.75" x14ac:dyDescent="0.25">
      <c r="A73" s="2" t="s">
        <v>194</v>
      </c>
      <c r="B73" s="146"/>
      <c r="C73" s="99"/>
      <c r="D73" s="68"/>
      <c r="E73" s="16" t="s">
        <v>228</v>
      </c>
      <c r="F73" s="44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68"/>
      <c r="R73" s="16"/>
      <c r="S73" s="16"/>
      <c r="T73" s="16"/>
      <c r="U73" s="16"/>
      <c r="V73" s="16"/>
      <c r="W73" s="16"/>
      <c r="X73" s="16"/>
      <c r="Y73" s="16"/>
      <c r="Z73" s="45"/>
      <c r="AA73" s="63"/>
      <c r="AB73" s="63"/>
    </row>
    <row r="74" spans="1:28" ht="15.75" x14ac:dyDescent="0.25">
      <c r="A74" s="46" t="s">
        <v>53</v>
      </c>
      <c r="B74" s="145">
        <f>B75+B76</f>
        <v>0</v>
      </c>
      <c r="C74" s="99"/>
      <c r="D74" s="68"/>
      <c r="E74" s="16" t="s">
        <v>228</v>
      </c>
      <c r="F74" s="160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68"/>
      <c r="R74" s="16"/>
      <c r="S74" s="16"/>
      <c r="T74" s="16"/>
      <c r="U74" s="16"/>
      <c r="V74" s="16"/>
      <c r="W74" s="16"/>
      <c r="X74" s="16"/>
      <c r="Y74" s="16"/>
      <c r="Z74" s="45"/>
      <c r="AA74" s="63"/>
      <c r="AB74" s="63"/>
    </row>
    <row r="75" spans="1:28" ht="15.75" x14ac:dyDescent="0.25">
      <c r="A75" s="2" t="s">
        <v>54</v>
      </c>
      <c r="B75" s="146"/>
      <c r="C75" s="99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16"/>
      <c r="S75" s="16"/>
      <c r="T75" s="16"/>
      <c r="U75" s="16"/>
      <c r="V75" s="16"/>
      <c r="W75" s="16"/>
      <c r="X75" s="16"/>
      <c r="Y75" s="16"/>
      <c r="Z75" s="45"/>
      <c r="AA75" s="63"/>
      <c r="AB75" s="63"/>
    </row>
    <row r="76" spans="1:28" ht="15.75" x14ac:dyDescent="0.25">
      <c r="A76" s="2" t="s">
        <v>195</v>
      </c>
      <c r="B76" s="146"/>
      <c r="C76" s="99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45"/>
      <c r="AA76" s="63"/>
      <c r="AB76" s="63"/>
    </row>
    <row r="77" spans="1:28" ht="15.75" x14ac:dyDescent="0.25">
      <c r="A77" s="46" t="s">
        <v>319</v>
      </c>
      <c r="B77" s="145">
        <f>B78+B79</f>
        <v>0</v>
      </c>
      <c r="C77" s="99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45"/>
      <c r="AA77" s="63"/>
      <c r="AB77" s="63"/>
    </row>
    <row r="78" spans="1:28" ht="15.75" x14ac:dyDescent="0.25">
      <c r="A78" s="2" t="s">
        <v>72</v>
      </c>
      <c r="B78" s="146"/>
      <c r="C78" s="99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45"/>
      <c r="AA78" s="63"/>
      <c r="AB78" s="63"/>
    </row>
    <row r="79" spans="1:28" ht="15.75" x14ac:dyDescent="0.25">
      <c r="A79" s="55" t="s">
        <v>196</v>
      </c>
      <c r="B79" s="146"/>
      <c r="C79" s="99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45"/>
      <c r="AA79" s="63"/>
      <c r="AB79" s="63"/>
    </row>
    <row r="80" spans="1:28" ht="15.75" x14ac:dyDescent="0.25">
      <c r="A80" s="46" t="s">
        <v>271</v>
      </c>
      <c r="B80" s="145">
        <f>B81+B82</f>
        <v>0</v>
      </c>
      <c r="C80" s="99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45"/>
      <c r="AA80" s="63"/>
      <c r="AB80" s="63"/>
    </row>
    <row r="81" spans="1:28" ht="15.75" x14ac:dyDescent="0.25">
      <c r="A81" s="2" t="s">
        <v>272</v>
      </c>
      <c r="B81" s="146"/>
      <c r="C81" s="99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45"/>
      <c r="AA81" s="63"/>
      <c r="AB81" s="63"/>
    </row>
    <row r="82" spans="1:28" ht="15.75" x14ac:dyDescent="0.25">
      <c r="A82" s="55" t="s">
        <v>273</v>
      </c>
      <c r="B82" s="146">
        <v>0</v>
      </c>
      <c r="C82" s="99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45"/>
      <c r="AA82" s="63"/>
      <c r="AB82" s="63"/>
    </row>
    <row r="83" spans="1:28" ht="15.75" x14ac:dyDescent="0.25">
      <c r="A83" s="56" t="s">
        <v>55</v>
      </c>
      <c r="B83" s="145">
        <f>B84+B97+B100+B103+B110+B113+B116+B119</f>
        <v>0</v>
      </c>
      <c r="C83" s="99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45"/>
      <c r="AA83" s="63"/>
      <c r="AB83" s="63"/>
    </row>
    <row r="84" spans="1:28" ht="15.75" x14ac:dyDescent="0.25">
      <c r="A84" s="57" t="s">
        <v>56</v>
      </c>
      <c r="B84" s="145">
        <f>B85+B88+B91+B94</f>
        <v>0</v>
      </c>
      <c r="C84" s="99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45"/>
      <c r="AA84" s="63"/>
      <c r="AB84" s="63"/>
    </row>
    <row r="85" spans="1:28" ht="15.75" x14ac:dyDescent="0.25">
      <c r="A85" s="55" t="s">
        <v>57</v>
      </c>
      <c r="B85" s="145">
        <f>B86+B87</f>
        <v>0</v>
      </c>
      <c r="C85" s="99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45"/>
      <c r="AA85" s="63"/>
      <c r="AB85" s="63"/>
    </row>
    <row r="86" spans="1:28" ht="15.75" x14ac:dyDescent="0.25">
      <c r="A86" s="55" t="s">
        <v>58</v>
      </c>
      <c r="B86" s="146"/>
      <c r="C86" s="99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45"/>
      <c r="AA86" s="63"/>
      <c r="AB86" s="63"/>
    </row>
    <row r="87" spans="1:28" ht="15.75" x14ac:dyDescent="0.25">
      <c r="A87" s="55" t="s">
        <v>197</v>
      </c>
      <c r="B87" s="146"/>
      <c r="C87" s="99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45"/>
      <c r="AA87" s="63"/>
      <c r="AB87" s="63"/>
    </row>
    <row r="88" spans="1:28" ht="15.75" x14ac:dyDescent="0.25">
      <c r="A88" s="55" t="s">
        <v>237</v>
      </c>
      <c r="B88" s="145">
        <f>B89+B90</f>
        <v>0</v>
      </c>
      <c r="C88" s="99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45"/>
      <c r="AA88" s="63"/>
      <c r="AB88" s="63"/>
    </row>
    <row r="89" spans="1:28" ht="15.75" x14ac:dyDescent="0.25">
      <c r="A89" s="55" t="s">
        <v>59</v>
      </c>
      <c r="B89" s="146"/>
      <c r="C89" s="99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45"/>
      <c r="AA89" s="63"/>
      <c r="AB89" s="63"/>
    </row>
    <row r="90" spans="1:28" ht="15.75" x14ac:dyDescent="0.25">
      <c r="A90" s="55" t="s">
        <v>198</v>
      </c>
      <c r="B90" s="146"/>
      <c r="C90" s="99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45"/>
      <c r="AA90" s="63"/>
      <c r="AB90" s="63"/>
    </row>
    <row r="91" spans="1:28" ht="15.75" x14ac:dyDescent="0.25">
      <c r="A91" s="55" t="s">
        <v>60</v>
      </c>
      <c r="B91" s="145">
        <f>B92+B93</f>
        <v>0</v>
      </c>
      <c r="C91" s="99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45"/>
      <c r="AA91" s="63"/>
      <c r="AB91" s="63"/>
    </row>
    <row r="92" spans="1:28" ht="15.75" x14ac:dyDescent="0.25">
      <c r="A92" s="55" t="s">
        <v>61</v>
      </c>
      <c r="B92" s="146"/>
      <c r="C92" s="99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45"/>
      <c r="AA92" s="63"/>
      <c r="AB92" s="63"/>
    </row>
    <row r="93" spans="1:28" ht="15.75" x14ac:dyDescent="0.25">
      <c r="A93" s="55" t="s">
        <v>199</v>
      </c>
      <c r="B93" s="146"/>
      <c r="C93" s="99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45"/>
      <c r="AA93" s="63"/>
      <c r="AB93" s="63"/>
    </row>
    <row r="94" spans="1:28" ht="15.75" x14ac:dyDescent="0.25">
      <c r="A94" s="55" t="s">
        <v>62</v>
      </c>
      <c r="B94" s="145">
        <f>B95+B96</f>
        <v>0</v>
      </c>
      <c r="C94" s="99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45"/>
      <c r="AA94" s="63"/>
      <c r="AB94" s="63"/>
    </row>
    <row r="95" spans="1:28" ht="15.75" x14ac:dyDescent="0.25">
      <c r="A95" s="55" t="s">
        <v>63</v>
      </c>
      <c r="B95" s="146"/>
      <c r="C95" s="99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45"/>
      <c r="AA95" s="63"/>
      <c r="AB95" s="63"/>
    </row>
    <row r="96" spans="1:28" ht="15.75" x14ac:dyDescent="0.25">
      <c r="A96" s="55" t="s">
        <v>200</v>
      </c>
      <c r="B96" s="146"/>
      <c r="C96" s="99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45"/>
      <c r="AA96" s="63"/>
      <c r="AB96" s="63"/>
    </row>
    <row r="97" spans="1:28" ht="15.75" x14ac:dyDescent="0.25">
      <c r="A97" s="57" t="s">
        <v>64</v>
      </c>
      <c r="B97" s="145">
        <f>B98+B99</f>
        <v>0</v>
      </c>
      <c r="C97" s="99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45"/>
      <c r="AA97" s="63"/>
      <c r="AB97" s="63"/>
    </row>
    <row r="98" spans="1:28" ht="15.75" x14ac:dyDescent="0.25">
      <c r="A98" s="55" t="s">
        <v>65</v>
      </c>
      <c r="B98" s="146"/>
      <c r="C98" s="99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45"/>
      <c r="AA98" s="63"/>
      <c r="AB98" s="63"/>
    </row>
    <row r="99" spans="1:28" ht="15.75" x14ac:dyDescent="0.25">
      <c r="A99" s="55" t="s">
        <v>201</v>
      </c>
      <c r="B99" s="146"/>
      <c r="C99" s="99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45"/>
      <c r="AA99" s="63"/>
      <c r="AB99" s="63"/>
    </row>
    <row r="100" spans="1:28" ht="15.75" x14ac:dyDescent="0.25">
      <c r="A100" s="57" t="s">
        <v>66</v>
      </c>
      <c r="B100" s="145">
        <f>B101+B102</f>
        <v>0</v>
      </c>
      <c r="C100" s="99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45"/>
      <c r="AA100" s="63"/>
      <c r="AB100" s="63"/>
    </row>
    <row r="101" spans="1:28" ht="15.75" x14ac:dyDescent="0.25">
      <c r="A101" s="55" t="s">
        <v>67</v>
      </c>
      <c r="B101" s="146"/>
      <c r="C101" s="99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45"/>
      <c r="AA101" s="63"/>
      <c r="AB101" s="63"/>
    </row>
    <row r="102" spans="1:28" ht="15.75" x14ac:dyDescent="0.25">
      <c r="A102" s="55" t="s">
        <v>202</v>
      </c>
      <c r="B102" s="146"/>
      <c r="C102" s="99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45"/>
      <c r="AA102" s="63"/>
      <c r="AB102" s="63"/>
    </row>
    <row r="103" spans="1:28" ht="15.75" x14ac:dyDescent="0.25">
      <c r="A103" s="57" t="s">
        <v>68</v>
      </c>
      <c r="B103" s="145">
        <f>B104+B107</f>
        <v>0</v>
      </c>
      <c r="C103" s="99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45"/>
      <c r="AA103" s="63"/>
      <c r="AB103" s="63"/>
    </row>
    <row r="104" spans="1:28" ht="15.75" x14ac:dyDescent="0.25">
      <c r="A104" s="55" t="s">
        <v>238</v>
      </c>
      <c r="B104" s="145">
        <f>B105+B106</f>
        <v>0</v>
      </c>
      <c r="C104" s="99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45"/>
      <c r="AA104" s="63"/>
      <c r="AB104" s="63"/>
    </row>
    <row r="105" spans="1:28" ht="15.75" x14ac:dyDescent="0.25">
      <c r="A105" s="2" t="s">
        <v>239</v>
      </c>
      <c r="B105" s="146"/>
      <c r="C105" s="99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45"/>
      <c r="AA105" s="63"/>
      <c r="AB105" s="63"/>
    </row>
    <row r="106" spans="1:28" ht="15.75" x14ac:dyDescent="0.25">
      <c r="A106" s="2" t="s">
        <v>240</v>
      </c>
      <c r="B106" s="146"/>
      <c r="C106" s="99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45"/>
      <c r="AA106" s="63"/>
      <c r="AB106" s="63"/>
    </row>
    <row r="107" spans="1:28" ht="15.75" x14ac:dyDescent="0.25">
      <c r="A107" s="2" t="s">
        <v>241</v>
      </c>
      <c r="B107" s="145">
        <f>B108+B109</f>
        <v>0</v>
      </c>
      <c r="C107" s="99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45"/>
      <c r="AA107" s="63"/>
      <c r="AB107" s="63"/>
    </row>
    <row r="108" spans="1:28" ht="15.75" x14ac:dyDescent="0.25">
      <c r="A108" s="2" t="s">
        <v>242</v>
      </c>
      <c r="B108" s="146"/>
      <c r="C108" s="99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45"/>
      <c r="AA108" s="63"/>
      <c r="AB108" s="63"/>
    </row>
    <row r="109" spans="1:28" ht="15.75" x14ac:dyDescent="0.25">
      <c r="A109" s="55" t="s">
        <v>243</v>
      </c>
      <c r="B109" s="146"/>
      <c r="C109" s="99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45"/>
      <c r="AA109" s="63"/>
      <c r="AB109" s="63"/>
    </row>
    <row r="110" spans="1:28" ht="15.75" x14ac:dyDescent="0.25">
      <c r="A110" s="57" t="s">
        <v>69</v>
      </c>
      <c r="B110" s="145">
        <f>B111+B112</f>
        <v>0</v>
      </c>
      <c r="C110" s="99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45"/>
      <c r="AA110" s="63"/>
      <c r="AB110" s="63"/>
    </row>
    <row r="111" spans="1:28" ht="15.75" x14ac:dyDescent="0.25">
      <c r="A111" s="55" t="s">
        <v>244</v>
      </c>
      <c r="B111" s="146"/>
      <c r="C111" s="99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45"/>
      <c r="AA111" s="63"/>
      <c r="AB111" s="63"/>
    </row>
    <row r="112" spans="1:28" ht="15.75" x14ac:dyDescent="0.25">
      <c r="A112" s="55" t="s">
        <v>245</v>
      </c>
      <c r="B112" s="146"/>
      <c r="C112" s="99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45"/>
      <c r="AA112" s="63"/>
      <c r="AB112" s="63"/>
    </row>
    <row r="113" spans="1:28" ht="15.75" x14ac:dyDescent="0.25">
      <c r="A113" s="57" t="s">
        <v>70</v>
      </c>
      <c r="B113" s="145">
        <f>B114+B115</f>
        <v>0</v>
      </c>
      <c r="C113" s="99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45"/>
      <c r="AA113" s="63"/>
      <c r="AB113" s="63"/>
    </row>
    <row r="114" spans="1:28" ht="15.75" x14ac:dyDescent="0.25">
      <c r="A114" s="55" t="s">
        <v>246</v>
      </c>
      <c r="B114" s="146"/>
      <c r="C114" s="99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45"/>
      <c r="AA114" s="63"/>
      <c r="AB114" s="63"/>
    </row>
    <row r="115" spans="1:28" ht="15.75" x14ac:dyDescent="0.25">
      <c r="A115" s="55" t="s">
        <v>247</v>
      </c>
      <c r="B115" s="146"/>
      <c r="C115" s="99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45"/>
      <c r="AA115" s="63"/>
      <c r="AB115" s="63"/>
    </row>
    <row r="116" spans="1:28" ht="15.75" x14ac:dyDescent="0.25">
      <c r="A116" s="57" t="s">
        <v>71</v>
      </c>
      <c r="B116" s="145">
        <f>B117+B118</f>
        <v>0</v>
      </c>
      <c r="C116" s="99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45"/>
      <c r="AA116" s="63"/>
      <c r="AB116" s="63"/>
    </row>
    <row r="117" spans="1:28" ht="15.75" x14ac:dyDescent="0.25">
      <c r="A117" s="55" t="s">
        <v>248</v>
      </c>
      <c r="B117" s="146"/>
      <c r="C117" s="99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45"/>
      <c r="AA117" s="63"/>
      <c r="AB117" s="63"/>
    </row>
    <row r="118" spans="1:28" ht="15.75" x14ac:dyDescent="0.25">
      <c r="A118" s="55" t="s">
        <v>249</v>
      </c>
      <c r="B118" s="146"/>
      <c r="C118" s="99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45"/>
      <c r="AA118" s="63"/>
      <c r="AB118" s="63"/>
    </row>
    <row r="119" spans="1:28" ht="15.75" x14ac:dyDescent="0.25">
      <c r="A119" s="57" t="s">
        <v>320</v>
      </c>
      <c r="B119" s="145">
        <f>B120+B121</f>
        <v>0</v>
      </c>
      <c r="C119" s="99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45"/>
      <c r="AA119" s="63"/>
      <c r="AB119" s="63"/>
    </row>
    <row r="120" spans="1:28" ht="15.75" x14ac:dyDescent="0.25">
      <c r="A120" s="55" t="s">
        <v>250</v>
      </c>
      <c r="B120" s="146"/>
      <c r="C120" s="99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45"/>
      <c r="AA120" s="63"/>
      <c r="AB120" s="63"/>
    </row>
    <row r="121" spans="1:28" ht="15.75" x14ac:dyDescent="0.25">
      <c r="A121" s="55" t="s">
        <v>251</v>
      </c>
      <c r="B121" s="146"/>
      <c r="C121" s="99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45"/>
      <c r="AA121" s="63"/>
      <c r="AB121" s="63"/>
    </row>
    <row r="122" spans="1:28" ht="15.75" x14ac:dyDescent="0.25">
      <c r="A122" s="57" t="s">
        <v>270</v>
      </c>
      <c r="B122" s="146">
        <v>0</v>
      </c>
      <c r="C122" s="99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45"/>
      <c r="AA122" s="63"/>
      <c r="AB122" s="63"/>
    </row>
    <row r="123" spans="1:28" ht="15.75" x14ac:dyDescent="0.25">
      <c r="A123" s="56" t="s">
        <v>73</v>
      </c>
      <c r="B123" s="145">
        <f>B124+B146+B153+B156+B160+B163+B166+B169+B172</f>
        <v>0</v>
      </c>
      <c r="C123" s="99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45"/>
      <c r="AA123" s="63"/>
      <c r="AB123" s="63"/>
    </row>
    <row r="124" spans="1:28" ht="15.75" x14ac:dyDescent="0.25">
      <c r="A124" s="57" t="s">
        <v>8</v>
      </c>
      <c r="B124" s="145">
        <f>B125+B132+B135+B139</f>
        <v>0</v>
      </c>
      <c r="C124" s="99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45"/>
      <c r="AA124" s="63"/>
      <c r="AB124" s="63"/>
    </row>
    <row r="125" spans="1:28" ht="15.75" x14ac:dyDescent="0.25">
      <c r="A125" s="55" t="s">
        <v>9</v>
      </c>
      <c r="B125" s="145">
        <f>B126+B129</f>
        <v>0</v>
      </c>
      <c r="C125" s="99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45"/>
      <c r="AA125" s="63"/>
      <c r="AB125" s="63"/>
    </row>
    <row r="126" spans="1:28" ht="15.75" x14ac:dyDescent="0.25">
      <c r="A126" s="55" t="s">
        <v>264</v>
      </c>
      <c r="B126" s="145">
        <f>B127+B128</f>
        <v>0</v>
      </c>
      <c r="C126" s="99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45"/>
      <c r="AA126" s="63"/>
      <c r="AB126" s="63"/>
    </row>
    <row r="127" spans="1:28" ht="15.75" x14ac:dyDescent="0.25">
      <c r="A127" s="55" t="s">
        <v>265</v>
      </c>
      <c r="B127" s="146"/>
      <c r="C127" s="99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45"/>
      <c r="AA127" s="63"/>
      <c r="AB127" s="63"/>
    </row>
    <row r="128" spans="1:28" ht="15.75" x14ac:dyDescent="0.25">
      <c r="A128" s="55" t="s">
        <v>266</v>
      </c>
      <c r="B128" s="146"/>
      <c r="C128" s="99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45"/>
      <c r="AA128" s="63"/>
      <c r="AB128" s="63"/>
    </row>
    <row r="129" spans="1:28" ht="15.75" x14ac:dyDescent="0.25">
      <c r="A129" s="55" t="s">
        <v>267</v>
      </c>
      <c r="B129" s="145">
        <f>B130+B131</f>
        <v>0</v>
      </c>
      <c r="C129" s="99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45"/>
      <c r="AA129" s="63"/>
      <c r="AB129" s="63"/>
    </row>
    <row r="130" spans="1:28" ht="15.75" x14ac:dyDescent="0.25">
      <c r="A130" s="55" t="s">
        <v>268</v>
      </c>
      <c r="B130" s="146"/>
      <c r="C130" s="99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45"/>
      <c r="AA130" s="63"/>
      <c r="AB130" s="63"/>
    </row>
    <row r="131" spans="1:28" ht="15.75" x14ac:dyDescent="0.25">
      <c r="A131" s="55" t="s">
        <v>269</v>
      </c>
      <c r="B131" s="146"/>
      <c r="C131" s="99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45"/>
      <c r="AA131" s="63"/>
      <c r="AB131" s="63"/>
    </row>
    <row r="132" spans="1:28" ht="15.75" x14ac:dyDescent="0.25">
      <c r="A132" s="55" t="s">
        <v>10</v>
      </c>
      <c r="B132" s="145">
        <f>B133+B134</f>
        <v>0</v>
      </c>
      <c r="C132" s="99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45"/>
      <c r="AA132" s="63"/>
      <c r="AB132" s="63"/>
    </row>
    <row r="133" spans="1:28" ht="15.75" x14ac:dyDescent="0.25">
      <c r="A133" s="55" t="s">
        <v>74</v>
      </c>
      <c r="B133" s="146"/>
      <c r="C133" s="99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45"/>
      <c r="AA133" s="63"/>
      <c r="AB133" s="63"/>
    </row>
    <row r="134" spans="1:28" ht="15.75" x14ac:dyDescent="0.25">
      <c r="A134" s="55" t="s">
        <v>203</v>
      </c>
      <c r="B134" s="146"/>
      <c r="C134" s="99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45"/>
      <c r="AA134" s="63"/>
      <c r="AB134" s="63"/>
    </row>
    <row r="135" spans="1:28" ht="15.75" x14ac:dyDescent="0.25">
      <c r="A135" s="55" t="s">
        <v>11</v>
      </c>
      <c r="B135" s="145">
        <f>B136+B137</f>
        <v>0</v>
      </c>
      <c r="C135" s="99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45"/>
      <c r="AA135" s="63"/>
      <c r="AB135" s="63"/>
    </row>
    <row r="136" spans="1:28" ht="15.75" x14ac:dyDescent="0.25">
      <c r="A136" s="55" t="s">
        <v>75</v>
      </c>
      <c r="B136" s="146"/>
      <c r="C136" s="99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45"/>
      <c r="AA136" s="63"/>
      <c r="AB136" s="63"/>
    </row>
    <row r="137" spans="1:28" ht="15.75" x14ac:dyDescent="0.25">
      <c r="A137" s="55" t="s">
        <v>204</v>
      </c>
      <c r="B137" s="146"/>
      <c r="C137" s="99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45"/>
      <c r="AA137" s="63"/>
      <c r="AB137" s="63"/>
    </row>
    <row r="138" spans="1:28" ht="15.75" x14ac:dyDescent="0.25">
      <c r="A138" s="55" t="s">
        <v>321</v>
      </c>
      <c r="B138" s="148"/>
      <c r="C138" s="99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45"/>
      <c r="AA138" s="63"/>
      <c r="AB138" s="63"/>
    </row>
    <row r="139" spans="1:28" ht="15.75" x14ac:dyDescent="0.25">
      <c r="A139" s="55" t="s">
        <v>322</v>
      </c>
      <c r="B139" s="145">
        <f>B140+B143</f>
        <v>0</v>
      </c>
      <c r="C139" s="99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45"/>
      <c r="AA139" s="63"/>
      <c r="AB139" s="63"/>
    </row>
    <row r="140" spans="1:28" ht="15.75" x14ac:dyDescent="0.25">
      <c r="A140" s="55" t="s">
        <v>150</v>
      </c>
      <c r="B140" s="145">
        <f>B141+B142</f>
        <v>0</v>
      </c>
      <c r="C140" s="99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45"/>
      <c r="AA140" s="63"/>
      <c r="AB140" s="63"/>
    </row>
    <row r="141" spans="1:28" ht="15.75" x14ac:dyDescent="0.25">
      <c r="A141" s="55" t="s">
        <v>151</v>
      </c>
      <c r="B141" s="146"/>
      <c r="C141" s="99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45"/>
      <c r="AA141" s="63"/>
      <c r="AB141" s="63"/>
    </row>
    <row r="142" spans="1:28" ht="15.75" x14ac:dyDescent="0.25">
      <c r="A142" s="55" t="s">
        <v>252</v>
      </c>
      <c r="B142" s="146"/>
      <c r="C142" s="99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45"/>
      <c r="AA142" s="63"/>
      <c r="AB142" s="63"/>
    </row>
    <row r="143" spans="1:28" ht="15.75" x14ac:dyDescent="0.25">
      <c r="A143" s="55" t="s">
        <v>152</v>
      </c>
      <c r="B143" s="145">
        <f>B144+B145</f>
        <v>0</v>
      </c>
      <c r="C143" s="99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45"/>
      <c r="AA143" s="63"/>
      <c r="AB143" s="63"/>
    </row>
    <row r="144" spans="1:28" ht="15.75" x14ac:dyDescent="0.25">
      <c r="A144" s="55" t="s">
        <v>153</v>
      </c>
      <c r="B144" s="146"/>
      <c r="C144" s="99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45"/>
      <c r="AA144" s="63"/>
      <c r="AB144" s="63"/>
    </row>
    <row r="145" spans="1:28" ht="15.75" x14ac:dyDescent="0.25">
      <c r="A145" s="55" t="s">
        <v>205</v>
      </c>
      <c r="B145" s="146"/>
      <c r="C145" s="99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45"/>
      <c r="AA145" s="63"/>
      <c r="AB145" s="63"/>
    </row>
    <row r="146" spans="1:28" ht="15.75" x14ac:dyDescent="0.25">
      <c r="A146" s="57" t="s">
        <v>76</v>
      </c>
      <c r="B146" s="145">
        <f>B147+B150</f>
        <v>0</v>
      </c>
      <c r="C146" s="99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45"/>
      <c r="AA146" s="63"/>
      <c r="AB146" s="63"/>
    </row>
    <row r="147" spans="1:28" ht="15.75" x14ac:dyDescent="0.25">
      <c r="A147" s="2" t="s">
        <v>77</v>
      </c>
      <c r="B147" s="145">
        <f>B148+B149</f>
        <v>0</v>
      </c>
      <c r="C147" s="99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45"/>
      <c r="AA147" s="63"/>
      <c r="AB147" s="63"/>
    </row>
    <row r="148" spans="1:28" ht="15.75" x14ac:dyDescent="0.25">
      <c r="A148" s="2" t="s">
        <v>78</v>
      </c>
      <c r="B148" s="146"/>
      <c r="C148" s="99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45"/>
      <c r="AA148" s="63"/>
      <c r="AB148" s="63"/>
    </row>
    <row r="149" spans="1:28" ht="15.75" x14ac:dyDescent="0.25">
      <c r="A149" s="2" t="s">
        <v>206</v>
      </c>
      <c r="B149" s="146"/>
      <c r="C149" s="99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45"/>
      <c r="AA149" s="63"/>
      <c r="AB149" s="63"/>
    </row>
    <row r="150" spans="1:28" ht="15.75" x14ac:dyDescent="0.25">
      <c r="A150" s="2" t="s">
        <v>79</v>
      </c>
      <c r="B150" s="145">
        <f>B151+B152</f>
        <v>0</v>
      </c>
      <c r="C150" s="99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45"/>
      <c r="AA150" s="63"/>
      <c r="AB150" s="63"/>
    </row>
    <row r="151" spans="1:28" ht="15.75" x14ac:dyDescent="0.25">
      <c r="A151" s="2" t="s">
        <v>80</v>
      </c>
      <c r="B151" s="146"/>
      <c r="C151" s="99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45"/>
      <c r="AA151" s="63"/>
      <c r="AB151" s="63"/>
    </row>
    <row r="152" spans="1:28" ht="15.75" x14ac:dyDescent="0.25">
      <c r="A152" s="55" t="s">
        <v>207</v>
      </c>
      <c r="B152" s="146"/>
      <c r="C152" s="99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45"/>
      <c r="AA152" s="63"/>
      <c r="AB152" s="63"/>
    </row>
    <row r="153" spans="1:28" ht="15.75" x14ac:dyDescent="0.25">
      <c r="A153" s="57" t="s">
        <v>81</v>
      </c>
      <c r="B153" s="145">
        <f>B154+B155</f>
        <v>0</v>
      </c>
      <c r="C153" s="99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45"/>
      <c r="AA153" s="63"/>
      <c r="AB153" s="63"/>
    </row>
    <row r="154" spans="1:28" ht="15.75" x14ac:dyDescent="0.25">
      <c r="A154" s="55" t="s">
        <v>82</v>
      </c>
      <c r="B154" s="146"/>
      <c r="C154" s="99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45"/>
      <c r="AA154" s="63"/>
      <c r="AB154" s="63"/>
    </row>
    <row r="155" spans="1:28" ht="15.75" x14ac:dyDescent="0.25">
      <c r="A155" s="55" t="s">
        <v>208</v>
      </c>
      <c r="B155" s="146"/>
      <c r="C155" s="99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45"/>
      <c r="AA155" s="63"/>
      <c r="AB155" s="63"/>
    </row>
    <row r="156" spans="1:28" ht="15.75" x14ac:dyDescent="0.25">
      <c r="A156" s="57" t="s">
        <v>12</v>
      </c>
      <c r="B156" s="145">
        <f>B157</f>
        <v>0</v>
      </c>
      <c r="C156" s="99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45"/>
      <c r="AA156" s="63"/>
      <c r="AB156" s="63"/>
    </row>
    <row r="157" spans="1:28" ht="15.75" x14ac:dyDescent="0.25">
      <c r="A157" s="55" t="s">
        <v>83</v>
      </c>
      <c r="B157" s="145">
        <f>B158+B159</f>
        <v>0</v>
      </c>
      <c r="C157" s="99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45"/>
      <c r="AA157" s="63"/>
      <c r="AB157" s="63"/>
    </row>
    <row r="158" spans="1:28" ht="15.75" x14ac:dyDescent="0.25">
      <c r="A158" s="2" t="s">
        <v>84</v>
      </c>
      <c r="B158" s="146"/>
      <c r="C158" s="99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45"/>
      <c r="AA158" s="63"/>
      <c r="AB158" s="63"/>
    </row>
    <row r="159" spans="1:28" ht="15.75" x14ac:dyDescent="0.25">
      <c r="A159" s="2" t="s">
        <v>209</v>
      </c>
      <c r="B159" s="146"/>
      <c r="C159" s="99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45"/>
      <c r="AA159" s="63"/>
      <c r="AB159" s="63"/>
    </row>
    <row r="160" spans="1:28" ht="15.75" x14ac:dyDescent="0.25">
      <c r="A160" s="57" t="s">
        <v>233</v>
      </c>
      <c r="B160" s="145">
        <f>B161+B162</f>
        <v>0</v>
      </c>
      <c r="C160" s="99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45"/>
      <c r="AA160" s="63"/>
      <c r="AB160" s="63"/>
    </row>
    <row r="161" spans="1:28" ht="15.75" x14ac:dyDescent="0.25">
      <c r="A161" s="55" t="s">
        <v>281</v>
      </c>
      <c r="B161" s="146"/>
      <c r="C161" s="99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45"/>
      <c r="AA161" s="63"/>
      <c r="AB161" s="63"/>
    </row>
    <row r="162" spans="1:28" ht="15.75" x14ac:dyDescent="0.25">
      <c r="A162" s="55" t="s">
        <v>282</v>
      </c>
      <c r="B162" s="146"/>
      <c r="C162" s="99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45"/>
      <c r="AA162" s="63"/>
      <c r="AB162" s="63"/>
    </row>
    <row r="163" spans="1:28" ht="15.75" x14ac:dyDescent="0.25">
      <c r="A163" s="57" t="s">
        <v>13</v>
      </c>
      <c r="B163" s="145">
        <f>B164+B165</f>
        <v>0</v>
      </c>
      <c r="C163" s="99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45"/>
      <c r="AA163" s="63"/>
      <c r="AB163" s="63"/>
    </row>
    <row r="164" spans="1:28" ht="15.75" x14ac:dyDescent="0.25">
      <c r="A164" s="55" t="s">
        <v>85</v>
      </c>
      <c r="B164" s="146"/>
      <c r="C164" s="99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45"/>
      <c r="AA164" s="63"/>
      <c r="AB164" s="63"/>
    </row>
    <row r="165" spans="1:28" ht="15.75" x14ac:dyDescent="0.25">
      <c r="A165" s="55" t="s">
        <v>210</v>
      </c>
      <c r="B165" s="146"/>
      <c r="C165" s="99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45"/>
      <c r="AA165" s="63"/>
      <c r="AB165" s="63"/>
    </row>
    <row r="166" spans="1:28" ht="15.75" x14ac:dyDescent="0.25">
      <c r="A166" s="57" t="s">
        <v>14</v>
      </c>
      <c r="B166" s="145">
        <f>B167+B168</f>
        <v>0</v>
      </c>
      <c r="C166" s="99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45"/>
      <c r="AA166" s="63"/>
      <c r="AB166" s="63"/>
    </row>
    <row r="167" spans="1:28" ht="15.75" x14ac:dyDescent="0.25">
      <c r="A167" s="55" t="s">
        <v>253</v>
      </c>
      <c r="B167" s="146"/>
      <c r="C167" s="99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45"/>
      <c r="AA167" s="63"/>
      <c r="AB167" s="63"/>
    </row>
    <row r="168" spans="1:28" ht="15.75" x14ac:dyDescent="0.25">
      <c r="A168" s="55" t="s">
        <v>254</v>
      </c>
      <c r="B168" s="146"/>
      <c r="C168" s="99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45"/>
      <c r="AA168" s="63"/>
      <c r="AB168" s="63"/>
    </row>
    <row r="169" spans="1:28" ht="15.75" x14ac:dyDescent="0.25">
      <c r="A169" s="57" t="s">
        <v>323</v>
      </c>
      <c r="B169" s="145">
        <f>B170+B171</f>
        <v>0</v>
      </c>
      <c r="C169" s="99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45"/>
      <c r="AA169" s="63"/>
      <c r="AB169" s="63"/>
    </row>
    <row r="170" spans="1:28" ht="15.75" x14ac:dyDescent="0.25">
      <c r="A170" s="55" t="s">
        <v>255</v>
      </c>
      <c r="B170" s="146"/>
      <c r="C170" s="99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45"/>
      <c r="AA170" s="63"/>
      <c r="AB170" s="63"/>
    </row>
    <row r="171" spans="1:28" ht="15.75" x14ac:dyDescent="0.25">
      <c r="A171" s="55" t="s">
        <v>256</v>
      </c>
      <c r="B171" s="146"/>
      <c r="C171" s="99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45"/>
      <c r="AA171" s="63"/>
      <c r="AB171" s="63"/>
    </row>
    <row r="172" spans="1:28" ht="15.75" x14ac:dyDescent="0.25">
      <c r="A172" s="57" t="s">
        <v>234</v>
      </c>
      <c r="B172" s="145">
        <f>B174+B173</f>
        <v>0</v>
      </c>
      <c r="C172" s="99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45"/>
      <c r="AA172" s="63"/>
      <c r="AB172" s="63"/>
    </row>
    <row r="173" spans="1:28" ht="15.75" x14ac:dyDescent="0.25">
      <c r="A173" s="55" t="s">
        <v>235</v>
      </c>
      <c r="B173" s="147"/>
      <c r="C173" s="99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45"/>
      <c r="AA173" s="63"/>
      <c r="AB173" s="63"/>
    </row>
    <row r="174" spans="1:28" ht="15.75" x14ac:dyDescent="0.25">
      <c r="A174" s="55" t="s">
        <v>236</v>
      </c>
      <c r="B174" s="146"/>
      <c r="C174" s="99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45"/>
      <c r="AA174" s="63"/>
      <c r="AB174" s="63"/>
    </row>
    <row r="175" spans="1:28" ht="15.75" x14ac:dyDescent="0.25">
      <c r="A175" s="62" t="s">
        <v>86</v>
      </c>
      <c r="B175" s="148"/>
      <c r="C175" s="99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45"/>
      <c r="AA175" s="63"/>
      <c r="AB175" s="63"/>
    </row>
    <row r="176" spans="1:28" ht="15.75" x14ac:dyDescent="0.25">
      <c r="A176" s="81" t="s">
        <v>87</v>
      </c>
      <c r="B176" s="145">
        <f>B178+B177</f>
        <v>0</v>
      </c>
      <c r="C176" s="99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45"/>
      <c r="AA176" s="63"/>
      <c r="AB176" s="63"/>
    </row>
    <row r="177" spans="1:28" ht="15.75" x14ac:dyDescent="0.25">
      <c r="A177" s="55" t="s">
        <v>257</v>
      </c>
      <c r="B177" s="146"/>
      <c r="C177" s="99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45"/>
      <c r="AA177" s="63"/>
      <c r="AB177" s="63"/>
    </row>
    <row r="178" spans="1:28" ht="15.75" x14ac:dyDescent="0.25">
      <c r="A178" s="55" t="s">
        <v>258</v>
      </c>
      <c r="B178" s="146"/>
      <c r="C178" s="99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45"/>
      <c r="AA178" s="63"/>
      <c r="AB178" s="63"/>
    </row>
    <row r="179" spans="1:28" ht="15.75" x14ac:dyDescent="0.25">
      <c r="A179" s="62" t="s">
        <v>88</v>
      </c>
      <c r="B179" s="146"/>
      <c r="C179" s="99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45"/>
      <c r="AA179" s="63"/>
      <c r="AB179" s="63"/>
    </row>
    <row r="180" spans="1:28" ht="15.75" x14ac:dyDescent="0.25">
      <c r="A180" s="81" t="s">
        <v>15</v>
      </c>
      <c r="B180" s="145">
        <f>B181+B182</f>
        <v>0</v>
      </c>
      <c r="C180" s="99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45"/>
      <c r="AA180" s="63"/>
      <c r="AB180" s="63"/>
    </row>
    <row r="181" spans="1:28" ht="15.75" x14ac:dyDescent="0.25">
      <c r="A181" s="55" t="s">
        <v>16</v>
      </c>
      <c r="B181" s="146"/>
      <c r="C181" s="99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45"/>
      <c r="AA181" s="63"/>
      <c r="AB181" s="63"/>
    </row>
    <row r="182" spans="1:28" ht="15.75" x14ac:dyDescent="0.25">
      <c r="A182" s="55" t="s">
        <v>211</v>
      </c>
      <c r="B182" s="146"/>
      <c r="C182" s="99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45"/>
      <c r="AA182" s="63"/>
      <c r="AB182" s="63"/>
    </row>
    <row r="183" spans="1:28" ht="15.75" x14ac:dyDescent="0.25">
      <c r="A183" s="62" t="s">
        <v>124</v>
      </c>
      <c r="B183" s="146"/>
      <c r="C183" s="99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45"/>
      <c r="AA183" s="63"/>
      <c r="AB183" s="63"/>
    </row>
    <row r="184" spans="1:28" ht="15.75" x14ac:dyDescent="0.25">
      <c r="A184" s="62" t="s">
        <v>89</v>
      </c>
      <c r="B184" s="146"/>
      <c r="C184" s="99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45"/>
      <c r="AA184" s="63"/>
      <c r="AB184" s="63"/>
    </row>
    <row r="185" spans="1:28" ht="15.75" x14ac:dyDescent="0.25">
      <c r="A185" s="62" t="s">
        <v>285</v>
      </c>
      <c r="B185" s="159"/>
      <c r="C185" s="99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45"/>
      <c r="AA185" s="63"/>
      <c r="AB185" s="63"/>
    </row>
    <row r="186" spans="1:28" ht="15.75" x14ac:dyDescent="0.25">
      <c r="A186" s="81" t="s">
        <v>434</v>
      </c>
      <c r="B186" s="145">
        <f>B187</f>
        <v>0</v>
      </c>
      <c r="C186" s="99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45"/>
      <c r="AA186" s="63"/>
      <c r="AB186" s="63"/>
    </row>
    <row r="187" spans="1:28" ht="15.75" x14ac:dyDescent="0.25">
      <c r="A187" s="55" t="s">
        <v>435</v>
      </c>
      <c r="B187" s="159"/>
      <c r="C187" s="99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45"/>
      <c r="AA187" s="63"/>
      <c r="AB187" s="63"/>
    </row>
    <row r="188" spans="1:28" ht="15.75" x14ac:dyDescent="0.25">
      <c r="A188" s="81" t="s">
        <v>436</v>
      </c>
      <c r="B188" s="145">
        <f>SUM(B189:B191)</f>
        <v>0</v>
      </c>
      <c r="C188" s="99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45"/>
      <c r="AA188" s="63"/>
      <c r="AB188" s="63"/>
    </row>
    <row r="189" spans="1:28" ht="15.75" x14ac:dyDescent="0.25">
      <c r="A189" s="55" t="s">
        <v>324</v>
      </c>
      <c r="B189" s="146"/>
      <c r="C189" s="99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45"/>
      <c r="AA189" s="63"/>
      <c r="AB189" s="63"/>
    </row>
    <row r="190" spans="1:28" ht="15.75" x14ac:dyDescent="0.25">
      <c r="A190" s="55" t="s">
        <v>437</v>
      </c>
      <c r="B190" s="146"/>
      <c r="C190" s="99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45"/>
      <c r="AA190" s="63"/>
      <c r="AB190" s="63"/>
    </row>
    <row r="191" spans="1:28" ht="15.75" x14ac:dyDescent="0.25">
      <c r="A191" s="55" t="s">
        <v>438</v>
      </c>
      <c r="B191" s="146"/>
      <c r="C191" s="99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45"/>
      <c r="AA191" s="63"/>
      <c r="AB191" s="63"/>
    </row>
    <row r="192" spans="1:28" ht="15.75" x14ac:dyDescent="0.25">
      <c r="A192" s="81" t="s">
        <v>439</v>
      </c>
      <c r="B192" s="145">
        <f>SUM(B193:B195)</f>
        <v>0</v>
      </c>
      <c r="C192" s="99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45"/>
      <c r="AA192" s="63"/>
      <c r="AB192" s="63"/>
    </row>
    <row r="193" spans="1:28" ht="15.75" x14ac:dyDescent="0.25">
      <c r="A193" s="55" t="s">
        <v>440</v>
      </c>
      <c r="B193" s="146"/>
      <c r="C193" s="99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45"/>
      <c r="AA193" s="63"/>
      <c r="AB193" s="63"/>
    </row>
    <row r="194" spans="1:28" ht="15.75" x14ac:dyDescent="0.25">
      <c r="A194" s="55" t="s">
        <v>441</v>
      </c>
      <c r="B194" s="146"/>
      <c r="C194" s="99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45"/>
      <c r="AA194" s="63"/>
      <c r="AB194" s="63"/>
    </row>
    <row r="195" spans="1:28" ht="15.75" x14ac:dyDescent="0.25">
      <c r="A195" s="55" t="s">
        <v>442</v>
      </c>
      <c r="B195" s="146"/>
      <c r="C195" s="99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45"/>
      <c r="AA195" s="63"/>
      <c r="AB195" s="63"/>
    </row>
    <row r="196" spans="1:28" ht="15.75" x14ac:dyDescent="0.25">
      <c r="A196" s="62" t="s">
        <v>90</v>
      </c>
      <c r="B196" s="145"/>
      <c r="C196" s="99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45"/>
      <c r="AA196" s="63"/>
      <c r="AB196" s="63"/>
    </row>
    <row r="197" spans="1:28" ht="15.75" x14ac:dyDescent="0.25">
      <c r="A197" s="57" t="s">
        <v>91</v>
      </c>
      <c r="B197" s="145">
        <f>B198+B199+B200</f>
        <v>0</v>
      </c>
      <c r="C197" s="99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45"/>
      <c r="AA197" s="63"/>
      <c r="AB197" s="63"/>
    </row>
    <row r="198" spans="1:28" ht="15.75" x14ac:dyDescent="0.25">
      <c r="A198" s="55" t="s">
        <v>92</v>
      </c>
      <c r="B198" s="146"/>
      <c r="C198" s="99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45"/>
      <c r="AA198" s="63"/>
      <c r="AB198" s="63"/>
    </row>
    <row r="199" spans="1:28" ht="15.75" x14ac:dyDescent="0.25">
      <c r="A199" s="55" t="s">
        <v>93</v>
      </c>
      <c r="B199" s="146"/>
      <c r="C199" s="99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45"/>
      <c r="AA199" s="63"/>
      <c r="AB199" s="63"/>
    </row>
    <row r="200" spans="1:28" ht="15.75" x14ac:dyDescent="0.25">
      <c r="A200" s="55" t="s">
        <v>94</v>
      </c>
      <c r="B200" s="146"/>
      <c r="C200" s="99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45"/>
      <c r="AA200" s="63"/>
      <c r="AB200" s="63"/>
    </row>
    <row r="201" spans="1:28" ht="15.75" x14ac:dyDescent="0.25">
      <c r="A201" s="57" t="s">
        <v>95</v>
      </c>
      <c r="B201" s="145">
        <f>B202+B203+B204+B205</f>
        <v>0</v>
      </c>
      <c r="C201" s="99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45"/>
      <c r="AA201" s="63"/>
      <c r="AB201" s="63"/>
    </row>
    <row r="202" spans="1:28" ht="15.75" x14ac:dyDescent="0.25">
      <c r="A202" s="55" t="s">
        <v>96</v>
      </c>
      <c r="B202" s="146"/>
      <c r="C202" s="99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45"/>
      <c r="AA202" s="63"/>
      <c r="AB202" s="63"/>
    </row>
    <row r="203" spans="1:28" ht="15.75" customHeight="1" x14ac:dyDescent="0.25">
      <c r="A203" s="55" t="s">
        <v>98</v>
      </c>
      <c r="B203" s="146"/>
      <c r="C203" s="99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45"/>
      <c r="AA203" s="63"/>
      <c r="AB203" s="63"/>
    </row>
    <row r="204" spans="1:28" ht="12.75" customHeight="1" x14ac:dyDescent="0.25">
      <c r="A204" s="55" t="s">
        <v>97</v>
      </c>
      <c r="B204" s="146"/>
      <c r="C204" s="99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45"/>
      <c r="AA204" s="63"/>
      <c r="AB204" s="63"/>
    </row>
    <row r="205" spans="1:28" ht="26.25" x14ac:dyDescent="0.25">
      <c r="A205" s="55" t="s">
        <v>99</v>
      </c>
      <c r="B205" s="146"/>
      <c r="C205" s="99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45"/>
      <c r="AA205" s="63"/>
      <c r="AB205" s="63"/>
    </row>
    <row r="206" spans="1:28" ht="15.75" x14ac:dyDescent="0.25">
      <c r="A206" s="57" t="s">
        <v>100</v>
      </c>
      <c r="B206" s="145">
        <f>B207+B208+B209+B210</f>
        <v>0</v>
      </c>
      <c r="C206" s="99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45"/>
      <c r="AA206" s="63"/>
      <c r="AB206" s="63"/>
    </row>
    <row r="207" spans="1:28" ht="18.75" customHeight="1" x14ac:dyDescent="0.25">
      <c r="A207" s="55" t="s">
        <v>101</v>
      </c>
      <c r="B207" s="146"/>
      <c r="C207" s="99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45"/>
      <c r="AA207" s="63"/>
      <c r="AB207" s="63"/>
    </row>
    <row r="208" spans="1:28" ht="15.75" x14ac:dyDescent="0.25">
      <c r="A208" s="55" t="s">
        <v>102</v>
      </c>
      <c r="B208" s="146"/>
      <c r="C208" s="99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45"/>
      <c r="AA208" s="63"/>
      <c r="AB208" s="63"/>
    </row>
    <row r="209" spans="1:28" ht="15.75" customHeight="1" x14ac:dyDescent="0.25">
      <c r="A209" s="55" t="s">
        <v>103</v>
      </c>
      <c r="B209" s="146"/>
      <c r="C209" s="99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45"/>
      <c r="AA209" s="63"/>
      <c r="AB209" s="63"/>
    </row>
    <row r="210" spans="1:28" ht="26.25" x14ac:dyDescent="0.25">
      <c r="A210" s="55" t="s">
        <v>104</v>
      </c>
      <c r="B210" s="146"/>
      <c r="C210" s="99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45"/>
      <c r="AA210" s="63"/>
      <c r="AB210" s="63"/>
    </row>
    <row r="211" spans="1:28" ht="15.75" x14ac:dyDescent="0.25">
      <c r="A211" s="57" t="s">
        <v>105</v>
      </c>
      <c r="B211" s="145">
        <f>B212+B215+B218+B221</f>
        <v>0</v>
      </c>
      <c r="C211" s="99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45"/>
      <c r="AA211" s="63"/>
      <c r="AB211" s="63"/>
    </row>
    <row r="212" spans="1:28" ht="15.75" x14ac:dyDescent="0.25">
      <c r="A212" s="55" t="s">
        <v>106</v>
      </c>
      <c r="B212" s="145">
        <f>B213+B214</f>
        <v>0</v>
      </c>
      <c r="C212" s="99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45"/>
      <c r="AA212" s="63"/>
      <c r="AB212" s="63"/>
    </row>
    <row r="213" spans="1:28" ht="15.75" x14ac:dyDescent="0.25">
      <c r="A213" s="55" t="s">
        <v>107</v>
      </c>
      <c r="B213" s="146"/>
      <c r="C213" s="99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45"/>
      <c r="AA213" s="63"/>
      <c r="AB213" s="63"/>
    </row>
    <row r="214" spans="1:28" ht="15.75" x14ac:dyDescent="0.25">
      <c r="A214" s="55" t="s">
        <v>259</v>
      </c>
      <c r="B214" s="146"/>
      <c r="C214" s="99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45"/>
      <c r="AA214" s="63"/>
      <c r="AB214" s="63"/>
    </row>
    <row r="215" spans="1:28" ht="15.75" x14ac:dyDescent="0.25">
      <c r="A215" s="55" t="s">
        <v>108</v>
      </c>
      <c r="B215" s="145">
        <f>B216+B217</f>
        <v>0</v>
      </c>
      <c r="C215" s="99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45"/>
      <c r="AA215" s="63"/>
      <c r="AB215" s="63"/>
    </row>
    <row r="216" spans="1:28" ht="15.75" x14ac:dyDescent="0.25">
      <c r="A216" s="55" t="s">
        <v>111</v>
      </c>
      <c r="B216" s="146"/>
      <c r="C216" s="99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45"/>
      <c r="AA216" s="63"/>
      <c r="AB216" s="63"/>
    </row>
    <row r="217" spans="1:28" ht="15.75" x14ac:dyDescent="0.25">
      <c r="A217" s="55" t="s">
        <v>212</v>
      </c>
      <c r="B217" s="146"/>
      <c r="C217" s="99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45"/>
      <c r="AA217" s="63"/>
      <c r="AB217" s="63"/>
    </row>
    <row r="218" spans="1:28" ht="15.75" customHeight="1" x14ac:dyDescent="0.25">
      <c r="A218" s="55" t="s">
        <v>109</v>
      </c>
      <c r="B218" s="145">
        <f>B219+B220</f>
        <v>0</v>
      </c>
      <c r="C218" s="99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45"/>
      <c r="AA218" s="63"/>
      <c r="AB218" s="63"/>
    </row>
    <row r="219" spans="1:28" ht="15.75" x14ac:dyDescent="0.25">
      <c r="A219" s="55" t="s">
        <v>110</v>
      </c>
      <c r="B219" s="147"/>
      <c r="C219" s="99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45"/>
      <c r="AA219" s="63"/>
      <c r="AB219" s="63"/>
    </row>
    <row r="220" spans="1:28" ht="15.75" customHeight="1" x14ac:dyDescent="0.25">
      <c r="A220" s="55" t="s">
        <v>213</v>
      </c>
      <c r="B220" s="147"/>
      <c r="C220" s="99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45"/>
      <c r="AA220" s="63"/>
      <c r="AB220" s="63"/>
    </row>
    <row r="221" spans="1:28" ht="26.25" x14ac:dyDescent="0.25">
      <c r="A221" s="55" t="s">
        <v>112</v>
      </c>
      <c r="B221" s="145">
        <f>B222+B223</f>
        <v>0</v>
      </c>
      <c r="C221" s="99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45"/>
      <c r="AA221" s="63"/>
      <c r="AB221" s="63"/>
    </row>
    <row r="222" spans="1:28" ht="15.75" x14ac:dyDescent="0.25">
      <c r="A222" s="55" t="s">
        <v>113</v>
      </c>
      <c r="B222" s="146"/>
      <c r="C222" s="99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45"/>
      <c r="AA222" s="63"/>
      <c r="AB222" s="63"/>
    </row>
    <row r="223" spans="1:28" ht="15.75" x14ac:dyDescent="0.25">
      <c r="A223" s="55" t="s">
        <v>214</v>
      </c>
      <c r="B223" s="146"/>
      <c r="C223" s="99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45"/>
      <c r="AA223" s="63"/>
      <c r="AB223" s="63"/>
    </row>
    <row r="224" spans="1:28" ht="15.75" x14ac:dyDescent="0.25">
      <c r="A224" s="57" t="s">
        <v>114</v>
      </c>
      <c r="B224" s="145">
        <f>B225+B228+B231</f>
        <v>0</v>
      </c>
      <c r="C224" s="99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45"/>
      <c r="AA224" s="63"/>
      <c r="AB224" s="63"/>
    </row>
    <row r="225" spans="1:28" ht="15.75" x14ac:dyDescent="0.25">
      <c r="A225" s="55" t="s">
        <v>115</v>
      </c>
      <c r="B225" s="145">
        <f>B226+B227</f>
        <v>0</v>
      </c>
      <c r="C225" s="99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45"/>
      <c r="AA225" s="63"/>
      <c r="AB225" s="63"/>
    </row>
    <row r="226" spans="1:28" ht="15.75" x14ac:dyDescent="0.25">
      <c r="A226" s="55" t="s">
        <v>116</v>
      </c>
      <c r="B226" s="146"/>
      <c r="C226" s="99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45"/>
      <c r="AA226" s="63"/>
      <c r="AB226" s="63"/>
    </row>
    <row r="227" spans="1:28" ht="15.75" x14ac:dyDescent="0.25">
      <c r="A227" s="55" t="s">
        <v>215</v>
      </c>
      <c r="B227" s="146"/>
      <c r="C227" s="99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45"/>
      <c r="AA227" s="63"/>
      <c r="AB227" s="63"/>
    </row>
    <row r="228" spans="1:28" ht="15.75" x14ac:dyDescent="0.25">
      <c r="A228" s="55" t="s">
        <v>117</v>
      </c>
      <c r="B228" s="145">
        <f>B229+B230</f>
        <v>0</v>
      </c>
      <c r="C228" s="99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45"/>
      <c r="AA228" s="63"/>
      <c r="AB228" s="63"/>
    </row>
    <row r="229" spans="1:28" ht="15.75" x14ac:dyDescent="0.25">
      <c r="A229" s="55" t="s">
        <v>118</v>
      </c>
      <c r="B229" s="146"/>
      <c r="C229" s="99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45"/>
      <c r="AA229" s="63"/>
      <c r="AB229" s="63"/>
    </row>
    <row r="230" spans="1:28" ht="15.75" customHeight="1" x14ac:dyDescent="0.25">
      <c r="A230" s="55" t="s">
        <v>216</v>
      </c>
      <c r="B230" s="146"/>
      <c r="C230" s="99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45"/>
      <c r="AA230" s="63"/>
      <c r="AB230" s="63"/>
    </row>
    <row r="231" spans="1:28" ht="26.25" x14ac:dyDescent="0.25">
      <c r="A231" s="55" t="s">
        <v>119</v>
      </c>
      <c r="B231" s="145">
        <f>B232+B233</f>
        <v>0</v>
      </c>
      <c r="C231" s="99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45"/>
      <c r="AA231" s="63"/>
      <c r="AB231" s="63"/>
    </row>
    <row r="232" spans="1:28" ht="15.75" x14ac:dyDescent="0.25">
      <c r="A232" s="55" t="s">
        <v>120</v>
      </c>
      <c r="B232" s="146"/>
      <c r="C232" s="99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45"/>
      <c r="AA232" s="63"/>
      <c r="AB232" s="63"/>
    </row>
    <row r="233" spans="1:28" ht="15.75" x14ac:dyDescent="0.25">
      <c r="A233" s="55" t="s">
        <v>217</v>
      </c>
      <c r="B233" s="146"/>
      <c r="C233" s="99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45"/>
      <c r="AA233" s="63"/>
      <c r="AB233" s="63"/>
    </row>
    <row r="234" spans="1:28" ht="15.75" x14ac:dyDescent="0.25">
      <c r="A234" s="57" t="s">
        <v>121</v>
      </c>
      <c r="B234" s="145">
        <f>B235+B238+B241</f>
        <v>0</v>
      </c>
      <c r="C234" s="99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45"/>
      <c r="AA234" s="63"/>
      <c r="AB234" s="63"/>
    </row>
    <row r="235" spans="1:28" ht="15.75" x14ac:dyDescent="0.25">
      <c r="A235" s="55" t="s">
        <v>122</v>
      </c>
      <c r="B235" s="145">
        <f>B236+B237</f>
        <v>0</v>
      </c>
      <c r="C235" s="99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45"/>
      <c r="AA235" s="63"/>
      <c r="AB235" s="63"/>
    </row>
    <row r="236" spans="1:28" ht="15.75" x14ac:dyDescent="0.25">
      <c r="A236" s="55" t="s">
        <v>123</v>
      </c>
      <c r="B236" s="146"/>
      <c r="C236" s="99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45"/>
      <c r="AA236" s="63"/>
      <c r="AB236" s="63"/>
    </row>
    <row r="237" spans="1:28" ht="15.75" x14ac:dyDescent="0.25">
      <c r="A237" s="55" t="s">
        <v>218</v>
      </c>
      <c r="B237" s="146"/>
      <c r="C237" s="99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45"/>
      <c r="AA237" s="63"/>
      <c r="AB237" s="63"/>
    </row>
    <row r="238" spans="1:28" ht="15.75" x14ac:dyDescent="0.25">
      <c r="A238" s="55" t="s">
        <v>125</v>
      </c>
      <c r="B238" s="145">
        <f>B239+B240</f>
        <v>0</v>
      </c>
      <c r="C238" s="99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45"/>
      <c r="AA238" s="63"/>
      <c r="AB238" s="63"/>
    </row>
    <row r="239" spans="1:28" ht="15.75" x14ac:dyDescent="0.25">
      <c r="A239" s="55" t="s">
        <v>126</v>
      </c>
      <c r="B239" s="146"/>
      <c r="C239" s="99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45"/>
      <c r="AA239" s="63"/>
      <c r="AB239" s="63"/>
    </row>
    <row r="240" spans="1:28" ht="15.75" customHeight="1" x14ac:dyDescent="0.25">
      <c r="A240" s="55" t="s">
        <v>219</v>
      </c>
      <c r="B240" s="146"/>
      <c r="C240" s="99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45"/>
      <c r="AA240" s="63"/>
      <c r="AB240" s="63"/>
    </row>
    <row r="241" spans="1:28" ht="26.25" x14ac:dyDescent="0.25">
      <c r="A241" s="55" t="s">
        <v>127</v>
      </c>
      <c r="B241" s="145">
        <f>B242+B243</f>
        <v>0</v>
      </c>
      <c r="C241" s="99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45"/>
      <c r="AA241" s="63"/>
      <c r="AB241" s="63"/>
    </row>
    <row r="242" spans="1:28" ht="15.75" x14ac:dyDescent="0.25">
      <c r="A242" s="55" t="s">
        <v>128</v>
      </c>
      <c r="B242" s="146"/>
      <c r="C242" s="99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45"/>
      <c r="AA242" s="63"/>
      <c r="AB242" s="63"/>
    </row>
    <row r="243" spans="1:28" ht="15.75" x14ac:dyDescent="0.25">
      <c r="A243" s="55" t="s">
        <v>220</v>
      </c>
      <c r="B243" s="146"/>
      <c r="C243" s="99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45"/>
      <c r="AA243" s="63"/>
      <c r="AB243" s="63"/>
    </row>
    <row r="244" spans="1:28" ht="15.75" x14ac:dyDescent="0.25">
      <c r="A244" s="57" t="s">
        <v>284</v>
      </c>
      <c r="B244" s="146"/>
      <c r="C244" s="99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45"/>
      <c r="AA244" s="63"/>
      <c r="AB244" s="63"/>
    </row>
    <row r="245" spans="1:28" ht="15.75" x14ac:dyDescent="0.25">
      <c r="A245" s="58" t="s">
        <v>129</v>
      </c>
      <c r="B245" s="145">
        <f>B246+B247</f>
        <v>0</v>
      </c>
      <c r="C245" s="99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45"/>
      <c r="AA245" s="63"/>
      <c r="AB245" s="63"/>
    </row>
    <row r="246" spans="1:28" ht="15.75" x14ac:dyDescent="0.25">
      <c r="A246" s="55" t="s">
        <v>260</v>
      </c>
      <c r="B246" s="146"/>
      <c r="C246" s="99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45"/>
      <c r="AA246" s="63"/>
      <c r="AB246" s="63"/>
    </row>
    <row r="247" spans="1:28" ht="15.75" x14ac:dyDescent="0.25">
      <c r="A247" s="55" t="s">
        <v>261</v>
      </c>
      <c r="B247" s="146"/>
      <c r="C247" s="99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45"/>
      <c r="AA247" s="63"/>
      <c r="AB247" s="63"/>
    </row>
    <row r="248" spans="1:28" ht="15.75" x14ac:dyDescent="0.25">
      <c r="A248" s="55" t="s">
        <v>130</v>
      </c>
      <c r="B248" s="145">
        <f>B249+B250</f>
        <v>0</v>
      </c>
      <c r="C248" s="99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45"/>
      <c r="AA248" s="63"/>
      <c r="AB248" s="63"/>
    </row>
    <row r="249" spans="1:28" ht="15.75" x14ac:dyDescent="0.25">
      <c r="A249" s="55" t="s">
        <v>262</v>
      </c>
      <c r="B249" s="146"/>
      <c r="C249" s="99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45"/>
      <c r="AA249" s="63"/>
      <c r="AB249" s="63"/>
    </row>
    <row r="250" spans="1:28" ht="15.75" x14ac:dyDescent="0.25">
      <c r="A250" s="55" t="s">
        <v>263</v>
      </c>
      <c r="B250" s="146"/>
      <c r="C250" s="99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45"/>
      <c r="AA250" s="63"/>
      <c r="AB250" s="63"/>
    </row>
    <row r="251" spans="1:28" ht="15.75" x14ac:dyDescent="0.25">
      <c r="A251" s="62" t="s">
        <v>325</v>
      </c>
      <c r="B251" s="149"/>
      <c r="C251" s="99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45"/>
      <c r="AA251" s="63"/>
      <c r="AB251" s="63"/>
    </row>
    <row r="252" spans="1:28" ht="15.75" x14ac:dyDescent="0.25">
      <c r="A252" s="62" t="s">
        <v>326</v>
      </c>
      <c r="B252" s="149"/>
      <c r="C252" s="99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45"/>
      <c r="AA252" s="63"/>
      <c r="AB252" s="63"/>
    </row>
    <row r="253" spans="1:28" ht="15.75" x14ac:dyDescent="0.25">
      <c r="A253" s="62" t="s">
        <v>327</v>
      </c>
      <c r="B253" s="145">
        <f>B254+B255+B256+B257+B258+B259+B260+B261+B262</f>
        <v>0</v>
      </c>
      <c r="C253" s="99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45"/>
      <c r="AA253" s="63"/>
      <c r="AB253" s="63"/>
    </row>
    <row r="254" spans="1:28" ht="18.75" customHeight="1" x14ac:dyDescent="0.25">
      <c r="A254" s="55" t="s">
        <v>329</v>
      </c>
      <c r="B254" s="146"/>
      <c r="C254" s="99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45"/>
      <c r="AA254" s="63"/>
      <c r="AB254" s="63"/>
    </row>
    <row r="255" spans="1:28" ht="15.75" x14ac:dyDescent="0.25">
      <c r="A255" s="55" t="s">
        <v>328</v>
      </c>
      <c r="B255" s="146"/>
      <c r="C255" s="99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45"/>
      <c r="AA255" s="63"/>
      <c r="AB255" s="63"/>
    </row>
    <row r="256" spans="1:28" ht="15.75" customHeight="1" x14ac:dyDescent="0.25">
      <c r="A256" s="55" t="s">
        <v>330</v>
      </c>
      <c r="B256" s="146"/>
      <c r="C256" s="99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45"/>
      <c r="AA256" s="63"/>
      <c r="AB256" s="63"/>
    </row>
    <row r="257" spans="1:28" ht="15.75" x14ac:dyDescent="0.25">
      <c r="A257" s="55" t="s">
        <v>331</v>
      </c>
      <c r="B257" s="146"/>
      <c r="C257" s="99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45"/>
      <c r="AA257" s="63"/>
      <c r="AB257" s="63"/>
    </row>
    <row r="258" spans="1:28" ht="15.75" x14ac:dyDescent="0.25">
      <c r="A258" s="55" t="s">
        <v>332</v>
      </c>
      <c r="B258" s="146"/>
      <c r="C258" s="99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45"/>
      <c r="AA258" s="63"/>
      <c r="AB258" s="63"/>
    </row>
    <row r="259" spans="1:28" ht="15.75" x14ac:dyDescent="0.25">
      <c r="A259" s="55" t="s">
        <v>333</v>
      </c>
      <c r="B259" s="146"/>
      <c r="C259" s="99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45"/>
      <c r="AA259" s="63"/>
      <c r="AB259" s="63"/>
    </row>
    <row r="260" spans="1:28" ht="15.75" x14ac:dyDescent="0.25">
      <c r="A260" s="55" t="s">
        <v>334</v>
      </c>
      <c r="B260" s="146"/>
      <c r="C260" s="99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45"/>
      <c r="AA260" s="63"/>
      <c r="AB260" s="63"/>
    </row>
    <row r="261" spans="1:28" ht="15.75" x14ac:dyDescent="0.25">
      <c r="A261" s="55" t="s">
        <v>335</v>
      </c>
      <c r="B261" s="146"/>
      <c r="C261" s="99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45"/>
      <c r="AA261" s="63"/>
      <c r="AB261" s="63"/>
    </row>
    <row r="262" spans="1:28" ht="15.75" x14ac:dyDescent="0.25">
      <c r="A262" s="55" t="s">
        <v>336</v>
      </c>
      <c r="B262" s="146"/>
      <c r="C262" s="99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45"/>
      <c r="AA262" s="63"/>
      <c r="AB262" s="63"/>
    </row>
    <row r="263" spans="1:28" ht="15.75" x14ac:dyDescent="0.25">
      <c r="A263" s="76" t="s">
        <v>337</v>
      </c>
      <c r="B263" s="151"/>
      <c r="C263" s="99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45"/>
      <c r="AA263" s="63"/>
      <c r="AB263" s="63"/>
    </row>
    <row r="264" spans="1:28" ht="15.75" x14ac:dyDescent="0.25">
      <c r="A264" s="57" t="s">
        <v>131</v>
      </c>
      <c r="B264" s="150">
        <f>B265+B266+B267+B268</f>
        <v>0</v>
      </c>
      <c r="C264" s="99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45"/>
      <c r="AA264" s="63"/>
      <c r="AB264" s="63"/>
    </row>
    <row r="265" spans="1:28" ht="15.75" x14ac:dyDescent="0.25">
      <c r="A265" s="55" t="s">
        <v>132</v>
      </c>
      <c r="B265" s="146"/>
      <c r="C265" s="99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45"/>
      <c r="AA265" s="63"/>
      <c r="AB265" s="63"/>
    </row>
    <row r="266" spans="1:28" ht="15.75" x14ac:dyDescent="0.25">
      <c r="A266" s="55" t="s">
        <v>133</v>
      </c>
      <c r="B266" s="146"/>
      <c r="C266" s="99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45"/>
      <c r="AA266" s="63"/>
      <c r="AB266" s="63"/>
    </row>
    <row r="267" spans="1:28" ht="15.75" x14ac:dyDescent="0.25">
      <c r="A267" s="55" t="s">
        <v>134</v>
      </c>
      <c r="B267" s="146"/>
      <c r="C267" s="99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45"/>
      <c r="AA267" s="63"/>
      <c r="AB267" s="63"/>
    </row>
    <row r="268" spans="1:28" ht="26.25" x14ac:dyDescent="0.25">
      <c r="A268" s="58" t="s">
        <v>154</v>
      </c>
      <c r="B268" s="146"/>
      <c r="C268" s="99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45"/>
      <c r="AA268" s="63"/>
      <c r="AB268" s="63"/>
    </row>
    <row r="269" spans="1:28" ht="15.75" x14ac:dyDescent="0.25">
      <c r="A269" s="57" t="s">
        <v>338</v>
      </c>
      <c r="B269" s="146"/>
      <c r="C269" s="99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45"/>
      <c r="AA269" s="63"/>
      <c r="AB269" s="63"/>
    </row>
    <row r="270" spans="1:28" ht="15.75" x14ac:dyDescent="0.25">
      <c r="A270" s="76" t="s">
        <v>17</v>
      </c>
      <c r="B270" s="151"/>
      <c r="C270" s="99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45"/>
      <c r="AA270" s="63"/>
      <c r="AB270" s="63"/>
    </row>
    <row r="271" spans="1:28" ht="15.75" x14ac:dyDescent="0.25">
      <c r="A271" s="59" t="s">
        <v>135</v>
      </c>
      <c r="B271" s="152"/>
      <c r="C271" s="99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45"/>
      <c r="AA271" s="63"/>
      <c r="AB271" s="63"/>
    </row>
    <row r="272" spans="1:28" ht="15.75" x14ac:dyDescent="0.25">
      <c r="A272" s="59" t="s">
        <v>225</v>
      </c>
      <c r="B272" s="146"/>
      <c r="C272" s="99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45"/>
      <c r="AA272" s="63"/>
      <c r="AB272" s="63"/>
    </row>
    <row r="273" spans="1:28" ht="15.75" x14ac:dyDescent="0.25">
      <c r="A273" s="59" t="s">
        <v>226</v>
      </c>
      <c r="B273" s="146"/>
      <c r="C273" s="99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45"/>
      <c r="AA273" s="63"/>
      <c r="AB273" s="63"/>
    </row>
    <row r="274" spans="1:28" ht="15.75" x14ac:dyDescent="0.25">
      <c r="A274" s="59" t="s">
        <v>339</v>
      </c>
      <c r="B274" s="149"/>
      <c r="C274" s="99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45"/>
      <c r="AA274" s="63"/>
      <c r="AB274" s="63"/>
    </row>
    <row r="275" spans="1:28" ht="15.75" x14ac:dyDescent="0.25">
      <c r="A275" s="59" t="s">
        <v>340</v>
      </c>
      <c r="B275" s="149"/>
      <c r="C275" s="99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45"/>
      <c r="AA275" s="63"/>
      <c r="AB275" s="63"/>
    </row>
    <row r="276" spans="1:28" ht="15.75" x14ac:dyDescent="0.25">
      <c r="A276" s="76" t="s">
        <v>341</v>
      </c>
      <c r="B276" s="151"/>
      <c r="C276" s="99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45"/>
      <c r="AA276" s="63"/>
      <c r="AB276" s="63"/>
    </row>
    <row r="277" spans="1:28" ht="15.75" x14ac:dyDescent="0.25">
      <c r="A277" s="57" t="s">
        <v>342</v>
      </c>
      <c r="B277" s="145">
        <f>B278+B281</f>
        <v>0</v>
      </c>
      <c r="C277" s="99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45"/>
      <c r="AA277" s="63"/>
      <c r="AB277" s="63"/>
    </row>
    <row r="278" spans="1:28" ht="15.75" x14ac:dyDescent="0.25">
      <c r="A278" s="55" t="s">
        <v>346</v>
      </c>
      <c r="B278" s="145">
        <f>B279+B280</f>
        <v>0</v>
      </c>
      <c r="C278" s="99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45"/>
      <c r="AA278" s="63"/>
      <c r="AB278" s="63"/>
    </row>
    <row r="279" spans="1:28" ht="15.75" x14ac:dyDescent="0.25">
      <c r="A279" s="55" t="s">
        <v>347</v>
      </c>
      <c r="B279" s="146"/>
      <c r="C279" s="99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45"/>
      <c r="AA279" s="63"/>
      <c r="AB279" s="63"/>
    </row>
    <row r="280" spans="1:28" ht="15.75" x14ac:dyDescent="0.25">
      <c r="A280" s="55" t="s">
        <v>350</v>
      </c>
      <c r="B280" s="146"/>
      <c r="C280" s="99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45"/>
      <c r="AA280" s="63"/>
      <c r="AB280" s="63"/>
    </row>
    <row r="281" spans="1:28" ht="15.75" x14ac:dyDescent="0.25">
      <c r="A281" s="55" t="s">
        <v>348</v>
      </c>
      <c r="B281" s="145">
        <f>B282+B283</f>
        <v>0</v>
      </c>
      <c r="C281" s="99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45"/>
      <c r="AA281" s="63"/>
      <c r="AB281" s="63"/>
    </row>
    <row r="282" spans="1:28" ht="15.75" x14ac:dyDescent="0.25">
      <c r="A282" s="55" t="s">
        <v>349</v>
      </c>
      <c r="B282" s="146"/>
      <c r="C282" s="99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45"/>
      <c r="AA282" s="63"/>
      <c r="AB282" s="63"/>
    </row>
    <row r="283" spans="1:28" ht="15.75" x14ac:dyDescent="0.25">
      <c r="A283" s="55" t="s">
        <v>351</v>
      </c>
      <c r="B283" s="146"/>
      <c r="C283" s="99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45"/>
      <c r="AA283" s="63"/>
      <c r="AB283" s="63"/>
    </row>
    <row r="284" spans="1:28" ht="15.75" x14ac:dyDescent="0.25">
      <c r="A284" s="57" t="s">
        <v>345</v>
      </c>
      <c r="B284" s="145">
        <f>B285+B288</f>
        <v>0</v>
      </c>
      <c r="C284" s="99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45"/>
      <c r="AA284" s="63"/>
      <c r="AB284" s="63"/>
    </row>
    <row r="285" spans="1:28" ht="15.75" x14ac:dyDescent="0.25">
      <c r="A285" s="55" t="s">
        <v>352</v>
      </c>
      <c r="B285" s="145">
        <f>B286+B287</f>
        <v>0</v>
      </c>
      <c r="C285" s="99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45"/>
      <c r="AA285" s="63"/>
      <c r="AB285" s="63"/>
    </row>
    <row r="286" spans="1:28" ht="15.75" x14ac:dyDescent="0.25">
      <c r="A286" s="55" t="s">
        <v>343</v>
      </c>
      <c r="B286" s="146"/>
      <c r="C286" s="99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45"/>
      <c r="AA286" s="63"/>
      <c r="AB286" s="63"/>
    </row>
    <row r="287" spans="1:28" ht="15.75" x14ac:dyDescent="0.25">
      <c r="A287" s="55" t="s">
        <v>353</v>
      </c>
      <c r="B287" s="146"/>
      <c r="C287" s="99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45"/>
      <c r="AA287" s="63"/>
      <c r="AB287" s="63"/>
    </row>
    <row r="288" spans="1:28" ht="15.75" x14ac:dyDescent="0.25">
      <c r="A288" s="55" t="s">
        <v>354</v>
      </c>
      <c r="B288" s="145">
        <f>B289+B290</f>
        <v>0</v>
      </c>
      <c r="C288" s="99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45"/>
      <c r="AA288" s="63"/>
      <c r="AB288" s="63"/>
    </row>
    <row r="289" spans="1:28" ht="15.75" x14ac:dyDescent="0.25">
      <c r="A289" s="55" t="s">
        <v>344</v>
      </c>
      <c r="B289" s="146"/>
      <c r="C289" s="99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45"/>
      <c r="AA289" s="63"/>
      <c r="AB289" s="63"/>
    </row>
    <row r="290" spans="1:28" ht="15.75" x14ac:dyDescent="0.25">
      <c r="A290" s="55" t="s">
        <v>355</v>
      </c>
      <c r="B290" s="146"/>
      <c r="C290" s="99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45"/>
      <c r="AA290" s="63"/>
      <c r="AB290" s="63"/>
    </row>
    <row r="291" spans="1:28" ht="15.75" x14ac:dyDescent="0.25">
      <c r="A291" s="78" t="s">
        <v>18</v>
      </c>
      <c r="B291" s="155"/>
      <c r="C291" s="99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45"/>
      <c r="AA291" s="63"/>
      <c r="AB291" s="63"/>
    </row>
    <row r="292" spans="1:28" ht="15.75" x14ac:dyDescent="0.25">
      <c r="A292" s="79" t="s">
        <v>19</v>
      </c>
      <c r="B292" s="156"/>
      <c r="C292" s="99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45"/>
      <c r="AA292" s="63"/>
      <c r="AB292" s="63"/>
    </row>
    <row r="293" spans="1:28" ht="15.75" x14ac:dyDescent="0.25">
      <c r="A293" s="74" t="s">
        <v>20</v>
      </c>
      <c r="B293" s="153"/>
      <c r="C293" s="99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45"/>
      <c r="AA293" s="63"/>
      <c r="AB293" s="63"/>
    </row>
    <row r="294" spans="1:28" ht="15.75" x14ac:dyDescent="0.25">
      <c r="A294" s="80" t="s">
        <v>21</v>
      </c>
      <c r="B294" s="157"/>
      <c r="C294" s="99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45"/>
      <c r="AA294" s="63"/>
      <c r="AB294" s="63"/>
    </row>
    <row r="295" spans="1:28" ht="15.75" x14ac:dyDescent="0.25">
      <c r="A295" s="75" t="s">
        <v>137</v>
      </c>
      <c r="B295" s="154"/>
      <c r="C295" s="99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45"/>
      <c r="AA295" s="63"/>
      <c r="AB295" s="63"/>
    </row>
    <row r="296" spans="1:28" ht="15.75" x14ac:dyDescent="0.25">
      <c r="A296" s="57" t="s">
        <v>138</v>
      </c>
      <c r="B296" s="152"/>
      <c r="C296" s="99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45"/>
      <c r="AA296" s="63"/>
      <c r="AB296" s="63"/>
    </row>
    <row r="297" spans="1:28" ht="15.75" x14ac:dyDescent="0.25">
      <c r="A297" s="57" t="s">
        <v>136</v>
      </c>
      <c r="B297" s="145">
        <f>B298+B301+B304+B307+B310+B312</f>
        <v>0</v>
      </c>
      <c r="C297" s="99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45"/>
      <c r="AA297" s="63"/>
      <c r="AB297" s="63"/>
    </row>
    <row r="298" spans="1:28" ht="15.75" x14ac:dyDescent="0.25">
      <c r="A298" s="60" t="s">
        <v>155</v>
      </c>
      <c r="B298" s="145">
        <f>B299+B300</f>
        <v>0</v>
      </c>
      <c r="C298" s="99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45"/>
      <c r="AA298" s="63"/>
      <c r="AB298" s="63"/>
    </row>
    <row r="299" spans="1:28" ht="15.75" x14ac:dyDescent="0.25">
      <c r="A299" s="55" t="s">
        <v>139</v>
      </c>
      <c r="B299" s="146"/>
      <c r="C299" s="99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45"/>
      <c r="AA299" s="63"/>
      <c r="AB299" s="63"/>
    </row>
    <row r="300" spans="1:28" ht="15.75" x14ac:dyDescent="0.25">
      <c r="A300" s="55" t="s">
        <v>221</v>
      </c>
      <c r="B300" s="146"/>
      <c r="C300" s="99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45"/>
      <c r="AA300" s="63"/>
      <c r="AB300" s="63"/>
    </row>
    <row r="301" spans="1:28" ht="15.75" x14ac:dyDescent="0.25">
      <c r="A301" s="55" t="s">
        <v>140</v>
      </c>
      <c r="B301" s="145">
        <f>B302+B303</f>
        <v>0</v>
      </c>
      <c r="C301" s="99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45"/>
      <c r="AA301" s="63"/>
      <c r="AB301" s="63"/>
    </row>
    <row r="302" spans="1:28" ht="15.75" x14ac:dyDescent="0.25">
      <c r="A302" s="55" t="s">
        <v>141</v>
      </c>
      <c r="B302" s="146"/>
      <c r="C302" s="99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45"/>
      <c r="AA302" s="63"/>
      <c r="AB302" s="63"/>
    </row>
    <row r="303" spans="1:28" ht="15.75" x14ac:dyDescent="0.25">
      <c r="A303" s="55" t="s">
        <v>222</v>
      </c>
      <c r="B303" s="146"/>
      <c r="C303" s="99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45"/>
      <c r="AA303" s="63"/>
      <c r="AB303" s="63"/>
    </row>
    <row r="304" spans="1:28" ht="15.75" x14ac:dyDescent="0.25">
      <c r="A304" s="55" t="s">
        <v>142</v>
      </c>
      <c r="B304" s="145">
        <f>B305+B306</f>
        <v>0</v>
      </c>
      <c r="C304" s="99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45"/>
      <c r="AA304" s="63"/>
      <c r="AB304" s="63"/>
    </row>
    <row r="305" spans="1:28" ht="15.75" x14ac:dyDescent="0.25">
      <c r="A305" s="55" t="s">
        <v>22</v>
      </c>
      <c r="B305" s="146"/>
      <c r="C305" s="99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45"/>
      <c r="AA305" s="63"/>
      <c r="AB305" s="63"/>
    </row>
    <row r="306" spans="1:28" ht="15.75" x14ac:dyDescent="0.25">
      <c r="A306" s="55" t="s">
        <v>223</v>
      </c>
      <c r="B306" s="146"/>
      <c r="C306" s="99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45"/>
      <c r="AA306" s="63"/>
      <c r="AB306" s="63"/>
    </row>
    <row r="307" spans="1:28" ht="15.75" x14ac:dyDescent="0.25">
      <c r="A307" s="55" t="s">
        <v>143</v>
      </c>
      <c r="B307" s="145">
        <f>B308+B309</f>
        <v>0</v>
      </c>
      <c r="C307" s="99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45"/>
      <c r="AA307" s="63"/>
      <c r="AB307" s="63"/>
    </row>
    <row r="308" spans="1:28" ht="15.75" x14ac:dyDescent="0.25">
      <c r="A308" s="55" t="s">
        <v>144</v>
      </c>
      <c r="B308" s="146"/>
      <c r="C308" s="99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45"/>
      <c r="AA308" s="63"/>
      <c r="AB308" s="63"/>
    </row>
    <row r="309" spans="1:28" ht="15.75" x14ac:dyDescent="0.25">
      <c r="A309" s="55" t="s">
        <v>224</v>
      </c>
      <c r="B309" s="146"/>
      <c r="C309" s="99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45"/>
      <c r="AA309" s="63"/>
      <c r="AB309" s="63"/>
    </row>
    <row r="310" spans="1:28" ht="15.75" x14ac:dyDescent="0.25">
      <c r="A310" s="55" t="s">
        <v>145</v>
      </c>
      <c r="B310" s="148"/>
      <c r="C310" s="99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45"/>
      <c r="AA310" s="63"/>
      <c r="AB310" s="63"/>
    </row>
    <row r="311" spans="1:28" ht="15.75" x14ac:dyDescent="0.25">
      <c r="A311" s="60" t="s">
        <v>146</v>
      </c>
      <c r="B311" s="145"/>
      <c r="C311" s="99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45"/>
      <c r="AA311" s="63"/>
      <c r="AB311" s="63"/>
    </row>
    <row r="312" spans="1:28" ht="15.75" x14ac:dyDescent="0.25">
      <c r="A312" s="55" t="s">
        <v>147</v>
      </c>
      <c r="B312" s="146"/>
      <c r="C312" s="99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45"/>
      <c r="AA312" s="63"/>
      <c r="AB312" s="63"/>
    </row>
    <row r="313" spans="1:28" ht="25.5" x14ac:dyDescent="0.25">
      <c r="A313" s="61" t="s">
        <v>230</v>
      </c>
      <c r="B313" s="147"/>
      <c r="C313" s="99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45"/>
      <c r="AA313" s="63"/>
      <c r="AB313" s="63"/>
    </row>
    <row r="314" spans="1:28" ht="15.75" x14ac:dyDescent="0.25">
      <c r="A314" s="57" t="s">
        <v>148</v>
      </c>
      <c r="B314" s="149"/>
      <c r="C314" s="99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45"/>
      <c r="AA314" s="63"/>
      <c r="AB314" s="63"/>
    </row>
    <row r="315" spans="1:28" ht="26.25" x14ac:dyDescent="0.25">
      <c r="A315" s="76" t="s">
        <v>356</v>
      </c>
      <c r="B315" s="151"/>
      <c r="C315" s="99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45"/>
      <c r="AA315" s="63"/>
      <c r="AB315" s="63"/>
    </row>
    <row r="316" spans="1:28" ht="15.75" x14ac:dyDescent="0.25">
      <c r="A316" s="57" t="s">
        <v>149</v>
      </c>
      <c r="B316" s="148"/>
      <c r="C316" s="99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45"/>
      <c r="AA316" s="63"/>
      <c r="AB316" s="63"/>
    </row>
    <row r="317" spans="1:28" ht="15.75" x14ac:dyDescent="0.25">
      <c r="A317" s="55" t="s">
        <v>357</v>
      </c>
      <c r="B317" s="145">
        <f>B318+B319</f>
        <v>0</v>
      </c>
      <c r="C317" s="99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45"/>
      <c r="AA317" s="63"/>
      <c r="AB317" s="63"/>
    </row>
    <row r="318" spans="1:28" ht="15.75" x14ac:dyDescent="0.25">
      <c r="A318" s="55" t="s">
        <v>22</v>
      </c>
      <c r="B318" s="146"/>
      <c r="C318" s="99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45"/>
      <c r="AA318" s="63"/>
      <c r="AB318" s="63"/>
    </row>
    <row r="319" spans="1:28" ht="15.75" x14ac:dyDescent="0.25">
      <c r="A319" s="55" t="s">
        <v>223</v>
      </c>
      <c r="B319" s="146"/>
      <c r="C319" s="99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45"/>
      <c r="AA319" s="63"/>
      <c r="AB319" s="63"/>
    </row>
    <row r="320" spans="1:28" s="267" customFormat="1" ht="18.75" customHeight="1" x14ac:dyDescent="0.2">
      <c r="A320" s="268" t="s">
        <v>444</v>
      </c>
      <c r="B320" s="270"/>
      <c r="C320" s="263"/>
      <c r="D320" s="264"/>
      <c r="E320" s="264"/>
      <c r="F320" s="264"/>
      <c r="G320" s="264"/>
      <c r="H320" s="264"/>
      <c r="I320" s="264"/>
      <c r="J320" s="264"/>
      <c r="K320" s="264"/>
      <c r="L320" s="264"/>
      <c r="M320" s="264"/>
      <c r="N320" s="264"/>
      <c r="O320" s="264"/>
      <c r="P320" s="264"/>
      <c r="Q320" s="264"/>
      <c r="R320" s="264"/>
      <c r="S320" s="264"/>
      <c r="T320" s="264"/>
      <c r="U320" s="264"/>
      <c r="V320" s="264"/>
      <c r="W320" s="264"/>
      <c r="X320" s="264"/>
      <c r="Y320" s="264"/>
      <c r="Z320" s="265"/>
      <c r="AA320" s="266"/>
      <c r="AB320" s="266"/>
    </row>
    <row r="321" spans="1:28" s="267" customFormat="1" ht="18.75" customHeight="1" x14ac:dyDescent="0.2">
      <c r="A321" s="269" t="s">
        <v>446</v>
      </c>
      <c r="B321" s="152"/>
      <c r="C321" s="263"/>
      <c r="D321" s="264"/>
      <c r="E321" s="264"/>
      <c r="F321" s="264"/>
      <c r="G321" s="264"/>
      <c r="H321" s="264"/>
      <c r="I321" s="264"/>
      <c r="J321" s="264"/>
      <c r="K321" s="264"/>
      <c r="L321" s="264"/>
      <c r="M321" s="264"/>
      <c r="N321" s="264"/>
      <c r="O321" s="264"/>
      <c r="P321" s="264"/>
      <c r="Q321" s="264"/>
      <c r="R321" s="264"/>
      <c r="S321" s="264"/>
      <c r="T321" s="264"/>
      <c r="U321" s="264"/>
      <c r="V321" s="264"/>
      <c r="W321" s="264"/>
      <c r="X321" s="264"/>
      <c r="Y321" s="264"/>
      <c r="Z321" s="265"/>
      <c r="AA321" s="266"/>
      <c r="AB321" s="266"/>
    </row>
    <row r="322" spans="1:28" s="267" customFormat="1" ht="18.75" customHeight="1" x14ac:dyDescent="0.2">
      <c r="A322" s="269" t="s">
        <v>447</v>
      </c>
      <c r="B322" s="148"/>
      <c r="C322" s="263"/>
      <c r="D322" s="264"/>
      <c r="E322" s="264"/>
      <c r="F322" s="264"/>
      <c r="G322" s="264"/>
      <c r="H322" s="264"/>
      <c r="I322" s="264"/>
      <c r="J322" s="264"/>
      <c r="K322" s="264"/>
      <c r="L322" s="264"/>
      <c r="M322" s="264"/>
      <c r="N322" s="264"/>
      <c r="O322" s="264"/>
      <c r="P322" s="264"/>
      <c r="Q322" s="264"/>
      <c r="R322" s="264"/>
      <c r="S322" s="264"/>
      <c r="T322" s="264"/>
      <c r="U322" s="264"/>
      <c r="V322" s="264"/>
      <c r="W322" s="264"/>
      <c r="X322" s="264"/>
      <c r="Y322" s="264"/>
      <c r="Z322" s="265"/>
      <c r="AA322" s="266"/>
      <c r="AB322" s="266"/>
    </row>
    <row r="323" spans="1:28" ht="30" customHeight="1" x14ac:dyDescent="0.25">
      <c r="A323" s="268" t="s">
        <v>445</v>
      </c>
      <c r="B323" s="146"/>
      <c r="C323" s="99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45"/>
      <c r="AA323" s="63"/>
      <c r="AB323" s="63"/>
    </row>
    <row r="324" spans="1:28" ht="15.75" x14ac:dyDescent="0.25">
      <c r="A324" s="52"/>
      <c r="B324" s="50"/>
      <c r="C324" s="99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45"/>
      <c r="AA324" s="63"/>
      <c r="AB324" s="63"/>
    </row>
    <row r="325" spans="1:28" ht="15.75" x14ac:dyDescent="0.25">
      <c r="A325" s="53"/>
      <c r="B325" s="50"/>
      <c r="C325" s="99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45"/>
      <c r="AA325" s="63"/>
      <c r="AB325" s="63"/>
    </row>
    <row r="326" spans="1:28" ht="15.75" x14ac:dyDescent="0.25">
      <c r="A326" s="41"/>
      <c r="B326" s="42"/>
      <c r="C326" s="99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45"/>
      <c r="AA326" s="63"/>
      <c r="AB326" s="63"/>
    </row>
  </sheetData>
  <sheetProtection sheet="1" objects="1" scenarios="1" selectLockedCells="1"/>
  <mergeCells count="2">
    <mergeCell ref="E11:F11"/>
    <mergeCell ref="F15:P15"/>
  </mergeCells>
  <dataValidations count="8">
    <dataValidation allowBlank="1" showInputMessage="1" showErrorMessage="1" prompt="Limit your input in a maximum of 70 characters per bullet." sqref="F17:F74"/>
    <dataValidation allowBlank="1" showInputMessage="1" showErrorMessage="1" prompt="Limit your input in a maximum of 80 characters per bullet." sqref="F13:F14"/>
    <dataValidation type="whole" allowBlank="1" showInputMessage="1" showErrorMessage="1" sqref="G68:P119 R68:Y119 D75:F119 Q75:Q119 B71:C122">
      <formula1>0</formula1>
      <formula2>10000000000000000000</formula2>
    </dataValidation>
    <dataValidation type="whole" allowBlank="1" showInputMessage="1" showErrorMessage="1" sqref="D217:Y263 D120:Y173 B176 B218:C275 B123:C174 C320:C322">
      <formula1>0</formula1>
      <formula2>1000000000000000000</formula2>
    </dataValidation>
    <dataValidation type="whole" allowBlank="1" showInputMessage="1" showErrorMessage="1" sqref="D38:D55 G16:P67 B15:C70 D19:D36 Q19:Q36 R15:Z67 Q38:Q55 D57:D74 Q57:Q74 Z68:Z326">
      <formula1>0</formula1>
      <formula2>1E+22</formula2>
    </dataValidation>
    <dataValidation type="whole" allowBlank="1" showInputMessage="1" showErrorMessage="1" sqref="D264:Y299 C276:C277 B276 D320:Y322">
      <formula1>0</formula1>
      <formula2>100000000000000000</formula2>
    </dataValidation>
    <dataValidation type="whole" allowBlank="1" showInputMessage="1" showErrorMessage="1" sqref="B277:B319 C278:C317 D300:Y319 D323:Y326 B321:B323">
      <formula1>0</formula1>
      <formula2>1E+24</formula2>
    </dataValidation>
    <dataValidation type="whole" allowBlank="1" showInputMessage="1" showErrorMessage="1" sqref="B175 D174:Y216 B177:B217 C175:C217 C318:C319">
      <formula1>0</formula1>
      <formula2>100000000000000000000</formula2>
    </dataValidation>
  </dataValidations>
  <pageMargins left="0.7" right="0.7" top="0.75" bottom="0.75" header="0.3" footer="0.3"/>
  <pageSetup paperSize="768" orientation="portrait" horizontalDpi="0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325"/>
  <sheetViews>
    <sheetView zoomScale="70" zoomScaleNormal="70" workbookViewId="0">
      <pane ySplit="12" topLeftCell="A199" activePane="bottomLeft" state="frozen"/>
      <selection pane="bottomLeft" activeCell="Y191" sqref="Y191"/>
    </sheetView>
  </sheetViews>
  <sheetFormatPr defaultRowHeight="12.75" x14ac:dyDescent="0.2"/>
  <cols>
    <col min="1" max="1" width="43.85546875" style="1" customWidth="1"/>
    <col min="8" max="9" width="9.140625" customWidth="1"/>
    <col min="10" max="10" width="10.42578125" customWidth="1"/>
    <col min="14" max="14" width="12.28515625" customWidth="1"/>
    <col min="15" max="15" width="12.85546875" customWidth="1"/>
    <col min="16" max="16" width="13.140625" customWidth="1"/>
    <col min="17" max="17" width="13.85546875" customWidth="1"/>
    <col min="18" max="18" width="14.5703125" customWidth="1"/>
    <col min="19" max="19" width="12.5703125" customWidth="1"/>
    <col min="20" max="20" width="14.28515625" style="35" customWidth="1"/>
    <col min="21" max="21" width="9.140625" style="279"/>
  </cols>
  <sheetData>
    <row r="1" spans="1:22" x14ac:dyDescent="0.2">
      <c r="A1" s="93"/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5"/>
    </row>
    <row r="2" spans="1:22" x14ac:dyDescent="0.2">
      <c r="A2" s="93"/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5"/>
    </row>
    <row r="3" spans="1:22" x14ac:dyDescent="0.2">
      <c r="A3" s="93"/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5"/>
    </row>
    <row r="4" spans="1:22" x14ac:dyDescent="0.2">
      <c r="A4" s="93"/>
      <c r="B4" s="94"/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5"/>
    </row>
    <row r="5" spans="1:22" x14ac:dyDescent="0.2">
      <c r="A5" s="93"/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  <c r="R5" s="94"/>
      <c r="S5" s="94"/>
      <c r="T5" s="95"/>
    </row>
    <row r="6" spans="1:22" x14ac:dyDescent="0.2">
      <c r="A6" s="93"/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5"/>
    </row>
    <row r="7" spans="1:22" x14ac:dyDescent="0.2">
      <c r="A7" s="93"/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5"/>
    </row>
    <row r="8" spans="1:22" ht="15" x14ac:dyDescent="0.25">
      <c r="A8" s="93"/>
      <c r="B8" s="94"/>
      <c r="C8" s="94"/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5"/>
      <c r="V8" s="34"/>
    </row>
    <row r="9" spans="1:22" x14ac:dyDescent="0.2">
      <c r="A9" s="96"/>
      <c r="B9" s="94"/>
      <c r="C9" s="94"/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5"/>
    </row>
    <row r="10" spans="1:22" x14ac:dyDescent="0.2">
      <c r="A10" s="97"/>
      <c r="B10" s="94"/>
      <c r="C10" s="94"/>
      <c r="D10" s="94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5"/>
    </row>
    <row r="11" spans="1:22" ht="15.75" x14ac:dyDescent="0.25">
      <c r="A11" s="92" t="str">
        <f>'MAIN PAGE'!E11</f>
        <v xml:space="preserve"> </v>
      </c>
      <c r="B11" s="327" t="s">
        <v>229</v>
      </c>
      <c r="C11" s="327"/>
      <c r="D11" s="327"/>
      <c r="E11" s="327"/>
      <c r="F11" s="327"/>
      <c r="G11" s="327"/>
      <c r="H11" s="327"/>
      <c r="I11" s="327"/>
      <c r="J11" s="327"/>
      <c r="K11" s="327"/>
      <c r="L11" s="327"/>
      <c r="M11" s="327"/>
      <c r="N11" s="327"/>
      <c r="O11" s="327"/>
      <c r="P11" s="327"/>
      <c r="Q11" s="327"/>
      <c r="R11" s="327"/>
      <c r="S11" s="32"/>
      <c r="T11" s="36" t="s">
        <v>181</v>
      </c>
    </row>
    <row r="12" spans="1:22" x14ac:dyDescent="0.2">
      <c r="A12" s="48" t="s">
        <v>1</v>
      </c>
      <c r="B12" s="4" t="s">
        <v>157</v>
      </c>
      <c r="C12" s="4" t="s">
        <v>158</v>
      </c>
      <c r="D12" s="4" t="s">
        <v>159</v>
      </c>
      <c r="E12" s="4" t="s">
        <v>160</v>
      </c>
      <c r="F12" s="4" t="s">
        <v>2</v>
      </c>
      <c r="G12" s="4" t="s">
        <v>161</v>
      </c>
      <c r="H12" s="4" t="s">
        <v>162</v>
      </c>
      <c r="I12" s="4" t="s">
        <v>163</v>
      </c>
      <c r="J12" s="4" t="s">
        <v>164</v>
      </c>
      <c r="K12" s="4" t="s">
        <v>165</v>
      </c>
      <c r="L12" s="4" t="s">
        <v>166</v>
      </c>
      <c r="M12" s="4" t="s">
        <v>167</v>
      </c>
      <c r="N12" s="224" t="s">
        <v>168</v>
      </c>
      <c r="O12" s="224" t="s">
        <v>169</v>
      </c>
      <c r="P12" s="224" t="s">
        <v>170</v>
      </c>
      <c r="Q12" s="224" t="s">
        <v>171</v>
      </c>
      <c r="R12" s="224" t="s">
        <v>172</v>
      </c>
      <c r="S12" s="224" t="s">
        <v>361</v>
      </c>
      <c r="T12" s="36" t="s">
        <v>401</v>
      </c>
    </row>
    <row r="13" spans="1:22" x14ac:dyDescent="0.2">
      <c r="A13" s="73" t="s">
        <v>3</v>
      </c>
      <c r="B13" s="87"/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4"/>
      <c r="T13" s="88"/>
    </row>
    <row r="14" spans="1:22" x14ac:dyDescent="0.2">
      <c r="A14" s="183" t="s">
        <v>4</v>
      </c>
      <c r="B14" s="184"/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89"/>
      <c r="S14" s="85"/>
      <c r="T14" s="90"/>
    </row>
    <row r="15" spans="1:22" ht="15.75" customHeight="1" x14ac:dyDescent="0.25">
      <c r="A15" s="47" t="s">
        <v>23</v>
      </c>
      <c r="B15" s="162">
        <f>JANUARY!B15</f>
        <v>2078</v>
      </c>
      <c r="C15" s="162">
        <f>FEBRUARY!B15</f>
        <v>200</v>
      </c>
      <c r="D15" s="162">
        <f>MARCH!B15</f>
        <v>250</v>
      </c>
      <c r="E15" s="162">
        <f>APRIL!B15</f>
        <v>253</v>
      </c>
      <c r="F15" s="162">
        <f>MAY!B15</f>
        <v>610</v>
      </c>
      <c r="G15" s="162">
        <f>JUNE!B15</f>
        <v>107</v>
      </c>
      <c r="H15" s="162">
        <f>JULY!B15</f>
        <v>1306</v>
      </c>
      <c r="I15" s="162">
        <f>AUGUST!B15</f>
        <v>1334</v>
      </c>
      <c r="J15" s="162">
        <f>SEPTEMBER!B15</f>
        <v>41</v>
      </c>
      <c r="K15" s="162">
        <f>OCTOBER!B15</f>
        <v>300</v>
      </c>
      <c r="L15" s="162">
        <f>NOVEMBER!B15</f>
        <v>0</v>
      </c>
      <c r="M15" s="162">
        <f>DECEMBER!B15</f>
        <v>0</v>
      </c>
      <c r="N15" s="185">
        <f>B15+C15+D15</f>
        <v>2528</v>
      </c>
      <c r="O15" s="185">
        <f>E15+F15+G15</f>
        <v>970</v>
      </c>
      <c r="P15" s="185">
        <f>H15+I15+J15</f>
        <v>2681</v>
      </c>
      <c r="Q15" s="185">
        <f>K15+L15+M15</f>
        <v>300</v>
      </c>
      <c r="R15" s="197">
        <f>B15+C15+D15+E15+F15+G15+H15+I15+J15+K15+L15+M15</f>
        <v>6479</v>
      </c>
      <c r="S15" s="162">
        <f>TARGET!B15</f>
        <v>0</v>
      </c>
      <c r="T15" s="208" t="e">
        <f>IF(R15/S15=0,"NONE",R15/S15)</f>
        <v>#DIV/0!</v>
      </c>
      <c r="U15" s="280">
        <f>R15</f>
        <v>6479</v>
      </c>
    </row>
    <row r="16" spans="1:22" ht="15.75" customHeight="1" x14ac:dyDescent="0.25">
      <c r="A16" s="46" t="s">
        <v>24</v>
      </c>
      <c r="B16" s="162">
        <f>JANUARY!B16</f>
        <v>2078</v>
      </c>
      <c r="C16" s="162">
        <f>FEBRUARY!B16</f>
        <v>200</v>
      </c>
      <c r="D16" s="162">
        <f>MARCH!B16</f>
        <v>250</v>
      </c>
      <c r="E16" s="162">
        <f>APRIL!B16</f>
        <v>103</v>
      </c>
      <c r="F16" s="162">
        <f>MAY!B16</f>
        <v>610</v>
      </c>
      <c r="G16" s="162">
        <f>JUNE!B16</f>
        <v>107</v>
      </c>
      <c r="H16" s="162">
        <f>JULY!B16</f>
        <v>1306</v>
      </c>
      <c r="I16" s="162">
        <f>AUGUST!B16</f>
        <v>1334</v>
      </c>
      <c r="J16" s="162">
        <f>SEPTEMBER!B16</f>
        <v>41</v>
      </c>
      <c r="K16" s="162">
        <f>OCTOBER!B16</f>
        <v>300</v>
      </c>
      <c r="L16" s="162">
        <f>NOVEMBER!B16</f>
        <v>0</v>
      </c>
      <c r="M16" s="162">
        <f>DECEMBER!B16</f>
        <v>0</v>
      </c>
      <c r="N16" s="185">
        <f t="shared" ref="N16:N79" si="0">B16+C16+D16</f>
        <v>2528</v>
      </c>
      <c r="O16" s="185">
        <f t="shared" ref="O16:O79" si="1">E16+F16+G16</f>
        <v>820</v>
      </c>
      <c r="P16" s="185">
        <f t="shared" ref="P16:P79" si="2">H16+I16+J16</f>
        <v>2681</v>
      </c>
      <c r="Q16" s="185">
        <f t="shared" ref="Q16:Q79" si="3">K16+L16+M16</f>
        <v>300</v>
      </c>
      <c r="R16" s="197">
        <f t="shared" ref="R16:R79" si="4">B16+C16+D16+E16+F16+G16+H16+I16+J16+K16+L16+M16</f>
        <v>6329</v>
      </c>
      <c r="S16" s="162">
        <f>TARGET!B16</f>
        <v>0</v>
      </c>
      <c r="T16" s="208" t="e">
        <f t="shared" ref="T16:T79" si="5">IF(R16/S16=0,"NONE",R16/S16)</f>
        <v>#DIV/0!</v>
      </c>
    </row>
    <row r="17" spans="1:20" ht="15.75" customHeight="1" x14ac:dyDescent="0.25">
      <c r="A17" s="2" t="s">
        <v>25</v>
      </c>
      <c r="B17" s="162">
        <f>JANUARY!B17</f>
        <v>350</v>
      </c>
      <c r="C17" s="162">
        <f>FEBRUARY!B17</f>
        <v>0</v>
      </c>
      <c r="D17" s="162">
        <f>MARCH!B17</f>
        <v>0</v>
      </c>
      <c r="E17" s="162">
        <f>APRIL!B17</f>
        <v>0</v>
      </c>
      <c r="F17" s="162">
        <f>MAY!B17</f>
        <v>0</v>
      </c>
      <c r="G17" s="162">
        <f>JUNE!B17</f>
        <v>0</v>
      </c>
      <c r="H17" s="162">
        <f>JULY!B17</f>
        <v>0</v>
      </c>
      <c r="I17" s="162">
        <f>AUGUST!B17</f>
        <v>0</v>
      </c>
      <c r="J17" s="162">
        <f>SEPTEMBER!B17</f>
        <v>41</v>
      </c>
      <c r="K17" s="162">
        <f>OCTOBER!B17</f>
        <v>250</v>
      </c>
      <c r="L17" s="162">
        <f>NOVEMBER!B17</f>
        <v>0</v>
      </c>
      <c r="M17" s="162">
        <f>DECEMBER!B17</f>
        <v>0</v>
      </c>
      <c r="N17" s="185">
        <f t="shared" si="0"/>
        <v>350</v>
      </c>
      <c r="O17" s="185">
        <f t="shared" si="1"/>
        <v>0</v>
      </c>
      <c r="P17" s="185">
        <f t="shared" si="2"/>
        <v>41</v>
      </c>
      <c r="Q17" s="185">
        <f t="shared" si="3"/>
        <v>250</v>
      </c>
      <c r="R17" s="197">
        <f t="shared" si="4"/>
        <v>641</v>
      </c>
      <c r="S17" s="162">
        <f>TARGET!B17</f>
        <v>0</v>
      </c>
      <c r="T17" s="208" t="e">
        <f t="shared" si="5"/>
        <v>#DIV/0!</v>
      </c>
    </row>
    <row r="18" spans="1:20" ht="15.75" customHeight="1" x14ac:dyDescent="0.2">
      <c r="A18" s="2" t="s">
        <v>26</v>
      </c>
      <c r="B18" s="195">
        <f>JANUARY!B18</f>
        <v>210</v>
      </c>
      <c r="C18" s="83">
        <f>FEBRUARY!B18</f>
        <v>0</v>
      </c>
      <c r="D18" s="83">
        <f>MARCH!B18</f>
        <v>0</v>
      </c>
      <c r="E18" s="83">
        <f>APRIL!B18</f>
        <v>0</v>
      </c>
      <c r="F18" s="83">
        <f>MAY!B18</f>
        <v>0</v>
      </c>
      <c r="G18" s="83">
        <f>JUNE!B18</f>
        <v>0</v>
      </c>
      <c r="H18" s="83">
        <f>JULY!B18</f>
        <v>0</v>
      </c>
      <c r="I18" s="83">
        <f>AUGUST!B18</f>
        <v>0</v>
      </c>
      <c r="J18" s="83">
        <f>SEPTEMBER!B18</f>
        <v>20</v>
      </c>
      <c r="K18" s="83">
        <f>OCTOBER!B18</f>
        <v>150</v>
      </c>
      <c r="L18" s="83">
        <f>NOVEMBER!B18</f>
        <v>0</v>
      </c>
      <c r="M18" s="83">
        <f>DECEMBER!B18</f>
        <v>0</v>
      </c>
      <c r="N18" s="187">
        <f t="shared" si="0"/>
        <v>210</v>
      </c>
      <c r="O18" s="187">
        <f t="shared" si="1"/>
        <v>0</v>
      </c>
      <c r="P18" s="187">
        <f t="shared" si="2"/>
        <v>20</v>
      </c>
      <c r="Q18" s="187">
        <f t="shared" si="3"/>
        <v>150</v>
      </c>
      <c r="R18" s="198">
        <f t="shared" si="4"/>
        <v>380</v>
      </c>
      <c r="S18" s="186">
        <f>TARGET!B18</f>
        <v>0</v>
      </c>
      <c r="T18" s="208" t="e">
        <f t="shared" si="5"/>
        <v>#DIV/0!</v>
      </c>
    </row>
    <row r="19" spans="1:20" ht="15.75" customHeight="1" x14ac:dyDescent="0.2">
      <c r="A19" s="2" t="s">
        <v>182</v>
      </c>
      <c r="B19" s="195">
        <f>JANUARY!B19</f>
        <v>140</v>
      </c>
      <c r="C19" s="83">
        <f>FEBRUARY!B19</f>
        <v>0</v>
      </c>
      <c r="D19" s="83">
        <f>MARCH!B19</f>
        <v>0</v>
      </c>
      <c r="E19" s="83">
        <f>APRIL!B19</f>
        <v>0</v>
      </c>
      <c r="F19" s="83">
        <f>MAY!B19</f>
        <v>0</v>
      </c>
      <c r="G19" s="83">
        <f>JUNE!B19</f>
        <v>0</v>
      </c>
      <c r="H19" s="83">
        <f>JULY!B19</f>
        <v>0</v>
      </c>
      <c r="I19" s="83">
        <f>AUGUST!B19</f>
        <v>0</v>
      </c>
      <c r="J19" s="83">
        <f>SEPTEMBER!B19</f>
        <v>21</v>
      </c>
      <c r="K19" s="83">
        <f>OCTOBER!B19</f>
        <v>100</v>
      </c>
      <c r="L19" s="83">
        <f>NOVEMBER!B19</f>
        <v>0</v>
      </c>
      <c r="M19" s="83">
        <f>DECEMBER!B19</f>
        <v>0</v>
      </c>
      <c r="N19" s="187">
        <f t="shared" si="0"/>
        <v>140</v>
      </c>
      <c r="O19" s="187">
        <f t="shared" si="1"/>
        <v>0</v>
      </c>
      <c r="P19" s="187">
        <f t="shared" si="2"/>
        <v>21</v>
      </c>
      <c r="Q19" s="187">
        <f t="shared" si="3"/>
        <v>100</v>
      </c>
      <c r="R19" s="198">
        <f t="shared" si="4"/>
        <v>261</v>
      </c>
      <c r="S19" s="186">
        <f>TARGET!B19</f>
        <v>0</v>
      </c>
      <c r="T19" s="208" t="e">
        <f t="shared" si="5"/>
        <v>#DIV/0!</v>
      </c>
    </row>
    <row r="20" spans="1:20" ht="15.75" customHeight="1" x14ac:dyDescent="0.25">
      <c r="A20" s="2" t="s">
        <v>6</v>
      </c>
      <c r="B20" s="162">
        <f>JANUARY!B20</f>
        <v>1728</v>
      </c>
      <c r="C20" s="162">
        <f>FEBRUARY!B20</f>
        <v>200</v>
      </c>
      <c r="D20" s="162">
        <f>MARCH!B20</f>
        <v>250</v>
      </c>
      <c r="E20" s="162">
        <f>APRIL!B20</f>
        <v>103</v>
      </c>
      <c r="F20" s="162">
        <f>MAY!B20</f>
        <v>610</v>
      </c>
      <c r="G20" s="162">
        <f>JUNE!B20</f>
        <v>107</v>
      </c>
      <c r="H20" s="162">
        <f>JULY!B20</f>
        <v>1306</v>
      </c>
      <c r="I20" s="162">
        <f>AUGUST!B20</f>
        <v>1334</v>
      </c>
      <c r="J20" s="162">
        <f>SEPTEMBER!B20</f>
        <v>0</v>
      </c>
      <c r="K20" s="162">
        <f>OCTOBER!B20</f>
        <v>50</v>
      </c>
      <c r="L20" s="162">
        <f>NOVEMBER!B20</f>
        <v>0</v>
      </c>
      <c r="M20" s="162">
        <f>DECEMBER!B20</f>
        <v>0</v>
      </c>
      <c r="N20" s="185">
        <f t="shared" si="0"/>
        <v>2178</v>
      </c>
      <c r="O20" s="185">
        <f t="shared" si="1"/>
        <v>820</v>
      </c>
      <c r="P20" s="185">
        <f t="shared" si="2"/>
        <v>2640</v>
      </c>
      <c r="Q20" s="185">
        <f t="shared" si="3"/>
        <v>50</v>
      </c>
      <c r="R20" s="197">
        <f t="shared" si="4"/>
        <v>5688</v>
      </c>
      <c r="S20" s="162">
        <f>TARGET!B20</f>
        <v>0</v>
      </c>
      <c r="T20" s="208" t="e">
        <f t="shared" si="5"/>
        <v>#DIV/0!</v>
      </c>
    </row>
    <row r="21" spans="1:20" ht="15.75" customHeight="1" x14ac:dyDescent="0.2">
      <c r="A21" s="2" t="s">
        <v>27</v>
      </c>
      <c r="B21" s="195">
        <f>JANUARY!B21</f>
        <v>1666</v>
      </c>
      <c r="C21" s="83">
        <f>FEBRUARY!B21</f>
        <v>200</v>
      </c>
      <c r="D21" s="83">
        <f>MARCH!B21</f>
        <v>250</v>
      </c>
      <c r="E21" s="83">
        <f>APRIL!B21</f>
        <v>100</v>
      </c>
      <c r="F21" s="83">
        <f>MAY!B21</f>
        <v>310</v>
      </c>
      <c r="G21" s="83">
        <f>JUNE!B21</f>
        <v>107</v>
      </c>
      <c r="H21" s="83">
        <f>JULY!B21</f>
        <v>900</v>
      </c>
      <c r="I21" s="83">
        <f>AUGUST!B21</f>
        <v>1267</v>
      </c>
      <c r="J21" s="83">
        <f>SEPTEMBER!B21</f>
        <v>0</v>
      </c>
      <c r="K21" s="83">
        <f>OCTOBER!B21</f>
        <v>50</v>
      </c>
      <c r="L21" s="83">
        <f>NOVEMBER!B21</f>
        <v>0</v>
      </c>
      <c r="M21" s="83">
        <f>DECEMBER!B21</f>
        <v>0</v>
      </c>
      <c r="N21" s="187">
        <f t="shared" si="0"/>
        <v>2116</v>
      </c>
      <c r="O21" s="187">
        <f t="shared" si="1"/>
        <v>517</v>
      </c>
      <c r="P21" s="187">
        <f t="shared" si="2"/>
        <v>2167</v>
      </c>
      <c r="Q21" s="187">
        <f t="shared" si="3"/>
        <v>50</v>
      </c>
      <c r="R21" s="198">
        <f t="shared" si="4"/>
        <v>4850</v>
      </c>
      <c r="S21" s="186">
        <f>TARGET!B21</f>
        <v>0</v>
      </c>
      <c r="T21" s="208" t="e">
        <f t="shared" si="5"/>
        <v>#DIV/0!</v>
      </c>
    </row>
    <row r="22" spans="1:20" ht="15.75" customHeight="1" x14ac:dyDescent="0.2">
      <c r="A22" s="2" t="s">
        <v>183</v>
      </c>
      <c r="B22" s="195">
        <f>JANUARY!B22</f>
        <v>62</v>
      </c>
      <c r="C22" s="83">
        <f>FEBRUARY!B22</f>
        <v>0</v>
      </c>
      <c r="D22" s="83">
        <f>MARCH!B22</f>
        <v>0</v>
      </c>
      <c r="E22" s="83">
        <f>APRIL!B22</f>
        <v>3</v>
      </c>
      <c r="F22" s="83">
        <f>MAY!B22</f>
        <v>300</v>
      </c>
      <c r="G22" s="83">
        <f>JUNE!B22</f>
        <v>0</v>
      </c>
      <c r="H22" s="83">
        <f>JULY!B22</f>
        <v>406</v>
      </c>
      <c r="I22" s="83">
        <f>AUGUST!B22</f>
        <v>67</v>
      </c>
      <c r="J22" s="83">
        <f>SEPTEMBER!B22</f>
        <v>0</v>
      </c>
      <c r="K22" s="83">
        <f>OCTOBER!B22</f>
        <v>0</v>
      </c>
      <c r="L22" s="83">
        <f>NOVEMBER!B22</f>
        <v>0</v>
      </c>
      <c r="M22" s="83">
        <f>DECEMBER!B22</f>
        <v>0</v>
      </c>
      <c r="N22" s="187">
        <f t="shared" si="0"/>
        <v>62</v>
      </c>
      <c r="O22" s="187">
        <f t="shared" si="1"/>
        <v>303</v>
      </c>
      <c r="P22" s="187">
        <f t="shared" si="2"/>
        <v>473</v>
      </c>
      <c r="Q22" s="187">
        <f t="shared" si="3"/>
        <v>0</v>
      </c>
      <c r="R22" s="198">
        <f t="shared" si="4"/>
        <v>838</v>
      </c>
      <c r="S22" s="186">
        <f>TARGET!B22</f>
        <v>0</v>
      </c>
      <c r="T22" s="208" t="e">
        <f t="shared" si="5"/>
        <v>#DIV/0!</v>
      </c>
    </row>
    <row r="23" spans="1:20" ht="15.75" customHeight="1" x14ac:dyDescent="0.25">
      <c r="A23" s="46" t="s">
        <v>28</v>
      </c>
      <c r="B23" s="162">
        <f>JANUARY!B23</f>
        <v>0</v>
      </c>
      <c r="C23" s="162">
        <f>FEBRUARY!B23</f>
        <v>0</v>
      </c>
      <c r="D23" s="162">
        <f>MARCH!B23</f>
        <v>0</v>
      </c>
      <c r="E23" s="162">
        <f>APRIL!B23</f>
        <v>150</v>
      </c>
      <c r="F23" s="162">
        <f>MAY!B23</f>
        <v>0</v>
      </c>
      <c r="G23" s="162">
        <f>JUNE!B23</f>
        <v>0</v>
      </c>
      <c r="H23" s="162">
        <f>JULY!B23</f>
        <v>0</v>
      </c>
      <c r="I23" s="162">
        <f>AUGUST!B23</f>
        <v>0</v>
      </c>
      <c r="J23" s="162">
        <f>SEPTEMBER!B23</f>
        <v>0</v>
      </c>
      <c r="K23" s="162">
        <f>OCTOBER!B23</f>
        <v>0</v>
      </c>
      <c r="L23" s="162">
        <f>NOVEMBER!B23</f>
        <v>0</v>
      </c>
      <c r="M23" s="162">
        <f>DECEMBER!B23</f>
        <v>0</v>
      </c>
      <c r="N23" s="185">
        <f t="shared" si="0"/>
        <v>0</v>
      </c>
      <c r="O23" s="185">
        <f t="shared" si="1"/>
        <v>150</v>
      </c>
      <c r="P23" s="185">
        <f t="shared" si="2"/>
        <v>0</v>
      </c>
      <c r="Q23" s="185">
        <f t="shared" si="3"/>
        <v>0</v>
      </c>
      <c r="R23" s="197">
        <f t="shared" si="4"/>
        <v>150</v>
      </c>
      <c r="S23" s="162">
        <f>TARGET!B23</f>
        <v>0</v>
      </c>
      <c r="T23" s="208" t="e">
        <f t="shared" si="5"/>
        <v>#DIV/0!</v>
      </c>
    </row>
    <row r="24" spans="1:20" ht="15.75" customHeight="1" x14ac:dyDescent="0.25">
      <c r="A24" s="2" t="s">
        <v>29</v>
      </c>
      <c r="B24" s="162">
        <f>JANUARY!B24</f>
        <v>0</v>
      </c>
      <c r="C24" s="162">
        <f>FEBRUARY!B24</f>
        <v>0</v>
      </c>
      <c r="D24" s="162">
        <f>MARCH!B24</f>
        <v>0</v>
      </c>
      <c r="E24" s="162">
        <f>APRIL!B24</f>
        <v>150</v>
      </c>
      <c r="F24" s="162">
        <f>MAY!B24</f>
        <v>0</v>
      </c>
      <c r="G24" s="162">
        <f>JUNE!B24</f>
        <v>0</v>
      </c>
      <c r="H24" s="162">
        <f>JULY!B24</f>
        <v>0</v>
      </c>
      <c r="I24" s="162">
        <f>AUGUST!B24</f>
        <v>0</v>
      </c>
      <c r="J24" s="162">
        <f>SEPTEMBER!B24</f>
        <v>0</v>
      </c>
      <c r="K24" s="162">
        <f>OCTOBER!B24</f>
        <v>0</v>
      </c>
      <c r="L24" s="162">
        <f>NOVEMBER!B24</f>
        <v>0</v>
      </c>
      <c r="M24" s="162">
        <f>DECEMBER!B24</f>
        <v>0</v>
      </c>
      <c r="N24" s="185">
        <f t="shared" si="0"/>
        <v>0</v>
      </c>
      <c r="O24" s="185">
        <f t="shared" si="1"/>
        <v>150</v>
      </c>
      <c r="P24" s="185">
        <f t="shared" si="2"/>
        <v>0</v>
      </c>
      <c r="Q24" s="185">
        <f t="shared" si="3"/>
        <v>0</v>
      </c>
      <c r="R24" s="197">
        <f t="shared" si="4"/>
        <v>150</v>
      </c>
      <c r="S24" s="162">
        <f>TARGET!B24</f>
        <v>0</v>
      </c>
      <c r="T24" s="208" t="e">
        <f t="shared" si="5"/>
        <v>#DIV/0!</v>
      </c>
    </row>
    <row r="25" spans="1:20" ht="15.75" customHeight="1" x14ac:dyDescent="0.2">
      <c r="A25" s="2" t="s">
        <v>30</v>
      </c>
      <c r="B25" s="195">
        <f>JANUARY!B25</f>
        <v>0</v>
      </c>
      <c r="C25" s="83">
        <f>FEBRUARY!B25</f>
        <v>0</v>
      </c>
      <c r="D25" s="83">
        <f>MARCH!B25</f>
        <v>0</v>
      </c>
      <c r="E25" s="83">
        <f>APRIL!B25</f>
        <v>92</v>
      </c>
      <c r="F25" s="83">
        <f>MAY!B25</f>
        <v>0</v>
      </c>
      <c r="G25" s="83">
        <f>JUNE!B25</f>
        <v>0</v>
      </c>
      <c r="H25" s="83">
        <f>JULY!B25</f>
        <v>0</v>
      </c>
      <c r="I25" s="83">
        <f>AUGUST!B25</f>
        <v>0</v>
      </c>
      <c r="J25" s="83">
        <f>SEPTEMBER!B25</f>
        <v>0</v>
      </c>
      <c r="K25" s="83">
        <f>OCTOBER!B25</f>
        <v>0</v>
      </c>
      <c r="L25" s="83">
        <f>NOVEMBER!B25</f>
        <v>0</v>
      </c>
      <c r="M25" s="83">
        <f>DECEMBER!B25</f>
        <v>0</v>
      </c>
      <c r="N25" s="187">
        <f t="shared" si="0"/>
        <v>0</v>
      </c>
      <c r="O25" s="187">
        <f t="shared" si="1"/>
        <v>92</v>
      </c>
      <c r="P25" s="187">
        <f t="shared" si="2"/>
        <v>0</v>
      </c>
      <c r="Q25" s="187">
        <f t="shared" si="3"/>
        <v>0</v>
      </c>
      <c r="R25" s="198">
        <f t="shared" si="4"/>
        <v>92</v>
      </c>
      <c r="S25" s="186">
        <f>TARGET!B25</f>
        <v>0</v>
      </c>
      <c r="T25" s="208" t="e">
        <f t="shared" si="5"/>
        <v>#DIV/0!</v>
      </c>
    </row>
    <row r="26" spans="1:20" ht="15.75" customHeight="1" x14ac:dyDescent="0.2">
      <c r="A26" s="2" t="s">
        <v>184</v>
      </c>
      <c r="B26" s="195">
        <f>JANUARY!B26</f>
        <v>0</v>
      </c>
      <c r="C26" s="83">
        <f>FEBRUARY!B26</f>
        <v>0</v>
      </c>
      <c r="D26" s="83">
        <f>MARCH!B26</f>
        <v>0</v>
      </c>
      <c r="E26" s="83">
        <f>APRIL!B26</f>
        <v>58</v>
      </c>
      <c r="F26" s="83">
        <f>MAY!B26</f>
        <v>0</v>
      </c>
      <c r="G26" s="83">
        <f>JUNE!B26</f>
        <v>0</v>
      </c>
      <c r="H26" s="83">
        <f>JULY!B26</f>
        <v>0</v>
      </c>
      <c r="I26" s="83">
        <f>AUGUST!B26</f>
        <v>0</v>
      </c>
      <c r="J26" s="83">
        <f>SEPTEMBER!B26</f>
        <v>0</v>
      </c>
      <c r="K26" s="83">
        <f>OCTOBER!B26</f>
        <v>0</v>
      </c>
      <c r="L26" s="83">
        <f>NOVEMBER!B26</f>
        <v>0</v>
      </c>
      <c r="M26" s="83">
        <f>DECEMBER!B26</f>
        <v>0</v>
      </c>
      <c r="N26" s="187">
        <f t="shared" si="0"/>
        <v>0</v>
      </c>
      <c r="O26" s="187">
        <f t="shared" si="1"/>
        <v>58</v>
      </c>
      <c r="P26" s="187">
        <f t="shared" si="2"/>
        <v>0</v>
      </c>
      <c r="Q26" s="187">
        <f t="shared" si="3"/>
        <v>0</v>
      </c>
      <c r="R26" s="198">
        <f t="shared" si="4"/>
        <v>58</v>
      </c>
      <c r="S26" s="186">
        <f>TARGET!B26</f>
        <v>0</v>
      </c>
      <c r="T26" s="208" t="e">
        <f t="shared" si="5"/>
        <v>#DIV/0!</v>
      </c>
    </row>
    <row r="27" spans="1:20" ht="15.75" customHeight="1" x14ac:dyDescent="0.25">
      <c r="A27" s="2" t="s">
        <v>31</v>
      </c>
      <c r="B27" s="162">
        <f>JANUARY!B27</f>
        <v>0</v>
      </c>
      <c r="C27" s="162">
        <f>FEBRUARY!B27</f>
        <v>0</v>
      </c>
      <c r="D27" s="162">
        <f>MARCH!B27</f>
        <v>0</v>
      </c>
      <c r="E27" s="162">
        <f>APRIL!B27</f>
        <v>0</v>
      </c>
      <c r="F27" s="162">
        <f>MAY!B27</f>
        <v>0</v>
      </c>
      <c r="G27" s="162">
        <f>JUNE!B27</f>
        <v>0</v>
      </c>
      <c r="H27" s="162">
        <f>JULY!B27</f>
        <v>0</v>
      </c>
      <c r="I27" s="162">
        <f>AUGUST!B27</f>
        <v>0</v>
      </c>
      <c r="J27" s="162">
        <f>SEPTEMBER!B27</f>
        <v>0</v>
      </c>
      <c r="K27" s="162">
        <f>OCTOBER!B27</f>
        <v>0</v>
      </c>
      <c r="L27" s="162">
        <f>NOVEMBER!B27</f>
        <v>0</v>
      </c>
      <c r="M27" s="162">
        <f>DECEMBER!B27</f>
        <v>0</v>
      </c>
      <c r="N27" s="185">
        <f t="shared" si="0"/>
        <v>0</v>
      </c>
      <c r="O27" s="185">
        <f t="shared" si="1"/>
        <v>0</v>
      </c>
      <c r="P27" s="185">
        <f t="shared" si="2"/>
        <v>0</v>
      </c>
      <c r="Q27" s="185">
        <f t="shared" si="3"/>
        <v>0</v>
      </c>
      <c r="R27" s="197">
        <f t="shared" si="4"/>
        <v>0</v>
      </c>
      <c r="S27" s="162">
        <f>TARGET!B27</f>
        <v>0</v>
      </c>
      <c r="T27" s="208" t="e">
        <f t="shared" si="5"/>
        <v>#DIV/0!</v>
      </c>
    </row>
    <row r="28" spans="1:20" ht="15.75" customHeight="1" x14ac:dyDescent="0.2">
      <c r="A28" s="2" t="s">
        <v>32</v>
      </c>
      <c r="B28" s="195">
        <f>JANUARY!B28</f>
        <v>0</v>
      </c>
      <c r="C28" s="83">
        <f>FEBRUARY!B28</f>
        <v>0</v>
      </c>
      <c r="D28" s="83">
        <f>MARCH!B28</f>
        <v>0</v>
      </c>
      <c r="E28" s="83">
        <f>APRIL!B28</f>
        <v>0</v>
      </c>
      <c r="F28" s="83">
        <f>MAY!B28</f>
        <v>0</v>
      </c>
      <c r="G28" s="83">
        <f>JUNE!B28</f>
        <v>0</v>
      </c>
      <c r="H28" s="83">
        <f>JULY!B28</f>
        <v>0</v>
      </c>
      <c r="I28" s="83">
        <f>AUGUST!B28</f>
        <v>0</v>
      </c>
      <c r="J28" s="83">
        <f>SEPTEMBER!B28</f>
        <v>0</v>
      </c>
      <c r="K28" s="83">
        <f>OCTOBER!B28</f>
        <v>0</v>
      </c>
      <c r="L28" s="83">
        <f>NOVEMBER!B28</f>
        <v>0</v>
      </c>
      <c r="M28" s="83">
        <f>DECEMBER!B28</f>
        <v>0</v>
      </c>
      <c r="N28" s="187">
        <f t="shared" si="0"/>
        <v>0</v>
      </c>
      <c r="O28" s="187">
        <f t="shared" si="1"/>
        <v>0</v>
      </c>
      <c r="P28" s="187">
        <f t="shared" si="2"/>
        <v>0</v>
      </c>
      <c r="Q28" s="187">
        <f t="shared" si="3"/>
        <v>0</v>
      </c>
      <c r="R28" s="198">
        <f t="shared" si="4"/>
        <v>0</v>
      </c>
      <c r="S28" s="186">
        <f>TARGET!B28</f>
        <v>0</v>
      </c>
      <c r="T28" s="208" t="e">
        <f t="shared" si="5"/>
        <v>#DIV/0!</v>
      </c>
    </row>
    <row r="29" spans="1:20" ht="15.75" customHeight="1" x14ac:dyDescent="0.2">
      <c r="A29" s="2" t="s">
        <v>185</v>
      </c>
      <c r="B29" s="195">
        <f>JANUARY!B29</f>
        <v>0</v>
      </c>
      <c r="C29" s="83">
        <f>FEBRUARY!B29</f>
        <v>0</v>
      </c>
      <c r="D29" s="83">
        <f>MARCH!B29</f>
        <v>0</v>
      </c>
      <c r="E29" s="83">
        <f>APRIL!B29</f>
        <v>0</v>
      </c>
      <c r="F29" s="83">
        <f>MAY!B29</f>
        <v>0</v>
      </c>
      <c r="G29" s="83">
        <f>JUNE!B29</f>
        <v>0</v>
      </c>
      <c r="H29" s="83">
        <f>JULY!B29</f>
        <v>0</v>
      </c>
      <c r="I29" s="83">
        <f>AUGUST!B29</f>
        <v>0</v>
      </c>
      <c r="J29" s="83">
        <f>SEPTEMBER!B29</f>
        <v>0</v>
      </c>
      <c r="K29" s="83">
        <f>OCTOBER!B29</f>
        <v>0</v>
      </c>
      <c r="L29" s="83">
        <f>NOVEMBER!B29</f>
        <v>0</v>
      </c>
      <c r="M29" s="83">
        <f>DECEMBER!B29</f>
        <v>0</v>
      </c>
      <c r="N29" s="187">
        <f t="shared" si="0"/>
        <v>0</v>
      </c>
      <c r="O29" s="187">
        <f t="shared" si="1"/>
        <v>0</v>
      </c>
      <c r="P29" s="187">
        <f t="shared" si="2"/>
        <v>0</v>
      </c>
      <c r="Q29" s="187">
        <f t="shared" si="3"/>
        <v>0</v>
      </c>
      <c r="R29" s="198">
        <f>B29+C29+D29+E29+F29+G29+H29+I29+J29+K29+L29+M29</f>
        <v>0</v>
      </c>
      <c r="S29" s="186">
        <f>TARGET!B29</f>
        <v>0</v>
      </c>
      <c r="T29" s="208" t="e">
        <f t="shared" si="5"/>
        <v>#DIV/0!</v>
      </c>
    </row>
    <row r="30" spans="1:20" ht="15.75" customHeight="1" x14ac:dyDescent="0.25">
      <c r="A30" s="46" t="s">
        <v>33</v>
      </c>
      <c r="B30" s="162">
        <f>JANUARY!B30</f>
        <v>0</v>
      </c>
      <c r="C30" s="162">
        <f>FEBRUARY!B30</f>
        <v>0</v>
      </c>
      <c r="D30" s="162">
        <f>MARCH!B30</f>
        <v>0</v>
      </c>
      <c r="E30" s="162">
        <f>APRIL!B30</f>
        <v>0</v>
      </c>
      <c r="F30" s="162">
        <f>MAY!B30</f>
        <v>0</v>
      </c>
      <c r="G30" s="162">
        <f>JUNE!B30</f>
        <v>0</v>
      </c>
      <c r="H30" s="162">
        <f>JULY!B30</f>
        <v>0</v>
      </c>
      <c r="I30" s="162">
        <f>AUGUST!B30</f>
        <v>0</v>
      </c>
      <c r="J30" s="162">
        <f>SEPTEMBER!B30</f>
        <v>0</v>
      </c>
      <c r="K30" s="162">
        <f>OCTOBER!B30</f>
        <v>0</v>
      </c>
      <c r="L30" s="162">
        <f>NOVEMBER!B30</f>
        <v>0</v>
      </c>
      <c r="M30" s="162">
        <f>DECEMBER!B30</f>
        <v>0</v>
      </c>
      <c r="N30" s="185">
        <f t="shared" si="0"/>
        <v>0</v>
      </c>
      <c r="O30" s="185">
        <f t="shared" si="1"/>
        <v>0</v>
      </c>
      <c r="P30" s="185">
        <f t="shared" si="2"/>
        <v>0</v>
      </c>
      <c r="Q30" s="185">
        <f t="shared" si="3"/>
        <v>0</v>
      </c>
      <c r="R30" s="197">
        <f t="shared" si="4"/>
        <v>0</v>
      </c>
      <c r="S30" s="162">
        <f>TARGET!B30</f>
        <v>0</v>
      </c>
      <c r="T30" s="208" t="e">
        <f t="shared" si="5"/>
        <v>#DIV/0!</v>
      </c>
    </row>
    <row r="31" spans="1:20" ht="15.75" customHeight="1" x14ac:dyDescent="0.2">
      <c r="A31" s="2" t="s">
        <v>34</v>
      </c>
      <c r="B31" s="195">
        <f>JANUARY!B31</f>
        <v>0</v>
      </c>
      <c r="C31" s="83">
        <f>FEBRUARY!B31</f>
        <v>0</v>
      </c>
      <c r="D31" s="83">
        <f>MARCH!B31</f>
        <v>0</v>
      </c>
      <c r="E31" s="83">
        <f>APRIL!B31</f>
        <v>0</v>
      </c>
      <c r="F31" s="83">
        <f>MAY!B31</f>
        <v>0</v>
      </c>
      <c r="G31" s="83">
        <f>JUNE!B31</f>
        <v>0</v>
      </c>
      <c r="H31" s="83">
        <f>JULY!B31</f>
        <v>0</v>
      </c>
      <c r="I31" s="83">
        <f>AUGUST!B31</f>
        <v>0</v>
      </c>
      <c r="J31" s="83">
        <f>SEPTEMBER!B31</f>
        <v>0</v>
      </c>
      <c r="K31" s="83">
        <f>OCTOBER!B31</f>
        <v>0</v>
      </c>
      <c r="L31" s="83">
        <f>NOVEMBER!B31</f>
        <v>0</v>
      </c>
      <c r="M31" s="83">
        <f>DECEMBER!B31</f>
        <v>0</v>
      </c>
      <c r="N31" s="187">
        <f t="shared" si="0"/>
        <v>0</v>
      </c>
      <c r="O31" s="187">
        <f t="shared" si="1"/>
        <v>0</v>
      </c>
      <c r="P31" s="187">
        <f t="shared" si="2"/>
        <v>0</v>
      </c>
      <c r="Q31" s="187">
        <f t="shared" si="3"/>
        <v>0</v>
      </c>
      <c r="R31" s="198">
        <f t="shared" si="4"/>
        <v>0</v>
      </c>
      <c r="S31" s="186">
        <f>TARGET!B31</f>
        <v>0</v>
      </c>
      <c r="T31" s="208" t="e">
        <f t="shared" si="5"/>
        <v>#DIV/0!</v>
      </c>
    </row>
    <row r="32" spans="1:20" ht="15.75" customHeight="1" x14ac:dyDescent="0.2">
      <c r="A32" s="2" t="s">
        <v>186</v>
      </c>
      <c r="B32" s="195">
        <f>JANUARY!B32</f>
        <v>0</v>
      </c>
      <c r="C32" s="83">
        <f>FEBRUARY!B32</f>
        <v>0</v>
      </c>
      <c r="D32" s="83">
        <f>MARCH!B32</f>
        <v>0</v>
      </c>
      <c r="E32" s="83">
        <f>APRIL!B32</f>
        <v>0</v>
      </c>
      <c r="F32" s="83">
        <f>MAY!B32</f>
        <v>0</v>
      </c>
      <c r="G32" s="83">
        <f>JUNE!B32</f>
        <v>0</v>
      </c>
      <c r="H32" s="83">
        <f>JULY!B32</f>
        <v>0</v>
      </c>
      <c r="I32" s="83">
        <f>AUGUST!B32</f>
        <v>0</v>
      </c>
      <c r="J32" s="83">
        <f>SEPTEMBER!B32</f>
        <v>0</v>
      </c>
      <c r="K32" s="83">
        <f>OCTOBER!B32</f>
        <v>0</v>
      </c>
      <c r="L32" s="83">
        <f>NOVEMBER!B32</f>
        <v>0</v>
      </c>
      <c r="M32" s="83">
        <f>DECEMBER!B32</f>
        <v>0</v>
      </c>
      <c r="N32" s="187">
        <f t="shared" si="0"/>
        <v>0</v>
      </c>
      <c r="O32" s="187">
        <f t="shared" si="1"/>
        <v>0</v>
      </c>
      <c r="P32" s="187">
        <f t="shared" si="2"/>
        <v>0</v>
      </c>
      <c r="Q32" s="187">
        <f t="shared" si="3"/>
        <v>0</v>
      </c>
      <c r="R32" s="198">
        <f t="shared" si="4"/>
        <v>0</v>
      </c>
      <c r="S32" s="186">
        <f>TARGET!B32</f>
        <v>0</v>
      </c>
      <c r="T32" s="208" t="e">
        <f t="shared" si="5"/>
        <v>#DIV/0!</v>
      </c>
    </row>
    <row r="33" spans="1:20" ht="15.75" customHeight="1" x14ac:dyDescent="0.25">
      <c r="A33" s="46" t="s">
        <v>35</v>
      </c>
      <c r="B33" s="162">
        <f>JANUARY!B33</f>
        <v>0</v>
      </c>
      <c r="C33" s="162">
        <f>FEBRUARY!B33</f>
        <v>0</v>
      </c>
      <c r="D33" s="162">
        <f>MARCH!B33</f>
        <v>0</v>
      </c>
      <c r="E33" s="162">
        <f>APRIL!B33</f>
        <v>0</v>
      </c>
      <c r="F33" s="162">
        <f>MAY!B33</f>
        <v>0</v>
      </c>
      <c r="G33" s="162">
        <f>JUNE!B33</f>
        <v>0</v>
      </c>
      <c r="H33" s="162">
        <f>JULY!B33</f>
        <v>0</v>
      </c>
      <c r="I33" s="162">
        <f>AUGUST!B33</f>
        <v>0</v>
      </c>
      <c r="J33" s="162">
        <f>SEPTEMBER!B33</f>
        <v>0</v>
      </c>
      <c r="K33" s="162">
        <f>OCTOBER!B33</f>
        <v>0</v>
      </c>
      <c r="L33" s="162">
        <f>NOVEMBER!B33</f>
        <v>0</v>
      </c>
      <c r="M33" s="162">
        <f>DECEMBER!B33</f>
        <v>0</v>
      </c>
      <c r="N33" s="185">
        <f t="shared" si="0"/>
        <v>0</v>
      </c>
      <c r="O33" s="185">
        <f t="shared" si="1"/>
        <v>0</v>
      </c>
      <c r="P33" s="185">
        <f t="shared" si="2"/>
        <v>0</v>
      </c>
      <c r="Q33" s="185">
        <f t="shared" si="3"/>
        <v>0</v>
      </c>
      <c r="R33" s="197">
        <f t="shared" si="4"/>
        <v>0</v>
      </c>
      <c r="S33" s="162">
        <f>TARGET!B33</f>
        <v>0</v>
      </c>
      <c r="T33" s="208" t="e">
        <f t="shared" si="5"/>
        <v>#DIV/0!</v>
      </c>
    </row>
    <row r="34" spans="1:20" ht="15.75" customHeight="1" x14ac:dyDescent="0.25">
      <c r="A34" s="2" t="s">
        <v>36</v>
      </c>
      <c r="B34" s="162">
        <f>JANUARY!B34</f>
        <v>0</v>
      </c>
      <c r="C34" s="162">
        <f>FEBRUARY!B34</f>
        <v>0</v>
      </c>
      <c r="D34" s="162">
        <f>MARCH!B34</f>
        <v>0</v>
      </c>
      <c r="E34" s="162">
        <f>APRIL!B34</f>
        <v>0</v>
      </c>
      <c r="F34" s="162">
        <f>MAY!B34</f>
        <v>0</v>
      </c>
      <c r="G34" s="162">
        <f>JUNE!B34</f>
        <v>0</v>
      </c>
      <c r="H34" s="162">
        <f>JULY!B34</f>
        <v>0</v>
      </c>
      <c r="I34" s="162">
        <f>AUGUST!B34</f>
        <v>0</v>
      </c>
      <c r="J34" s="162">
        <f>SEPTEMBER!B34</f>
        <v>0</v>
      </c>
      <c r="K34" s="162">
        <f>OCTOBER!B34</f>
        <v>0</v>
      </c>
      <c r="L34" s="162">
        <f>NOVEMBER!B34</f>
        <v>0</v>
      </c>
      <c r="M34" s="162">
        <f>DECEMBER!B34</f>
        <v>0</v>
      </c>
      <c r="N34" s="185">
        <f t="shared" si="0"/>
        <v>0</v>
      </c>
      <c r="O34" s="185">
        <f t="shared" si="1"/>
        <v>0</v>
      </c>
      <c r="P34" s="185">
        <f t="shared" si="2"/>
        <v>0</v>
      </c>
      <c r="Q34" s="185">
        <f t="shared" si="3"/>
        <v>0</v>
      </c>
      <c r="R34" s="197">
        <f t="shared" si="4"/>
        <v>0</v>
      </c>
      <c r="S34" s="162">
        <f>TARGET!B34</f>
        <v>0</v>
      </c>
      <c r="T34" s="208" t="e">
        <f t="shared" si="5"/>
        <v>#DIV/0!</v>
      </c>
    </row>
    <row r="35" spans="1:20" ht="15.75" customHeight="1" x14ac:dyDescent="0.2">
      <c r="A35" s="2" t="s">
        <v>37</v>
      </c>
      <c r="B35" s="195">
        <f>JANUARY!B35</f>
        <v>0</v>
      </c>
      <c r="C35" s="83">
        <f>FEBRUARY!B35</f>
        <v>0</v>
      </c>
      <c r="D35" s="83">
        <f>MARCH!B35</f>
        <v>0</v>
      </c>
      <c r="E35" s="83">
        <f>APRIL!B35</f>
        <v>0</v>
      </c>
      <c r="F35" s="83">
        <f>MAY!B35</f>
        <v>0</v>
      </c>
      <c r="G35" s="83">
        <f>JUNE!B35</f>
        <v>0</v>
      </c>
      <c r="H35" s="83">
        <f>JULY!B35</f>
        <v>0</v>
      </c>
      <c r="I35" s="83">
        <f>AUGUST!B35</f>
        <v>0</v>
      </c>
      <c r="J35" s="83">
        <f>SEPTEMBER!B35</f>
        <v>0</v>
      </c>
      <c r="K35" s="83">
        <f>OCTOBER!B35</f>
        <v>0</v>
      </c>
      <c r="L35" s="83">
        <f>NOVEMBER!B35</f>
        <v>0</v>
      </c>
      <c r="M35" s="83">
        <f>DECEMBER!B35</f>
        <v>0</v>
      </c>
      <c r="N35" s="187">
        <f t="shared" si="0"/>
        <v>0</v>
      </c>
      <c r="O35" s="187">
        <f t="shared" si="1"/>
        <v>0</v>
      </c>
      <c r="P35" s="187">
        <f t="shared" si="2"/>
        <v>0</v>
      </c>
      <c r="Q35" s="187">
        <f t="shared" si="3"/>
        <v>0</v>
      </c>
      <c r="R35" s="198">
        <f t="shared" si="4"/>
        <v>0</v>
      </c>
      <c r="S35" s="186">
        <f>TARGET!B35</f>
        <v>0</v>
      </c>
      <c r="T35" s="208" t="e">
        <f t="shared" si="5"/>
        <v>#DIV/0!</v>
      </c>
    </row>
    <row r="36" spans="1:20" ht="15.75" customHeight="1" x14ac:dyDescent="0.2">
      <c r="A36" s="2" t="s">
        <v>187</v>
      </c>
      <c r="B36" s="195">
        <f>JANUARY!B36</f>
        <v>0</v>
      </c>
      <c r="C36" s="83">
        <f>FEBRUARY!B36</f>
        <v>0</v>
      </c>
      <c r="D36" s="83">
        <f>MARCH!B36</f>
        <v>0</v>
      </c>
      <c r="E36" s="83">
        <f>APRIL!B36</f>
        <v>0</v>
      </c>
      <c r="F36" s="83">
        <f>MAY!B36</f>
        <v>0</v>
      </c>
      <c r="G36" s="83">
        <f>JUNE!B36</f>
        <v>0</v>
      </c>
      <c r="H36" s="83">
        <f>JULY!B36</f>
        <v>0</v>
      </c>
      <c r="I36" s="83">
        <f>AUGUST!B36</f>
        <v>0</v>
      </c>
      <c r="J36" s="83">
        <f>SEPTEMBER!B36</f>
        <v>0</v>
      </c>
      <c r="K36" s="83">
        <f>OCTOBER!B36</f>
        <v>0</v>
      </c>
      <c r="L36" s="83">
        <f>NOVEMBER!B36</f>
        <v>0</v>
      </c>
      <c r="M36" s="83">
        <f>DECEMBER!B36</f>
        <v>0</v>
      </c>
      <c r="N36" s="187">
        <f t="shared" si="0"/>
        <v>0</v>
      </c>
      <c r="O36" s="187">
        <f t="shared" si="1"/>
        <v>0</v>
      </c>
      <c r="P36" s="187">
        <f t="shared" si="2"/>
        <v>0</v>
      </c>
      <c r="Q36" s="187">
        <f t="shared" si="3"/>
        <v>0</v>
      </c>
      <c r="R36" s="198">
        <f t="shared" si="4"/>
        <v>0</v>
      </c>
      <c r="S36" s="186">
        <f>TARGET!B36</f>
        <v>0</v>
      </c>
      <c r="T36" s="208" t="e">
        <f t="shared" si="5"/>
        <v>#DIV/0!</v>
      </c>
    </row>
    <row r="37" spans="1:20" ht="15.75" customHeight="1" x14ac:dyDescent="0.25">
      <c r="A37" s="2" t="s">
        <v>38</v>
      </c>
      <c r="B37" s="162">
        <f>JANUARY!B37</f>
        <v>0</v>
      </c>
      <c r="C37" s="162">
        <f>FEBRUARY!B37</f>
        <v>0</v>
      </c>
      <c r="D37" s="162">
        <f>MARCH!B37</f>
        <v>0</v>
      </c>
      <c r="E37" s="162">
        <f>APRIL!B37</f>
        <v>0</v>
      </c>
      <c r="F37" s="162">
        <f>MAY!B37</f>
        <v>0</v>
      </c>
      <c r="G37" s="162">
        <f>JUNE!B37</f>
        <v>0</v>
      </c>
      <c r="H37" s="162">
        <f>JULY!B37</f>
        <v>0</v>
      </c>
      <c r="I37" s="162">
        <f>AUGUST!B37</f>
        <v>0</v>
      </c>
      <c r="J37" s="162">
        <f>SEPTEMBER!B37</f>
        <v>0</v>
      </c>
      <c r="K37" s="162">
        <f>OCTOBER!B37</f>
        <v>0</v>
      </c>
      <c r="L37" s="162">
        <f>NOVEMBER!B37</f>
        <v>0</v>
      </c>
      <c r="M37" s="162">
        <f>DECEMBER!B37</f>
        <v>0</v>
      </c>
      <c r="N37" s="185">
        <f t="shared" si="0"/>
        <v>0</v>
      </c>
      <c r="O37" s="185">
        <f t="shared" si="1"/>
        <v>0</v>
      </c>
      <c r="P37" s="185">
        <f t="shared" si="2"/>
        <v>0</v>
      </c>
      <c r="Q37" s="185">
        <f t="shared" si="3"/>
        <v>0</v>
      </c>
      <c r="R37" s="197">
        <f t="shared" si="4"/>
        <v>0</v>
      </c>
      <c r="S37" s="162">
        <f>TARGET!B37</f>
        <v>0</v>
      </c>
      <c r="T37" s="208" t="e">
        <f t="shared" si="5"/>
        <v>#DIV/0!</v>
      </c>
    </row>
    <row r="38" spans="1:20" ht="15.75" customHeight="1" x14ac:dyDescent="0.2">
      <c r="A38" s="2" t="s">
        <v>39</v>
      </c>
      <c r="B38" s="195">
        <f>JANUARY!B38</f>
        <v>0</v>
      </c>
      <c r="C38" s="83">
        <f>FEBRUARY!B38</f>
        <v>0</v>
      </c>
      <c r="D38" s="83">
        <f>MARCH!B38</f>
        <v>0</v>
      </c>
      <c r="E38" s="83">
        <f>APRIL!B38</f>
        <v>0</v>
      </c>
      <c r="F38" s="83">
        <f>MAY!B38</f>
        <v>0</v>
      </c>
      <c r="G38" s="83">
        <f>JUNE!B38</f>
        <v>0</v>
      </c>
      <c r="H38" s="83">
        <f>JULY!B38</f>
        <v>0</v>
      </c>
      <c r="I38" s="83">
        <f>AUGUST!B38</f>
        <v>0</v>
      </c>
      <c r="J38" s="83">
        <f>SEPTEMBER!B38</f>
        <v>0</v>
      </c>
      <c r="K38" s="83">
        <f>OCTOBER!B38</f>
        <v>0</v>
      </c>
      <c r="L38" s="83">
        <f>NOVEMBER!B38</f>
        <v>0</v>
      </c>
      <c r="M38" s="83">
        <f>DECEMBER!B38</f>
        <v>0</v>
      </c>
      <c r="N38" s="187">
        <f t="shared" si="0"/>
        <v>0</v>
      </c>
      <c r="O38" s="187">
        <f t="shared" si="1"/>
        <v>0</v>
      </c>
      <c r="P38" s="187">
        <f t="shared" si="2"/>
        <v>0</v>
      </c>
      <c r="Q38" s="187">
        <f t="shared" si="3"/>
        <v>0</v>
      </c>
      <c r="R38" s="198">
        <f t="shared" si="4"/>
        <v>0</v>
      </c>
      <c r="S38" s="186">
        <f>TARGET!B38</f>
        <v>0</v>
      </c>
      <c r="T38" s="208" t="e">
        <f t="shared" si="5"/>
        <v>#DIV/0!</v>
      </c>
    </row>
    <row r="39" spans="1:20" ht="15.75" customHeight="1" x14ac:dyDescent="0.2">
      <c r="A39" s="2" t="s">
        <v>188</v>
      </c>
      <c r="B39" s="195">
        <f>JANUARY!B39</f>
        <v>0</v>
      </c>
      <c r="C39" s="83">
        <f>FEBRUARY!B39</f>
        <v>0</v>
      </c>
      <c r="D39" s="83">
        <f>MARCH!B39</f>
        <v>0</v>
      </c>
      <c r="E39" s="83">
        <f>APRIL!B39</f>
        <v>0</v>
      </c>
      <c r="F39" s="83">
        <f>MAY!B39</f>
        <v>0</v>
      </c>
      <c r="G39" s="83">
        <f>JUNE!B39</f>
        <v>0</v>
      </c>
      <c r="H39" s="83">
        <f>JULY!B39</f>
        <v>0</v>
      </c>
      <c r="I39" s="83">
        <f>AUGUST!B39</f>
        <v>0</v>
      </c>
      <c r="J39" s="83">
        <f>SEPTEMBER!B39</f>
        <v>0</v>
      </c>
      <c r="K39" s="83">
        <f>OCTOBER!B39</f>
        <v>0</v>
      </c>
      <c r="L39" s="83">
        <f>NOVEMBER!B39</f>
        <v>0</v>
      </c>
      <c r="M39" s="83">
        <f>DECEMBER!B39</f>
        <v>0</v>
      </c>
      <c r="N39" s="187">
        <f t="shared" si="0"/>
        <v>0</v>
      </c>
      <c r="O39" s="187">
        <f t="shared" si="1"/>
        <v>0</v>
      </c>
      <c r="P39" s="187">
        <f t="shared" si="2"/>
        <v>0</v>
      </c>
      <c r="Q39" s="187">
        <f t="shared" si="3"/>
        <v>0</v>
      </c>
      <c r="R39" s="198">
        <f t="shared" si="4"/>
        <v>0</v>
      </c>
      <c r="S39" s="186">
        <f>TARGET!B39</f>
        <v>0</v>
      </c>
      <c r="T39" s="208" t="e">
        <f t="shared" si="5"/>
        <v>#DIV/0!</v>
      </c>
    </row>
    <row r="40" spans="1:20" ht="15.75" customHeight="1" x14ac:dyDescent="0.25">
      <c r="A40" s="46" t="s">
        <v>279</v>
      </c>
      <c r="B40" s="162">
        <f>JANUARY!B40</f>
        <v>0</v>
      </c>
      <c r="C40" s="162">
        <f>FEBRUARY!B40</f>
        <v>0</v>
      </c>
      <c r="D40" s="162">
        <f>MARCH!B40</f>
        <v>0</v>
      </c>
      <c r="E40" s="162">
        <f>APRIL!B40</f>
        <v>0</v>
      </c>
      <c r="F40" s="162">
        <f>MAY!B40</f>
        <v>0</v>
      </c>
      <c r="G40" s="162">
        <f>JUNE!B40</f>
        <v>0</v>
      </c>
      <c r="H40" s="162">
        <f>JULY!B40</f>
        <v>0</v>
      </c>
      <c r="I40" s="162">
        <f>AUGUST!B40</f>
        <v>0</v>
      </c>
      <c r="J40" s="162">
        <f>SEPTEMBER!B40</f>
        <v>0</v>
      </c>
      <c r="K40" s="162">
        <f>OCTOBER!B40</f>
        <v>0</v>
      </c>
      <c r="L40" s="162">
        <f>NOVEMBER!B40</f>
        <v>0</v>
      </c>
      <c r="M40" s="162">
        <f>DECEMBER!B40</f>
        <v>0</v>
      </c>
      <c r="N40" s="185">
        <f t="shared" si="0"/>
        <v>0</v>
      </c>
      <c r="O40" s="185">
        <f t="shared" si="1"/>
        <v>0</v>
      </c>
      <c r="P40" s="185">
        <f t="shared" si="2"/>
        <v>0</v>
      </c>
      <c r="Q40" s="185">
        <f t="shared" si="3"/>
        <v>0</v>
      </c>
      <c r="R40" s="197">
        <f t="shared" si="4"/>
        <v>0</v>
      </c>
      <c r="S40" s="162">
        <f>TARGET!B40</f>
        <v>0</v>
      </c>
      <c r="T40" s="208" t="e">
        <f t="shared" si="5"/>
        <v>#DIV/0!</v>
      </c>
    </row>
    <row r="41" spans="1:20" ht="15.75" customHeight="1" x14ac:dyDescent="0.2">
      <c r="A41" s="2" t="s">
        <v>317</v>
      </c>
      <c r="B41" s="195">
        <f>JANUARY!B41</f>
        <v>0</v>
      </c>
      <c r="C41" s="83">
        <f>FEBRUARY!B41</f>
        <v>0</v>
      </c>
      <c r="D41" s="83">
        <f>MARCH!B41</f>
        <v>0</v>
      </c>
      <c r="E41" s="83">
        <f>APRIL!B41</f>
        <v>0</v>
      </c>
      <c r="F41" s="83">
        <f>MAY!B41</f>
        <v>0</v>
      </c>
      <c r="G41" s="83">
        <f>JUNE!B41</f>
        <v>0</v>
      </c>
      <c r="H41" s="83">
        <f>JULY!B41</f>
        <v>0</v>
      </c>
      <c r="I41" s="83">
        <f>AUGUST!B41</f>
        <v>0</v>
      </c>
      <c r="J41" s="83">
        <f>SEPTEMBER!B41</f>
        <v>0</v>
      </c>
      <c r="K41" s="83">
        <f>OCTOBER!B41</f>
        <v>0</v>
      </c>
      <c r="L41" s="83">
        <f>NOVEMBER!B41</f>
        <v>0</v>
      </c>
      <c r="M41" s="83">
        <f>DECEMBER!B41</f>
        <v>0</v>
      </c>
      <c r="N41" s="187">
        <f t="shared" si="0"/>
        <v>0</v>
      </c>
      <c r="O41" s="187">
        <f t="shared" si="1"/>
        <v>0</v>
      </c>
      <c r="P41" s="187">
        <f t="shared" si="2"/>
        <v>0</v>
      </c>
      <c r="Q41" s="187">
        <f t="shared" si="3"/>
        <v>0</v>
      </c>
      <c r="R41" s="198">
        <f t="shared" si="4"/>
        <v>0</v>
      </c>
      <c r="S41" s="186">
        <f>TARGET!B41</f>
        <v>0</v>
      </c>
      <c r="T41" s="208" t="e">
        <f t="shared" si="5"/>
        <v>#DIV/0!</v>
      </c>
    </row>
    <row r="42" spans="1:20" ht="15.75" customHeight="1" x14ac:dyDescent="0.2">
      <c r="A42" s="2" t="s">
        <v>318</v>
      </c>
      <c r="B42" s="195">
        <f>JANUARY!B42</f>
        <v>0</v>
      </c>
      <c r="C42" s="83">
        <f>FEBRUARY!B42</f>
        <v>0</v>
      </c>
      <c r="D42" s="83">
        <f>MARCH!B42</f>
        <v>0</v>
      </c>
      <c r="E42" s="83">
        <f>APRIL!B42</f>
        <v>0</v>
      </c>
      <c r="F42" s="83">
        <f>MAY!B42</f>
        <v>0</v>
      </c>
      <c r="G42" s="83">
        <f>JUNE!B42</f>
        <v>0</v>
      </c>
      <c r="H42" s="83">
        <f>JULY!B42</f>
        <v>0</v>
      </c>
      <c r="I42" s="83">
        <f>AUGUST!B42</f>
        <v>0</v>
      </c>
      <c r="J42" s="83">
        <f>SEPTEMBER!B42</f>
        <v>0</v>
      </c>
      <c r="K42" s="83">
        <f>OCTOBER!B42</f>
        <v>0</v>
      </c>
      <c r="L42" s="83">
        <f>NOVEMBER!B42</f>
        <v>0</v>
      </c>
      <c r="M42" s="83">
        <f>DECEMBER!B42</f>
        <v>0</v>
      </c>
      <c r="N42" s="187">
        <f t="shared" si="0"/>
        <v>0</v>
      </c>
      <c r="O42" s="187">
        <f t="shared" si="1"/>
        <v>0</v>
      </c>
      <c r="P42" s="187">
        <f t="shared" si="2"/>
        <v>0</v>
      </c>
      <c r="Q42" s="187">
        <f t="shared" si="3"/>
        <v>0</v>
      </c>
      <c r="R42" s="198">
        <f t="shared" si="4"/>
        <v>0</v>
      </c>
      <c r="S42" s="186">
        <f>TARGET!B42</f>
        <v>0</v>
      </c>
      <c r="T42" s="208" t="e">
        <f t="shared" si="5"/>
        <v>#DIV/0!</v>
      </c>
    </row>
    <row r="43" spans="1:20" ht="15.75" customHeight="1" x14ac:dyDescent="0.25">
      <c r="A43" s="46" t="s">
        <v>314</v>
      </c>
      <c r="B43" s="162">
        <f>JANUARY!B43</f>
        <v>0</v>
      </c>
      <c r="C43" s="162">
        <f>FEBRUARY!B43</f>
        <v>0</v>
      </c>
      <c r="D43" s="162">
        <f>MARCH!B43</f>
        <v>0</v>
      </c>
      <c r="E43" s="162">
        <f>APRIL!B43</f>
        <v>0</v>
      </c>
      <c r="F43" s="162">
        <f>MAY!B43</f>
        <v>0</v>
      </c>
      <c r="G43" s="162">
        <f>JUNE!B43</f>
        <v>0</v>
      </c>
      <c r="H43" s="162">
        <f>JULY!B43</f>
        <v>0</v>
      </c>
      <c r="I43" s="162">
        <f>AUGUST!B43</f>
        <v>0</v>
      </c>
      <c r="J43" s="162">
        <f>SEPTEMBER!B43</f>
        <v>0</v>
      </c>
      <c r="K43" s="162">
        <f>OCTOBER!B43</f>
        <v>0</v>
      </c>
      <c r="L43" s="162">
        <f>NOVEMBER!B43</f>
        <v>0</v>
      </c>
      <c r="M43" s="162">
        <f>DECEMBER!B43</f>
        <v>0</v>
      </c>
      <c r="N43" s="185">
        <f t="shared" si="0"/>
        <v>0</v>
      </c>
      <c r="O43" s="185">
        <f t="shared" si="1"/>
        <v>0</v>
      </c>
      <c r="P43" s="185">
        <f t="shared" si="2"/>
        <v>0</v>
      </c>
      <c r="Q43" s="185">
        <f t="shared" si="3"/>
        <v>0</v>
      </c>
      <c r="R43" s="197">
        <f t="shared" si="4"/>
        <v>0</v>
      </c>
      <c r="S43" s="162">
        <f>TARGET!B43</f>
        <v>0</v>
      </c>
      <c r="T43" s="208" t="e">
        <f t="shared" si="5"/>
        <v>#DIV/0!</v>
      </c>
    </row>
    <row r="44" spans="1:20" ht="15.75" customHeight="1" x14ac:dyDescent="0.2">
      <c r="A44" s="2" t="s">
        <v>315</v>
      </c>
      <c r="B44" s="195">
        <f>JANUARY!B44</f>
        <v>0</v>
      </c>
      <c r="C44" s="83">
        <f>FEBRUARY!B44</f>
        <v>0</v>
      </c>
      <c r="D44" s="83">
        <f>MARCH!B44</f>
        <v>0</v>
      </c>
      <c r="E44" s="83">
        <f>APRIL!B44</f>
        <v>0</v>
      </c>
      <c r="F44" s="83">
        <f>MAY!B44</f>
        <v>0</v>
      </c>
      <c r="G44" s="83">
        <f>JUNE!B44</f>
        <v>0</v>
      </c>
      <c r="H44" s="83">
        <f>JULY!B44</f>
        <v>0</v>
      </c>
      <c r="I44" s="83">
        <f>AUGUST!B44</f>
        <v>0</v>
      </c>
      <c r="J44" s="83">
        <f>SEPTEMBER!B44</f>
        <v>0</v>
      </c>
      <c r="K44" s="83">
        <f>OCTOBER!B44</f>
        <v>0</v>
      </c>
      <c r="L44" s="83">
        <f>NOVEMBER!B44</f>
        <v>0</v>
      </c>
      <c r="M44" s="83">
        <f>DECEMBER!B44</f>
        <v>0</v>
      </c>
      <c r="N44" s="187">
        <f t="shared" si="0"/>
        <v>0</v>
      </c>
      <c r="O44" s="187">
        <f t="shared" si="1"/>
        <v>0</v>
      </c>
      <c r="P44" s="187">
        <f t="shared" si="2"/>
        <v>0</v>
      </c>
      <c r="Q44" s="187">
        <f t="shared" si="3"/>
        <v>0</v>
      </c>
      <c r="R44" s="198">
        <f t="shared" si="4"/>
        <v>0</v>
      </c>
      <c r="S44" s="186">
        <f>TARGET!B44</f>
        <v>0</v>
      </c>
      <c r="T44" s="208" t="e">
        <f t="shared" si="5"/>
        <v>#DIV/0!</v>
      </c>
    </row>
    <row r="45" spans="1:20" ht="15.75" customHeight="1" x14ac:dyDescent="0.2">
      <c r="A45" s="2" t="s">
        <v>316</v>
      </c>
      <c r="B45" s="195">
        <f>JANUARY!B45</f>
        <v>0</v>
      </c>
      <c r="C45" s="83">
        <f>FEBRUARY!B45</f>
        <v>0</v>
      </c>
      <c r="D45" s="83">
        <f>MARCH!B45</f>
        <v>0</v>
      </c>
      <c r="E45" s="83">
        <f>APRIL!B45</f>
        <v>0</v>
      </c>
      <c r="F45" s="83">
        <f>MAY!B45</f>
        <v>0</v>
      </c>
      <c r="G45" s="83">
        <f>JUNE!B45</f>
        <v>0</v>
      </c>
      <c r="H45" s="83">
        <f>JULY!B45</f>
        <v>0</v>
      </c>
      <c r="I45" s="83">
        <f>AUGUST!B45</f>
        <v>0</v>
      </c>
      <c r="J45" s="83">
        <f>SEPTEMBER!B45</f>
        <v>0</v>
      </c>
      <c r="K45" s="83">
        <f>OCTOBER!B45</f>
        <v>0</v>
      </c>
      <c r="L45" s="83">
        <f>NOVEMBER!B45</f>
        <v>0</v>
      </c>
      <c r="M45" s="83">
        <f>DECEMBER!B45</f>
        <v>0</v>
      </c>
      <c r="N45" s="187">
        <f t="shared" si="0"/>
        <v>0</v>
      </c>
      <c r="O45" s="187">
        <f t="shared" si="1"/>
        <v>0</v>
      </c>
      <c r="P45" s="187">
        <f t="shared" si="2"/>
        <v>0</v>
      </c>
      <c r="Q45" s="187">
        <f t="shared" si="3"/>
        <v>0</v>
      </c>
      <c r="R45" s="198">
        <f t="shared" si="4"/>
        <v>0</v>
      </c>
      <c r="S45" s="186">
        <f>TARGET!B45</f>
        <v>0</v>
      </c>
      <c r="T45" s="208" t="e">
        <f t="shared" si="5"/>
        <v>#DIV/0!</v>
      </c>
    </row>
    <row r="46" spans="1:20" ht="15.75" customHeight="1" x14ac:dyDescent="0.2">
      <c r="A46" s="46" t="s">
        <v>280</v>
      </c>
      <c r="B46" s="195">
        <f>JANUARY!B46</f>
        <v>0</v>
      </c>
      <c r="C46" s="83">
        <f>FEBRUARY!B46</f>
        <v>0</v>
      </c>
      <c r="D46" s="83">
        <f>MARCH!B46</f>
        <v>200</v>
      </c>
      <c r="E46" s="83">
        <f>APRIL!B46</f>
        <v>0</v>
      </c>
      <c r="F46" s="83">
        <f>MAY!B46</f>
        <v>0</v>
      </c>
      <c r="G46" s="83">
        <f>JUNE!B46</f>
        <v>0</v>
      </c>
      <c r="H46" s="83">
        <f>JULY!B46</f>
        <v>0</v>
      </c>
      <c r="I46" s="83">
        <f>AUGUST!B46</f>
        <v>0</v>
      </c>
      <c r="J46" s="83">
        <f>SEPTEMBER!B46</f>
        <v>0</v>
      </c>
      <c r="K46" s="83">
        <f>OCTOBER!B46</f>
        <v>0</v>
      </c>
      <c r="L46" s="83">
        <f>NOVEMBER!B46</f>
        <v>0</v>
      </c>
      <c r="M46" s="83">
        <f>DECEMBER!B46</f>
        <v>0</v>
      </c>
      <c r="N46" s="187">
        <f t="shared" si="0"/>
        <v>200</v>
      </c>
      <c r="O46" s="187">
        <f t="shared" si="1"/>
        <v>0</v>
      </c>
      <c r="P46" s="187">
        <f t="shared" si="2"/>
        <v>0</v>
      </c>
      <c r="Q46" s="187">
        <f t="shared" si="3"/>
        <v>0</v>
      </c>
      <c r="R46" s="198">
        <f t="shared" si="4"/>
        <v>200</v>
      </c>
      <c r="S46" s="186">
        <f>TARGET!B46</f>
        <v>0</v>
      </c>
      <c r="T46" s="208" t="e">
        <f t="shared" si="5"/>
        <v>#DIV/0!</v>
      </c>
    </row>
    <row r="47" spans="1:20" ht="15.75" customHeight="1" x14ac:dyDescent="0.25">
      <c r="A47" s="47" t="s">
        <v>40</v>
      </c>
      <c r="B47" s="162">
        <f>JANUARY!B47</f>
        <v>628</v>
      </c>
      <c r="C47" s="162">
        <f>FEBRUARY!B47</f>
        <v>304</v>
      </c>
      <c r="D47" s="162">
        <f>MARCH!B47</f>
        <v>304</v>
      </c>
      <c r="E47" s="162">
        <f>APRIL!B47</f>
        <v>398</v>
      </c>
      <c r="F47" s="162">
        <f>MAY!B47</f>
        <v>165</v>
      </c>
      <c r="G47" s="162">
        <f>JUNE!B47</f>
        <v>121</v>
      </c>
      <c r="H47" s="162">
        <f>JULY!B47</f>
        <v>151</v>
      </c>
      <c r="I47" s="162">
        <f>AUGUST!B47</f>
        <v>10</v>
      </c>
      <c r="J47" s="162">
        <f>SEPTEMBER!B47</f>
        <v>76</v>
      </c>
      <c r="K47" s="162">
        <f>OCTOBER!B47</f>
        <v>19</v>
      </c>
      <c r="L47" s="162">
        <f>NOVEMBER!B47</f>
        <v>0</v>
      </c>
      <c r="M47" s="162">
        <f>DECEMBER!B47</f>
        <v>0</v>
      </c>
      <c r="N47" s="185">
        <f t="shared" si="0"/>
        <v>1236</v>
      </c>
      <c r="O47" s="185">
        <f t="shared" si="1"/>
        <v>684</v>
      </c>
      <c r="P47" s="185">
        <f t="shared" si="2"/>
        <v>237</v>
      </c>
      <c r="Q47" s="185">
        <f t="shared" si="3"/>
        <v>19</v>
      </c>
      <c r="R47" s="197">
        <f t="shared" si="4"/>
        <v>2176</v>
      </c>
      <c r="S47" s="162">
        <f>TARGET!B47</f>
        <v>0</v>
      </c>
      <c r="T47" s="208" t="e">
        <f t="shared" si="5"/>
        <v>#DIV/0!</v>
      </c>
    </row>
    <row r="48" spans="1:20" ht="15.75" customHeight="1" x14ac:dyDescent="0.25">
      <c r="A48" s="46" t="s">
        <v>5</v>
      </c>
      <c r="B48" s="162">
        <f>JANUARY!B48</f>
        <v>628</v>
      </c>
      <c r="C48" s="162">
        <f>FEBRUARY!B48</f>
        <v>304</v>
      </c>
      <c r="D48" s="162">
        <f>MARCH!B48</f>
        <v>304</v>
      </c>
      <c r="E48" s="162">
        <f>APRIL!B48</f>
        <v>248</v>
      </c>
      <c r="F48" s="162">
        <f>MAY!B48</f>
        <v>165</v>
      </c>
      <c r="G48" s="162">
        <f>JUNE!B48</f>
        <v>121</v>
      </c>
      <c r="H48" s="162">
        <f>JULY!B48</f>
        <v>151</v>
      </c>
      <c r="I48" s="162">
        <f>AUGUST!B48</f>
        <v>10</v>
      </c>
      <c r="J48" s="162">
        <f>SEPTEMBER!B48</f>
        <v>76</v>
      </c>
      <c r="K48" s="162">
        <f>OCTOBER!B48</f>
        <v>19</v>
      </c>
      <c r="L48" s="162">
        <f>NOVEMBER!B48</f>
        <v>0</v>
      </c>
      <c r="M48" s="162">
        <f>DECEMBER!B48</f>
        <v>0</v>
      </c>
      <c r="N48" s="185">
        <f t="shared" si="0"/>
        <v>1236</v>
      </c>
      <c r="O48" s="185">
        <f t="shared" si="1"/>
        <v>534</v>
      </c>
      <c r="P48" s="185">
        <f t="shared" si="2"/>
        <v>237</v>
      </c>
      <c r="Q48" s="185">
        <f t="shared" si="3"/>
        <v>19</v>
      </c>
      <c r="R48" s="197">
        <f t="shared" si="4"/>
        <v>2026</v>
      </c>
      <c r="S48" s="162">
        <f>TARGET!B48</f>
        <v>0</v>
      </c>
      <c r="T48" s="208" t="e">
        <f t="shared" si="5"/>
        <v>#DIV/0!</v>
      </c>
    </row>
    <row r="49" spans="1:20" ht="15.75" customHeight="1" x14ac:dyDescent="0.25">
      <c r="A49" s="2" t="s">
        <v>274</v>
      </c>
      <c r="B49" s="162">
        <f>JANUARY!B49</f>
        <v>628</v>
      </c>
      <c r="C49" s="162">
        <f>FEBRUARY!B49</f>
        <v>304</v>
      </c>
      <c r="D49" s="162">
        <f>MARCH!B49</f>
        <v>304</v>
      </c>
      <c r="E49" s="162">
        <f>APRIL!B49</f>
        <v>248</v>
      </c>
      <c r="F49" s="162">
        <f>MAY!B49</f>
        <v>165</v>
      </c>
      <c r="G49" s="162">
        <f>JUNE!B49</f>
        <v>121</v>
      </c>
      <c r="H49" s="162">
        <f>JULY!B49</f>
        <v>151</v>
      </c>
      <c r="I49" s="162">
        <f>AUGUST!B49</f>
        <v>0</v>
      </c>
      <c r="J49" s="162">
        <f>SEPTEMBER!B49</f>
        <v>76</v>
      </c>
      <c r="K49" s="162">
        <f>OCTOBER!B49</f>
        <v>19</v>
      </c>
      <c r="L49" s="162">
        <f>NOVEMBER!B49</f>
        <v>0</v>
      </c>
      <c r="M49" s="162">
        <f>DECEMBER!B49</f>
        <v>0</v>
      </c>
      <c r="N49" s="185">
        <f t="shared" si="0"/>
        <v>1236</v>
      </c>
      <c r="O49" s="185">
        <f t="shared" si="1"/>
        <v>534</v>
      </c>
      <c r="P49" s="185">
        <f t="shared" si="2"/>
        <v>227</v>
      </c>
      <c r="Q49" s="185">
        <f t="shared" si="3"/>
        <v>19</v>
      </c>
      <c r="R49" s="197">
        <f t="shared" si="4"/>
        <v>2016</v>
      </c>
      <c r="S49" s="162">
        <f>TARGET!B49</f>
        <v>0</v>
      </c>
      <c r="T49" s="208" t="e">
        <f t="shared" si="5"/>
        <v>#DIV/0!</v>
      </c>
    </row>
    <row r="50" spans="1:20" ht="15.75" customHeight="1" x14ac:dyDescent="0.2">
      <c r="A50" s="2" t="s">
        <v>277</v>
      </c>
      <c r="B50" s="195">
        <f>JANUARY!B50</f>
        <v>500</v>
      </c>
      <c r="C50" s="83">
        <f>FEBRUARY!B50</f>
        <v>179</v>
      </c>
      <c r="D50" s="83">
        <f>MARCH!B50</f>
        <v>179</v>
      </c>
      <c r="E50" s="83">
        <f>APRIL!B50</f>
        <v>156</v>
      </c>
      <c r="F50" s="83">
        <f>MAY!B50</f>
        <v>82</v>
      </c>
      <c r="G50" s="83">
        <f>JUNE!B50</f>
        <v>60</v>
      </c>
      <c r="H50" s="83">
        <f>JULY!B50</f>
        <v>111</v>
      </c>
      <c r="I50" s="83">
        <f>AUGUST!B50</f>
        <v>0</v>
      </c>
      <c r="J50" s="83">
        <f>SEPTEMBER!B50</f>
        <v>42</v>
      </c>
      <c r="K50" s="83">
        <f>OCTOBER!B50</f>
        <v>7</v>
      </c>
      <c r="L50" s="83">
        <f>NOVEMBER!B50</f>
        <v>0</v>
      </c>
      <c r="M50" s="83">
        <f>DECEMBER!B50</f>
        <v>0</v>
      </c>
      <c r="N50" s="187">
        <f t="shared" si="0"/>
        <v>858</v>
      </c>
      <c r="O50" s="187">
        <f t="shared" si="1"/>
        <v>298</v>
      </c>
      <c r="P50" s="187">
        <f t="shared" si="2"/>
        <v>153</v>
      </c>
      <c r="Q50" s="187">
        <f t="shared" si="3"/>
        <v>7</v>
      </c>
      <c r="R50" s="198">
        <f t="shared" si="4"/>
        <v>1316</v>
      </c>
      <c r="S50" s="186">
        <f>TARGET!B50</f>
        <v>0</v>
      </c>
      <c r="T50" s="208" t="e">
        <f t="shared" si="5"/>
        <v>#DIV/0!</v>
      </c>
    </row>
    <row r="51" spans="1:20" ht="15.75" customHeight="1" x14ac:dyDescent="0.2">
      <c r="A51" s="2" t="s">
        <v>278</v>
      </c>
      <c r="B51" s="195">
        <f>JANUARY!B51</f>
        <v>128</v>
      </c>
      <c r="C51" s="83">
        <f>FEBRUARY!B51</f>
        <v>125</v>
      </c>
      <c r="D51" s="83">
        <f>MARCH!B51</f>
        <v>125</v>
      </c>
      <c r="E51" s="83">
        <f>APRIL!B51</f>
        <v>92</v>
      </c>
      <c r="F51" s="83">
        <f>MAY!B51</f>
        <v>83</v>
      </c>
      <c r="G51" s="83">
        <f>JUNE!B51</f>
        <v>61</v>
      </c>
      <c r="H51" s="83">
        <f>JULY!B51</f>
        <v>40</v>
      </c>
      <c r="I51" s="83">
        <f>AUGUST!B51</f>
        <v>0</v>
      </c>
      <c r="J51" s="83">
        <f>SEPTEMBER!B51</f>
        <v>34</v>
      </c>
      <c r="K51" s="83">
        <f>OCTOBER!B51</f>
        <v>12</v>
      </c>
      <c r="L51" s="83">
        <f>NOVEMBER!B51</f>
        <v>0</v>
      </c>
      <c r="M51" s="83">
        <f>DECEMBER!B51</f>
        <v>0</v>
      </c>
      <c r="N51" s="187">
        <f t="shared" si="0"/>
        <v>378</v>
      </c>
      <c r="O51" s="187">
        <f t="shared" si="1"/>
        <v>236</v>
      </c>
      <c r="P51" s="187">
        <f t="shared" si="2"/>
        <v>74</v>
      </c>
      <c r="Q51" s="187">
        <f t="shared" si="3"/>
        <v>12</v>
      </c>
      <c r="R51" s="198">
        <f t="shared" si="4"/>
        <v>700</v>
      </c>
      <c r="S51" s="186">
        <f>TARGET!B51</f>
        <v>0</v>
      </c>
      <c r="T51" s="208" t="e">
        <f t="shared" si="5"/>
        <v>#DIV/0!</v>
      </c>
    </row>
    <row r="52" spans="1:20" ht="15.75" customHeight="1" x14ac:dyDescent="0.25">
      <c r="A52" s="2" t="s">
        <v>6</v>
      </c>
      <c r="B52" s="162">
        <f>JANUARY!B52</f>
        <v>0</v>
      </c>
      <c r="C52" s="162">
        <f>FEBRUARY!B52</f>
        <v>0</v>
      </c>
      <c r="D52" s="162">
        <f>MARCH!B52</f>
        <v>0</v>
      </c>
      <c r="E52" s="162">
        <f>APRIL!B52</f>
        <v>0</v>
      </c>
      <c r="F52" s="162">
        <f>MAY!B52</f>
        <v>0</v>
      </c>
      <c r="G52" s="162">
        <f>JUNE!B52</f>
        <v>0</v>
      </c>
      <c r="H52" s="162">
        <f>JULY!B52</f>
        <v>0</v>
      </c>
      <c r="I52" s="162">
        <f>AUGUST!B52</f>
        <v>10</v>
      </c>
      <c r="J52" s="162">
        <f>SEPTEMBER!B52</f>
        <v>0</v>
      </c>
      <c r="K52" s="162">
        <f>OCTOBER!B52</f>
        <v>0</v>
      </c>
      <c r="L52" s="162">
        <f>NOVEMBER!B52</f>
        <v>0</v>
      </c>
      <c r="M52" s="162">
        <f>DECEMBER!B52</f>
        <v>0</v>
      </c>
      <c r="N52" s="185">
        <f t="shared" si="0"/>
        <v>0</v>
      </c>
      <c r="O52" s="185">
        <f t="shared" si="1"/>
        <v>0</v>
      </c>
      <c r="P52" s="185">
        <f t="shared" si="2"/>
        <v>10</v>
      </c>
      <c r="Q52" s="185">
        <f t="shared" si="3"/>
        <v>0</v>
      </c>
      <c r="R52" s="197">
        <f t="shared" si="4"/>
        <v>10</v>
      </c>
      <c r="S52" s="162">
        <f>TARGET!B52</f>
        <v>0</v>
      </c>
      <c r="T52" s="208" t="e">
        <f t="shared" si="5"/>
        <v>#DIV/0!</v>
      </c>
    </row>
    <row r="53" spans="1:20" ht="15.75" customHeight="1" x14ac:dyDescent="0.2">
      <c r="A53" s="2" t="s">
        <v>275</v>
      </c>
      <c r="B53" s="195">
        <f>JANUARY!B53</f>
        <v>0</v>
      </c>
      <c r="C53" s="83">
        <f>FEBRUARY!B53</f>
        <v>0</v>
      </c>
      <c r="D53" s="83">
        <f>MARCH!B53</f>
        <v>0</v>
      </c>
      <c r="E53" s="83">
        <f>APRIL!B53</f>
        <v>0</v>
      </c>
      <c r="F53" s="83">
        <f>MAY!B53</f>
        <v>0</v>
      </c>
      <c r="G53" s="83">
        <f>JUNE!B53</f>
        <v>0</v>
      </c>
      <c r="H53" s="83">
        <f>JULY!B53</f>
        <v>0</v>
      </c>
      <c r="I53" s="83">
        <f>AUGUST!B53</f>
        <v>10</v>
      </c>
      <c r="J53" s="83">
        <f>SEPTEMBER!B53</f>
        <v>0</v>
      </c>
      <c r="K53" s="83">
        <f>OCTOBER!B53</f>
        <v>0</v>
      </c>
      <c r="L53" s="83">
        <f>NOVEMBER!B53</f>
        <v>0</v>
      </c>
      <c r="M53" s="83">
        <f>DECEMBER!B53</f>
        <v>0</v>
      </c>
      <c r="N53" s="187">
        <f t="shared" si="0"/>
        <v>0</v>
      </c>
      <c r="O53" s="187">
        <f t="shared" si="1"/>
        <v>0</v>
      </c>
      <c r="P53" s="187">
        <f t="shared" si="2"/>
        <v>10</v>
      </c>
      <c r="Q53" s="187">
        <f t="shared" si="3"/>
        <v>0</v>
      </c>
      <c r="R53" s="198">
        <f t="shared" si="4"/>
        <v>10</v>
      </c>
      <c r="S53" s="186">
        <f>TARGET!B53</f>
        <v>0</v>
      </c>
      <c r="T53" s="208" t="e">
        <f t="shared" si="5"/>
        <v>#DIV/0!</v>
      </c>
    </row>
    <row r="54" spans="1:20" ht="15.75" customHeight="1" x14ac:dyDescent="0.2">
      <c r="A54" s="2" t="s">
        <v>276</v>
      </c>
      <c r="B54" s="195">
        <f>JANUARY!B54</f>
        <v>0</v>
      </c>
      <c r="C54" s="83">
        <f>FEBRUARY!B54</f>
        <v>0</v>
      </c>
      <c r="D54" s="83">
        <f>MARCH!B54</f>
        <v>0</v>
      </c>
      <c r="E54" s="83">
        <f>APRIL!B54</f>
        <v>0</v>
      </c>
      <c r="F54" s="83">
        <f>MAY!B54</f>
        <v>0</v>
      </c>
      <c r="G54" s="83">
        <f>JUNE!B54</f>
        <v>0</v>
      </c>
      <c r="H54" s="83">
        <f>JULY!B54</f>
        <v>0</v>
      </c>
      <c r="I54" s="83">
        <f>AUGUST!B54</f>
        <v>0</v>
      </c>
      <c r="J54" s="83">
        <f>SEPTEMBER!B54</f>
        <v>0</v>
      </c>
      <c r="K54" s="83">
        <f>OCTOBER!B54</f>
        <v>0</v>
      </c>
      <c r="L54" s="83">
        <f>NOVEMBER!B54</f>
        <v>0</v>
      </c>
      <c r="M54" s="83">
        <f>DECEMBER!B54</f>
        <v>0</v>
      </c>
      <c r="N54" s="187">
        <f t="shared" si="0"/>
        <v>0</v>
      </c>
      <c r="O54" s="187">
        <f t="shared" si="1"/>
        <v>0</v>
      </c>
      <c r="P54" s="187">
        <f t="shared" si="2"/>
        <v>0</v>
      </c>
      <c r="Q54" s="187">
        <f t="shared" si="3"/>
        <v>0</v>
      </c>
      <c r="R54" s="198">
        <f t="shared" si="4"/>
        <v>0</v>
      </c>
      <c r="S54" s="186">
        <f>TARGET!B54</f>
        <v>0</v>
      </c>
      <c r="T54" s="208" t="e">
        <f t="shared" si="5"/>
        <v>#DIV/0!</v>
      </c>
    </row>
    <row r="55" spans="1:20" ht="15.75" customHeight="1" x14ac:dyDescent="0.25">
      <c r="A55" s="46" t="s">
        <v>41</v>
      </c>
      <c r="B55" s="162">
        <f>JANUARY!B55</f>
        <v>0</v>
      </c>
      <c r="C55" s="162">
        <f>FEBRUARY!B55</f>
        <v>0</v>
      </c>
      <c r="D55" s="162">
        <f>MARCH!B55</f>
        <v>0</v>
      </c>
      <c r="E55" s="162">
        <f>APRIL!B55</f>
        <v>150</v>
      </c>
      <c r="F55" s="162">
        <f>MAY!B55</f>
        <v>0</v>
      </c>
      <c r="G55" s="162">
        <f>JUNE!B55</f>
        <v>0</v>
      </c>
      <c r="H55" s="162">
        <f>JULY!B55</f>
        <v>0</v>
      </c>
      <c r="I55" s="162">
        <f>AUGUST!B55</f>
        <v>0</v>
      </c>
      <c r="J55" s="162">
        <f>SEPTEMBER!B55</f>
        <v>0</v>
      </c>
      <c r="K55" s="162">
        <f>OCTOBER!B55</f>
        <v>0</v>
      </c>
      <c r="L55" s="162">
        <f>NOVEMBER!B55</f>
        <v>0</v>
      </c>
      <c r="M55" s="162">
        <f>DECEMBER!B55</f>
        <v>0</v>
      </c>
      <c r="N55" s="185">
        <f t="shared" si="0"/>
        <v>0</v>
      </c>
      <c r="O55" s="185">
        <f t="shared" si="1"/>
        <v>150</v>
      </c>
      <c r="P55" s="185">
        <f t="shared" si="2"/>
        <v>0</v>
      </c>
      <c r="Q55" s="185">
        <f t="shared" si="3"/>
        <v>0</v>
      </c>
      <c r="R55" s="197">
        <f t="shared" si="4"/>
        <v>150</v>
      </c>
      <c r="S55" s="162">
        <f>TARGET!B55</f>
        <v>0</v>
      </c>
      <c r="T55" s="208" t="e">
        <f t="shared" si="5"/>
        <v>#DIV/0!</v>
      </c>
    </row>
    <row r="56" spans="1:20" ht="15.75" customHeight="1" x14ac:dyDescent="0.2">
      <c r="A56" s="2" t="s">
        <v>42</v>
      </c>
      <c r="B56" s="195">
        <f>JANUARY!B56</f>
        <v>0</v>
      </c>
      <c r="C56" s="83">
        <f>FEBRUARY!B56</f>
        <v>0</v>
      </c>
      <c r="D56" s="83">
        <f>MARCH!B56</f>
        <v>0</v>
      </c>
      <c r="E56" s="83">
        <f>APRIL!B56</f>
        <v>92</v>
      </c>
      <c r="F56" s="83">
        <f>MAY!B56</f>
        <v>0</v>
      </c>
      <c r="G56" s="83">
        <f>JUNE!B56</f>
        <v>0</v>
      </c>
      <c r="H56" s="83">
        <f>JULY!B56</f>
        <v>0</v>
      </c>
      <c r="I56" s="83">
        <f>AUGUST!B56</f>
        <v>0</v>
      </c>
      <c r="J56" s="83">
        <f>SEPTEMBER!B56</f>
        <v>0</v>
      </c>
      <c r="K56" s="83">
        <f>OCTOBER!B56</f>
        <v>0</v>
      </c>
      <c r="L56" s="83">
        <f>NOVEMBER!B56</f>
        <v>0</v>
      </c>
      <c r="M56" s="83">
        <f>DECEMBER!B56</f>
        <v>0</v>
      </c>
      <c r="N56" s="187">
        <f t="shared" si="0"/>
        <v>0</v>
      </c>
      <c r="O56" s="187">
        <f t="shared" si="1"/>
        <v>92</v>
      </c>
      <c r="P56" s="187">
        <f t="shared" si="2"/>
        <v>0</v>
      </c>
      <c r="Q56" s="187">
        <f t="shared" si="3"/>
        <v>0</v>
      </c>
      <c r="R56" s="198">
        <f t="shared" si="4"/>
        <v>92</v>
      </c>
      <c r="S56" s="186">
        <f>TARGET!B56</f>
        <v>0</v>
      </c>
      <c r="T56" s="208" t="e">
        <f t="shared" si="5"/>
        <v>#DIV/0!</v>
      </c>
    </row>
    <row r="57" spans="1:20" ht="15.75" customHeight="1" x14ac:dyDescent="0.2">
      <c r="A57" s="2" t="s">
        <v>189</v>
      </c>
      <c r="B57" s="195">
        <f>JANUARY!B57</f>
        <v>0</v>
      </c>
      <c r="C57" s="83">
        <f>FEBRUARY!B57</f>
        <v>0</v>
      </c>
      <c r="D57" s="83">
        <f>MARCH!B57</f>
        <v>0</v>
      </c>
      <c r="E57" s="83">
        <f>APRIL!B57</f>
        <v>58</v>
      </c>
      <c r="F57" s="83">
        <f>MAY!B57</f>
        <v>0</v>
      </c>
      <c r="G57" s="83">
        <f>JUNE!B57</f>
        <v>0</v>
      </c>
      <c r="H57" s="83">
        <f>JULY!B57</f>
        <v>0</v>
      </c>
      <c r="I57" s="83">
        <f>AUGUST!B57</f>
        <v>0</v>
      </c>
      <c r="J57" s="83">
        <f>SEPTEMBER!B57</f>
        <v>0</v>
      </c>
      <c r="K57" s="83">
        <f>OCTOBER!B57</f>
        <v>0</v>
      </c>
      <c r="L57" s="83">
        <f>NOVEMBER!B57</f>
        <v>0</v>
      </c>
      <c r="M57" s="83">
        <f>DECEMBER!B57</f>
        <v>0</v>
      </c>
      <c r="N57" s="187">
        <f t="shared" si="0"/>
        <v>0</v>
      </c>
      <c r="O57" s="187">
        <f t="shared" si="1"/>
        <v>58</v>
      </c>
      <c r="P57" s="187">
        <f t="shared" si="2"/>
        <v>0</v>
      </c>
      <c r="Q57" s="187">
        <f t="shared" si="3"/>
        <v>0</v>
      </c>
      <c r="R57" s="198">
        <f t="shared" si="4"/>
        <v>58</v>
      </c>
      <c r="S57" s="186">
        <f>TARGET!B57</f>
        <v>0</v>
      </c>
      <c r="T57" s="208" t="e">
        <f t="shared" si="5"/>
        <v>#DIV/0!</v>
      </c>
    </row>
    <row r="58" spans="1:20" ht="15.75" customHeight="1" x14ac:dyDescent="0.25">
      <c r="A58" s="46" t="s">
        <v>43</v>
      </c>
      <c r="B58" s="162">
        <f>JANUARY!B58</f>
        <v>0</v>
      </c>
      <c r="C58" s="162">
        <f>FEBRUARY!B58</f>
        <v>0</v>
      </c>
      <c r="D58" s="162">
        <f>MARCH!B58</f>
        <v>0</v>
      </c>
      <c r="E58" s="162">
        <f>APRIL!B58</f>
        <v>0</v>
      </c>
      <c r="F58" s="162">
        <f>MAY!B58</f>
        <v>0</v>
      </c>
      <c r="G58" s="162">
        <f>JUNE!B58</f>
        <v>0</v>
      </c>
      <c r="H58" s="162">
        <f>JULY!B58</f>
        <v>0</v>
      </c>
      <c r="I58" s="162">
        <f>AUGUST!B58</f>
        <v>0</v>
      </c>
      <c r="J58" s="162">
        <f>SEPTEMBER!B58</f>
        <v>0</v>
      </c>
      <c r="K58" s="162">
        <f>OCTOBER!B58</f>
        <v>0</v>
      </c>
      <c r="L58" s="162">
        <f>NOVEMBER!B58</f>
        <v>0</v>
      </c>
      <c r="M58" s="162">
        <f>DECEMBER!B58</f>
        <v>0</v>
      </c>
      <c r="N58" s="185">
        <f t="shared" si="0"/>
        <v>0</v>
      </c>
      <c r="O58" s="185">
        <f t="shared" si="1"/>
        <v>0</v>
      </c>
      <c r="P58" s="185">
        <f t="shared" si="2"/>
        <v>0</v>
      </c>
      <c r="Q58" s="185">
        <f t="shared" si="3"/>
        <v>0</v>
      </c>
      <c r="R58" s="197">
        <f t="shared" si="4"/>
        <v>0</v>
      </c>
      <c r="S58" s="162">
        <f>TARGET!B58</f>
        <v>0</v>
      </c>
      <c r="T58" s="208" t="e">
        <f t="shared" si="5"/>
        <v>#DIV/0!</v>
      </c>
    </row>
    <row r="59" spans="1:20" ht="15.75" customHeight="1" x14ac:dyDescent="0.2">
      <c r="A59" s="2" t="s">
        <v>44</v>
      </c>
      <c r="B59" s="195">
        <f>JANUARY!B59</f>
        <v>0</v>
      </c>
      <c r="C59" s="83">
        <f>FEBRUARY!B59</f>
        <v>0</v>
      </c>
      <c r="D59" s="83">
        <f>MARCH!B59</f>
        <v>0</v>
      </c>
      <c r="E59" s="83">
        <f>APRIL!B59</f>
        <v>0</v>
      </c>
      <c r="F59" s="83">
        <f>MAY!B59</f>
        <v>0</v>
      </c>
      <c r="G59" s="83">
        <f>JUNE!B59</f>
        <v>0</v>
      </c>
      <c r="H59" s="83">
        <f>JULY!B59</f>
        <v>0</v>
      </c>
      <c r="I59" s="83">
        <f>AUGUST!B59</f>
        <v>0</v>
      </c>
      <c r="J59" s="83">
        <f>SEPTEMBER!B59</f>
        <v>0</v>
      </c>
      <c r="K59" s="83">
        <f>OCTOBER!B59</f>
        <v>0</v>
      </c>
      <c r="L59" s="83">
        <f>NOVEMBER!B59</f>
        <v>0</v>
      </c>
      <c r="M59" s="83">
        <f>DECEMBER!B59</f>
        <v>0</v>
      </c>
      <c r="N59" s="187">
        <f t="shared" si="0"/>
        <v>0</v>
      </c>
      <c r="O59" s="187">
        <f t="shared" si="1"/>
        <v>0</v>
      </c>
      <c r="P59" s="187">
        <f t="shared" si="2"/>
        <v>0</v>
      </c>
      <c r="Q59" s="187">
        <f t="shared" si="3"/>
        <v>0</v>
      </c>
      <c r="R59" s="198">
        <f t="shared" si="4"/>
        <v>0</v>
      </c>
      <c r="S59" s="186">
        <f>TARGET!B59</f>
        <v>0</v>
      </c>
      <c r="T59" s="208" t="e">
        <f t="shared" si="5"/>
        <v>#DIV/0!</v>
      </c>
    </row>
    <row r="60" spans="1:20" ht="15.75" customHeight="1" x14ac:dyDescent="0.2">
      <c r="A60" s="2" t="s">
        <v>190</v>
      </c>
      <c r="B60" s="195">
        <f>JANUARY!B60</f>
        <v>0</v>
      </c>
      <c r="C60" s="83">
        <f>FEBRUARY!B60</f>
        <v>0</v>
      </c>
      <c r="D60" s="83">
        <f>MARCH!B60</f>
        <v>0</v>
      </c>
      <c r="E60" s="83">
        <f>APRIL!B60</f>
        <v>0</v>
      </c>
      <c r="F60" s="83">
        <f>MAY!B60</f>
        <v>0</v>
      </c>
      <c r="G60" s="83">
        <f>JUNE!B60</f>
        <v>0</v>
      </c>
      <c r="H60" s="83">
        <f>JULY!B60</f>
        <v>0</v>
      </c>
      <c r="I60" s="83">
        <f>AUGUST!B60</f>
        <v>0</v>
      </c>
      <c r="J60" s="83">
        <f>SEPTEMBER!B60</f>
        <v>0</v>
      </c>
      <c r="K60" s="83">
        <f>OCTOBER!B60</f>
        <v>0</v>
      </c>
      <c r="L60" s="83">
        <f>NOVEMBER!B60</f>
        <v>0</v>
      </c>
      <c r="M60" s="83">
        <f>DECEMBER!B60</f>
        <v>0</v>
      </c>
      <c r="N60" s="187">
        <f t="shared" si="0"/>
        <v>0</v>
      </c>
      <c r="O60" s="187">
        <f t="shared" si="1"/>
        <v>0</v>
      </c>
      <c r="P60" s="187">
        <f t="shared" si="2"/>
        <v>0</v>
      </c>
      <c r="Q60" s="187">
        <f t="shared" si="3"/>
        <v>0</v>
      </c>
      <c r="R60" s="198">
        <f t="shared" si="4"/>
        <v>0</v>
      </c>
      <c r="S60" s="186">
        <f>TARGET!B60</f>
        <v>0</v>
      </c>
      <c r="T60" s="208" t="e">
        <f t="shared" si="5"/>
        <v>#DIV/0!</v>
      </c>
    </row>
    <row r="61" spans="1:20" ht="15.75" customHeight="1" x14ac:dyDescent="0.25">
      <c r="A61" s="46" t="s">
        <v>7</v>
      </c>
      <c r="B61" s="162">
        <f>JANUARY!B61</f>
        <v>0</v>
      </c>
      <c r="C61" s="162">
        <f>FEBRUARY!B61</f>
        <v>0</v>
      </c>
      <c r="D61" s="162">
        <f>MARCH!B61</f>
        <v>0</v>
      </c>
      <c r="E61" s="162">
        <f>APRIL!B61</f>
        <v>0</v>
      </c>
      <c r="F61" s="162">
        <f>MAY!B61</f>
        <v>0</v>
      </c>
      <c r="G61" s="162">
        <f>JUNE!B61</f>
        <v>0</v>
      </c>
      <c r="H61" s="162">
        <f>JULY!B61</f>
        <v>0</v>
      </c>
      <c r="I61" s="162">
        <f>AUGUST!B61</f>
        <v>0</v>
      </c>
      <c r="J61" s="162">
        <f>SEPTEMBER!B61</f>
        <v>0</v>
      </c>
      <c r="K61" s="162">
        <f>OCTOBER!B61</f>
        <v>0</v>
      </c>
      <c r="L61" s="162">
        <f>NOVEMBER!B61</f>
        <v>0</v>
      </c>
      <c r="M61" s="162">
        <f>DECEMBER!B61</f>
        <v>0</v>
      </c>
      <c r="N61" s="185">
        <f t="shared" si="0"/>
        <v>0</v>
      </c>
      <c r="O61" s="185">
        <f t="shared" si="1"/>
        <v>0</v>
      </c>
      <c r="P61" s="185">
        <f t="shared" si="2"/>
        <v>0</v>
      </c>
      <c r="Q61" s="185">
        <f t="shared" si="3"/>
        <v>0</v>
      </c>
      <c r="R61" s="197">
        <f t="shared" si="4"/>
        <v>0</v>
      </c>
      <c r="S61" s="162">
        <f>TARGET!B61</f>
        <v>0</v>
      </c>
      <c r="T61" s="208" t="e">
        <f t="shared" si="5"/>
        <v>#DIV/0!</v>
      </c>
    </row>
    <row r="62" spans="1:20" ht="15.75" customHeight="1" x14ac:dyDescent="0.25">
      <c r="A62" s="2" t="s">
        <v>45</v>
      </c>
      <c r="B62" s="162">
        <f>JANUARY!B62</f>
        <v>0</v>
      </c>
      <c r="C62" s="162">
        <f>FEBRUARY!B62</f>
        <v>0</v>
      </c>
      <c r="D62" s="162">
        <f>MARCH!B62</f>
        <v>0</v>
      </c>
      <c r="E62" s="162">
        <f>APRIL!B62</f>
        <v>0</v>
      </c>
      <c r="F62" s="162">
        <f>MAY!B62</f>
        <v>0</v>
      </c>
      <c r="G62" s="162">
        <f>JUNE!B62</f>
        <v>0</v>
      </c>
      <c r="H62" s="162">
        <f>JULY!B62</f>
        <v>0</v>
      </c>
      <c r="I62" s="162">
        <f>AUGUST!B62</f>
        <v>0</v>
      </c>
      <c r="J62" s="162">
        <f>SEPTEMBER!B62</f>
        <v>0</v>
      </c>
      <c r="K62" s="162">
        <f>OCTOBER!B62</f>
        <v>0</v>
      </c>
      <c r="L62" s="162">
        <f>NOVEMBER!B62</f>
        <v>0</v>
      </c>
      <c r="M62" s="162">
        <f>DECEMBER!B62</f>
        <v>0</v>
      </c>
      <c r="N62" s="185">
        <f t="shared" si="0"/>
        <v>0</v>
      </c>
      <c r="O62" s="185">
        <f t="shared" si="1"/>
        <v>0</v>
      </c>
      <c r="P62" s="185">
        <f t="shared" si="2"/>
        <v>0</v>
      </c>
      <c r="Q62" s="185">
        <f t="shared" si="3"/>
        <v>0</v>
      </c>
      <c r="R62" s="197">
        <f t="shared" si="4"/>
        <v>0</v>
      </c>
      <c r="S62" s="162">
        <f>TARGET!B62</f>
        <v>0</v>
      </c>
      <c r="T62" s="208" t="e">
        <f t="shared" si="5"/>
        <v>#DIV/0!</v>
      </c>
    </row>
    <row r="63" spans="1:20" ht="15.75" customHeight="1" x14ac:dyDescent="0.2">
      <c r="A63" s="2" t="s">
        <v>46</v>
      </c>
      <c r="B63" s="195">
        <f>JANUARY!B63</f>
        <v>0</v>
      </c>
      <c r="C63" s="83">
        <f>FEBRUARY!B63</f>
        <v>0</v>
      </c>
      <c r="D63" s="83">
        <f>MARCH!B63</f>
        <v>0</v>
      </c>
      <c r="E63" s="83">
        <f>APRIL!B63</f>
        <v>0</v>
      </c>
      <c r="F63" s="83">
        <f>MAY!B63</f>
        <v>0</v>
      </c>
      <c r="G63" s="83">
        <f>JUNE!B63</f>
        <v>0</v>
      </c>
      <c r="H63" s="83">
        <f>JULY!B63</f>
        <v>0</v>
      </c>
      <c r="I63" s="83">
        <f>AUGUST!B63</f>
        <v>0</v>
      </c>
      <c r="J63" s="83">
        <f>SEPTEMBER!B63</f>
        <v>0</v>
      </c>
      <c r="K63" s="83">
        <f>OCTOBER!B63</f>
        <v>0</v>
      </c>
      <c r="L63" s="83">
        <f>NOVEMBER!B63</f>
        <v>0</v>
      </c>
      <c r="M63" s="83">
        <f>DECEMBER!B63</f>
        <v>0</v>
      </c>
      <c r="N63" s="187">
        <f t="shared" si="0"/>
        <v>0</v>
      </c>
      <c r="O63" s="187">
        <f t="shared" si="1"/>
        <v>0</v>
      </c>
      <c r="P63" s="187">
        <f t="shared" si="2"/>
        <v>0</v>
      </c>
      <c r="Q63" s="187">
        <f t="shared" si="3"/>
        <v>0</v>
      </c>
      <c r="R63" s="198">
        <f t="shared" si="4"/>
        <v>0</v>
      </c>
      <c r="S63" s="186">
        <f>TARGET!B63</f>
        <v>0</v>
      </c>
      <c r="T63" s="208" t="e">
        <f t="shared" si="5"/>
        <v>#DIV/0!</v>
      </c>
    </row>
    <row r="64" spans="1:20" ht="15.75" customHeight="1" x14ac:dyDescent="0.2">
      <c r="A64" s="2" t="s">
        <v>191</v>
      </c>
      <c r="B64" s="195">
        <f>JANUARY!B64</f>
        <v>0</v>
      </c>
      <c r="C64" s="83">
        <f>FEBRUARY!B64</f>
        <v>0</v>
      </c>
      <c r="D64" s="83">
        <f>MARCH!B64</f>
        <v>0</v>
      </c>
      <c r="E64" s="83">
        <f>APRIL!B64</f>
        <v>0</v>
      </c>
      <c r="F64" s="83">
        <f>MAY!B64</f>
        <v>0</v>
      </c>
      <c r="G64" s="83">
        <f>JUNE!B64</f>
        <v>0</v>
      </c>
      <c r="H64" s="83">
        <f>JULY!B64</f>
        <v>0</v>
      </c>
      <c r="I64" s="83">
        <f>AUGUST!B64</f>
        <v>0</v>
      </c>
      <c r="J64" s="83">
        <f>SEPTEMBER!B64</f>
        <v>0</v>
      </c>
      <c r="K64" s="83">
        <f>OCTOBER!B64</f>
        <v>0</v>
      </c>
      <c r="L64" s="83">
        <f>NOVEMBER!B64</f>
        <v>0</v>
      </c>
      <c r="M64" s="83">
        <f>DECEMBER!B64</f>
        <v>0</v>
      </c>
      <c r="N64" s="187">
        <f t="shared" si="0"/>
        <v>0</v>
      </c>
      <c r="O64" s="187">
        <f t="shared" si="1"/>
        <v>0</v>
      </c>
      <c r="P64" s="187">
        <f t="shared" si="2"/>
        <v>0</v>
      </c>
      <c r="Q64" s="187">
        <f t="shared" si="3"/>
        <v>0</v>
      </c>
      <c r="R64" s="198">
        <f t="shared" si="4"/>
        <v>0</v>
      </c>
      <c r="S64" s="186">
        <f>TARGET!B64</f>
        <v>0</v>
      </c>
      <c r="T64" s="208" t="e">
        <f t="shared" si="5"/>
        <v>#DIV/0!</v>
      </c>
    </row>
    <row r="65" spans="1:20" ht="15.75" customHeight="1" x14ac:dyDescent="0.25">
      <c r="A65" s="2" t="s">
        <v>47</v>
      </c>
      <c r="B65" s="162">
        <f>JANUARY!B65</f>
        <v>0</v>
      </c>
      <c r="C65" s="162">
        <f>FEBRUARY!B65</f>
        <v>0</v>
      </c>
      <c r="D65" s="162">
        <f>MARCH!B65</f>
        <v>0</v>
      </c>
      <c r="E65" s="162">
        <f>APRIL!B65</f>
        <v>0</v>
      </c>
      <c r="F65" s="162">
        <f>MAY!B65</f>
        <v>0</v>
      </c>
      <c r="G65" s="162">
        <f>JUNE!B65</f>
        <v>0</v>
      </c>
      <c r="H65" s="162">
        <f>JULY!B65</f>
        <v>0</v>
      </c>
      <c r="I65" s="162">
        <f>AUGUST!B65</f>
        <v>0</v>
      </c>
      <c r="J65" s="162">
        <f>SEPTEMBER!B65</f>
        <v>0</v>
      </c>
      <c r="K65" s="162">
        <f>OCTOBER!B65</f>
        <v>0</v>
      </c>
      <c r="L65" s="162">
        <f>NOVEMBER!B65</f>
        <v>0</v>
      </c>
      <c r="M65" s="162">
        <f>DECEMBER!B65</f>
        <v>0</v>
      </c>
      <c r="N65" s="185">
        <f t="shared" si="0"/>
        <v>0</v>
      </c>
      <c r="O65" s="185">
        <f t="shared" si="1"/>
        <v>0</v>
      </c>
      <c r="P65" s="185">
        <f t="shared" si="2"/>
        <v>0</v>
      </c>
      <c r="Q65" s="185">
        <f t="shared" si="3"/>
        <v>0</v>
      </c>
      <c r="R65" s="197">
        <f t="shared" si="4"/>
        <v>0</v>
      </c>
      <c r="S65" s="162">
        <f>TARGET!B65</f>
        <v>0</v>
      </c>
      <c r="T65" s="208" t="e">
        <f t="shared" si="5"/>
        <v>#DIV/0!</v>
      </c>
    </row>
    <row r="66" spans="1:20" ht="15.75" customHeight="1" x14ac:dyDescent="0.2">
      <c r="A66" s="2" t="s">
        <v>48</v>
      </c>
      <c r="B66" s="195">
        <f>JANUARY!B66</f>
        <v>0</v>
      </c>
      <c r="C66" s="83">
        <f>FEBRUARY!B66</f>
        <v>0</v>
      </c>
      <c r="D66" s="83">
        <f>MARCH!B66</f>
        <v>0</v>
      </c>
      <c r="E66" s="83">
        <f>APRIL!B66</f>
        <v>0</v>
      </c>
      <c r="F66" s="83">
        <f>MAY!B66</f>
        <v>0</v>
      </c>
      <c r="G66" s="83">
        <f>JUNE!B66</f>
        <v>0</v>
      </c>
      <c r="H66" s="83">
        <f>JULY!B66</f>
        <v>0</v>
      </c>
      <c r="I66" s="83">
        <f>AUGUST!B66</f>
        <v>0</v>
      </c>
      <c r="J66" s="83">
        <f>SEPTEMBER!B66</f>
        <v>0</v>
      </c>
      <c r="K66" s="83">
        <f>OCTOBER!B66</f>
        <v>0</v>
      </c>
      <c r="L66" s="83">
        <f>NOVEMBER!B66</f>
        <v>0</v>
      </c>
      <c r="M66" s="83">
        <f>DECEMBER!B66</f>
        <v>0</v>
      </c>
      <c r="N66" s="187">
        <f t="shared" si="0"/>
        <v>0</v>
      </c>
      <c r="O66" s="187">
        <f t="shared" si="1"/>
        <v>0</v>
      </c>
      <c r="P66" s="187">
        <f t="shared" si="2"/>
        <v>0</v>
      </c>
      <c r="Q66" s="187">
        <f t="shared" si="3"/>
        <v>0</v>
      </c>
      <c r="R66" s="198">
        <f t="shared" si="4"/>
        <v>0</v>
      </c>
      <c r="S66" s="186">
        <f>TARGET!B66</f>
        <v>0</v>
      </c>
      <c r="T66" s="208" t="e">
        <f t="shared" si="5"/>
        <v>#DIV/0!</v>
      </c>
    </row>
    <row r="67" spans="1:20" ht="15.75" customHeight="1" x14ac:dyDescent="0.2">
      <c r="A67" s="2" t="s">
        <v>192</v>
      </c>
      <c r="B67" s="195">
        <f>JANUARY!B67</f>
        <v>0</v>
      </c>
      <c r="C67" s="83">
        <f>FEBRUARY!B67</f>
        <v>0</v>
      </c>
      <c r="D67" s="83">
        <f>MARCH!B67</f>
        <v>0</v>
      </c>
      <c r="E67" s="83">
        <f>APRIL!B67</f>
        <v>0</v>
      </c>
      <c r="F67" s="83">
        <f>MAY!B67</f>
        <v>0</v>
      </c>
      <c r="G67" s="83">
        <f>JUNE!B67</f>
        <v>0</v>
      </c>
      <c r="H67" s="83">
        <f>JULY!B67</f>
        <v>0</v>
      </c>
      <c r="I67" s="83">
        <f>AUGUST!B67</f>
        <v>0</v>
      </c>
      <c r="J67" s="83">
        <f>SEPTEMBER!B67</f>
        <v>0</v>
      </c>
      <c r="K67" s="83">
        <f>OCTOBER!B67</f>
        <v>0</v>
      </c>
      <c r="L67" s="83">
        <f>NOVEMBER!B67</f>
        <v>0</v>
      </c>
      <c r="M67" s="83">
        <f>DECEMBER!B67</f>
        <v>0</v>
      </c>
      <c r="N67" s="187">
        <f t="shared" si="0"/>
        <v>0</v>
      </c>
      <c r="O67" s="187">
        <f t="shared" si="1"/>
        <v>0</v>
      </c>
      <c r="P67" s="187">
        <f t="shared" si="2"/>
        <v>0</v>
      </c>
      <c r="Q67" s="187">
        <f t="shared" si="3"/>
        <v>0</v>
      </c>
      <c r="R67" s="198">
        <f t="shared" si="4"/>
        <v>0</v>
      </c>
      <c r="S67" s="186">
        <f>TARGET!B67</f>
        <v>0</v>
      </c>
      <c r="T67" s="208" t="e">
        <f t="shared" si="5"/>
        <v>#DIV/0!</v>
      </c>
    </row>
    <row r="68" spans="1:20" ht="15.75" customHeight="1" x14ac:dyDescent="0.25">
      <c r="A68" s="46" t="s">
        <v>49</v>
      </c>
      <c r="B68" s="162">
        <f>JANUARY!B68</f>
        <v>0</v>
      </c>
      <c r="C68" s="162">
        <f>FEBRUARY!B68</f>
        <v>0</v>
      </c>
      <c r="D68" s="162">
        <f>MARCH!B68</f>
        <v>0</v>
      </c>
      <c r="E68" s="162">
        <f>APRIL!B68</f>
        <v>0</v>
      </c>
      <c r="F68" s="162">
        <f>MAY!B68</f>
        <v>0</v>
      </c>
      <c r="G68" s="162">
        <f>JUNE!B68</f>
        <v>0</v>
      </c>
      <c r="H68" s="162">
        <f>JULY!B68</f>
        <v>0</v>
      </c>
      <c r="I68" s="162">
        <f>AUGUST!B68</f>
        <v>0</v>
      </c>
      <c r="J68" s="162">
        <f>SEPTEMBER!B68</f>
        <v>0</v>
      </c>
      <c r="K68" s="162">
        <f>OCTOBER!B68</f>
        <v>0</v>
      </c>
      <c r="L68" s="162">
        <f>NOVEMBER!B68</f>
        <v>0</v>
      </c>
      <c r="M68" s="162">
        <f>DECEMBER!B68</f>
        <v>0</v>
      </c>
      <c r="N68" s="185">
        <f t="shared" si="0"/>
        <v>0</v>
      </c>
      <c r="O68" s="185">
        <f t="shared" si="1"/>
        <v>0</v>
      </c>
      <c r="P68" s="185">
        <f t="shared" si="2"/>
        <v>0</v>
      </c>
      <c r="Q68" s="185">
        <f t="shared" si="3"/>
        <v>0</v>
      </c>
      <c r="R68" s="197">
        <f t="shared" si="4"/>
        <v>0</v>
      </c>
      <c r="S68" s="162">
        <f>TARGET!B68</f>
        <v>0</v>
      </c>
      <c r="T68" s="208" t="e">
        <f t="shared" si="5"/>
        <v>#DIV/0!</v>
      </c>
    </row>
    <row r="69" spans="1:20" ht="15.75" customHeight="1" x14ac:dyDescent="0.2">
      <c r="A69" s="2" t="s">
        <v>50</v>
      </c>
      <c r="B69" s="195">
        <f>JANUARY!B69</f>
        <v>0</v>
      </c>
      <c r="C69" s="83">
        <f>FEBRUARY!B69</f>
        <v>0</v>
      </c>
      <c r="D69" s="83">
        <f>MARCH!B69</f>
        <v>0</v>
      </c>
      <c r="E69" s="83">
        <f>APRIL!B69</f>
        <v>0</v>
      </c>
      <c r="F69" s="83">
        <f>MAY!B69</f>
        <v>0</v>
      </c>
      <c r="G69" s="83">
        <f>JUNE!B69</f>
        <v>0</v>
      </c>
      <c r="H69" s="83">
        <f>JULY!B69</f>
        <v>0</v>
      </c>
      <c r="I69" s="83">
        <f>AUGUST!B69</f>
        <v>0</v>
      </c>
      <c r="J69" s="83">
        <f>SEPTEMBER!B69</f>
        <v>0</v>
      </c>
      <c r="K69" s="83">
        <f>OCTOBER!B69</f>
        <v>0</v>
      </c>
      <c r="L69" s="83">
        <f>NOVEMBER!B69</f>
        <v>0</v>
      </c>
      <c r="M69" s="83">
        <f>DECEMBER!B69</f>
        <v>0</v>
      </c>
      <c r="N69" s="187">
        <f t="shared" si="0"/>
        <v>0</v>
      </c>
      <c r="O69" s="187">
        <f t="shared" si="1"/>
        <v>0</v>
      </c>
      <c r="P69" s="187">
        <f t="shared" si="2"/>
        <v>0</v>
      </c>
      <c r="Q69" s="187">
        <f t="shared" si="3"/>
        <v>0</v>
      </c>
      <c r="R69" s="198">
        <f t="shared" si="4"/>
        <v>0</v>
      </c>
      <c r="S69" s="186">
        <f>TARGET!B69</f>
        <v>0</v>
      </c>
      <c r="T69" s="208" t="e">
        <f t="shared" si="5"/>
        <v>#DIV/0!</v>
      </c>
    </row>
    <row r="70" spans="1:20" ht="15.75" customHeight="1" x14ac:dyDescent="0.2">
      <c r="A70" s="2" t="s">
        <v>193</v>
      </c>
      <c r="B70" s="195">
        <f>JANUARY!B70</f>
        <v>0</v>
      </c>
      <c r="C70" s="83">
        <f>FEBRUARY!B70</f>
        <v>0</v>
      </c>
      <c r="D70" s="83">
        <f>MARCH!B70</f>
        <v>0</v>
      </c>
      <c r="E70" s="83">
        <f>APRIL!B70</f>
        <v>0</v>
      </c>
      <c r="F70" s="83">
        <f>MAY!B70</f>
        <v>0</v>
      </c>
      <c r="G70" s="83">
        <f>JUNE!B70</f>
        <v>0</v>
      </c>
      <c r="H70" s="83">
        <f>JULY!B70</f>
        <v>0</v>
      </c>
      <c r="I70" s="83">
        <f>AUGUST!B70</f>
        <v>0</v>
      </c>
      <c r="J70" s="83">
        <f>SEPTEMBER!B70</f>
        <v>0</v>
      </c>
      <c r="K70" s="83">
        <f>OCTOBER!B70</f>
        <v>0</v>
      </c>
      <c r="L70" s="83">
        <f>NOVEMBER!B70</f>
        <v>0</v>
      </c>
      <c r="M70" s="83">
        <f>DECEMBER!B70</f>
        <v>0</v>
      </c>
      <c r="N70" s="187">
        <f t="shared" si="0"/>
        <v>0</v>
      </c>
      <c r="O70" s="187">
        <f t="shared" si="1"/>
        <v>0</v>
      </c>
      <c r="P70" s="187">
        <f t="shared" si="2"/>
        <v>0</v>
      </c>
      <c r="Q70" s="187">
        <f t="shared" si="3"/>
        <v>0</v>
      </c>
      <c r="R70" s="198">
        <f t="shared" si="4"/>
        <v>0</v>
      </c>
      <c r="S70" s="186">
        <f>TARGET!B70</f>
        <v>0</v>
      </c>
      <c r="T70" s="208" t="e">
        <f t="shared" si="5"/>
        <v>#DIV/0!</v>
      </c>
    </row>
    <row r="71" spans="1:20" ht="15.75" customHeight="1" x14ac:dyDescent="0.25">
      <c r="A71" s="46" t="s">
        <v>51</v>
      </c>
      <c r="B71" s="162">
        <f>JANUARY!B71</f>
        <v>0</v>
      </c>
      <c r="C71" s="162">
        <f>FEBRUARY!B71</f>
        <v>0</v>
      </c>
      <c r="D71" s="162">
        <f>MARCH!B71</f>
        <v>0</v>
      </c>
      <c r="E71" s="162">
        <f>APRIL!B71</f>
        <v>0</v>
      </c>
      <c r="F71" s="162">
        <f>MAY!B71</f>
        <v>0</v>
      </c>
      <c r="G71" s="162">
        <f>JUNE!B71</f>
        <v>0</v>
      </c>
      <c r="H71" s="162">
        <f>JULY!B71</f>
        <v>0</v>
      </c>
      <c r="I71" s="162">
        <f>AUGUST!B71</f>
        <v>0</v>
      </c>
      <c r="J71" s="162">
        <f>SEPTEMBER!B71</f>
        <v>0</v>
      </c>
      <c r="K71" s="162">
        <f>OCTOBER!B71</f>
        <v>0</v>
      </c>
      <c r="L71" s="162">
        <f>NOVEMBER!B71</f>
        <v>0</v>
      </c>
      <c r="M71" s="162">
        <f>DECEMBER!B71</f>
        <v>0</v>
      </c>
      <c r="N71" s="185">
        <f t="shared" si="0"/>
        <v>0</v>
      </c>
      <c r="O71" s="185">
        <f t="shared" si="1"/>
        <v>0</v>
      </c>
      <c r="P71" s="185">
        <f t="shared" si="2"/>
        <v>0</v>
      </c>
      <c r="Q71" s="185">
        <f t="shared" si="3"/>
        <v>0</v>
      </c>
      <c r="R71" s="197">
        <f t="shared" si="4"/>
        <v>0</v>
      </c>
      <c r="S71" s="162">
        <f>TARGET!B71</f>
        <v>0</v>
      </c>
      <c r="T71" s="208" t="e">
        <f t="shared" si="5"/>
        <v>#DIV/0!</v>
      </c>
    </row>
    <row r="72" spans="1:20" ht="15.75" customHeight="1" x14ac:dyDescent="0.2">
      <c r="A72" s="2" t="s">
        <v>52</v>
      </c>
      <c r="B72" s="195">
        <f>JANUARY!B72</f>
        <v>0</v>
      </c>
      <c r="C72" s="83">
        <f>FEBRUARY!B72</f>
        <v>0</v>
      </c>
      <c r="D72" s="83">
        <f>MARCH!B72</f>
        <v>0</v>
      </c>
      <c r="E72" s="83">
        <f>APRIL!B72</f>
        <v>0</v>
      </c>
      <c r="F72" s="83">
        <f>MAY!B72</f>
        <v>0</v>
      </c>
      <c r="G72" s="83">
        <f>JUNE!B72</f>
        <v>0</v>
      </c>
      <c r="H72" s="83">
        <f>JULY!B72</f>
        <v>0</v>
      </c>
      <c r="I72" s="83">
        <f>AUGUST!B72</f>
        <v>0</v>
      </c>
      <c r="J72" s="83">
        <f>SEPTEMBER!B72</f>
        <v>0</v>
      </c>
      <c r="K72" s="83">
        <f>OCTOBER!B72</f>
        <v>0</v>
      </c>
      <c r="L72" s="83">
        <f>NOVEMBER!B72</f>
        <v>0</v>
      </c>
      <c r="M72" s="83">
        <f>DECEMBER!B72</f>
        <v>0</v>
      </c>
      <c r="N72" s="187">
        <f t="shared" si="0"/>
        <v>0</v>
      </c>
      <c r="O72" s="187">
        <f t="shared" si="1"/>
        <v>0</v>
      </c>
      <c r="P72" s="187">
        <f t="shared" si="2"/>
        <v>0</v>
      </c>
      <c r="Q72" s="187">
        <f t="shared" si="3"/>
        <v>0</v>
      </c>
      <c r="R72" s="198">
        <f t="shared" si="4"/>
        <v>0</v>
      </c>
      <c r="S72" s="186">
        <f>TARGET!B72</f>
        <v>0</v>
      </c>
      <c r="T72" s="208" t="e">
        <f t="shared" si="5"/>
        <v>#DIV/0!</v>
      </c>
    </row>
    <row r="73" spans="1:20" ht="15.75" customHeight="1" x14ac:dyDescent="0.2">
      <c r="A73" s="2" t="s">
        <v>194</v>
      </c>
      <c r="B73" s="195">
        <f>JANUARY!B73</f>
        <v>0</v>
      </c>
      <c r="C73" s="83">
        <f>FEBRUARY!B73</f>
        <v>0</v>
      </c>
      <c r="D73" s="83">
        <f>MARCH!B73</f>
        <v>0</v>
      </c>
      <c r="E73" s="83">
        <f>APRIL!B73</f>
        <v>0</v>
      </c>
      <c r="F73" s="83">
        <f>MAY!B73</f>
        <v>0</v>
      </c>
      <c r="G73" s="83">
        <f>JUNE!B73</f>
        <v>0</v>
      </c>
      <c r="H73" s="83">
        <f>JULY!B73</f>
        <v>0</v>
      </c>
      <c r="I73" s="83">
        <f>AUGUST!B73</f>
        <v>0</v>
      </c>
      <c r="J73" s="83">
        <f>SEPTEMBER!B73</f>
        <v>0</v>
      </c>
      <c r="K73" s="83">
        <f>OCTOBER!B73</f>
        <v>0</v>
      </c>
      <c r="L73" s="83">
        <f>NOVEMBER!B73</f>
        <v>0</v>
      </c>
      <c r="M73" s="83">
        <f>DECEMBER!B73</f>
        <v>0</v>
      </c>
      <c r="N73" s="187">
        <f t="shared" si="0"/>
        <v>0</v>
      </c>
      <c r="O73" s="187">
        <f t="shared" si="1"/>
        <v>0</v>
      </c>
      <c r="P73" s="187">
        <f t="shared" si="2"/>
        <v>0</v>
      </c>
      <c r="Q73" s="187">
        <f t="shared" si="3"/>
        <v>0</v>
      </c>
      <c r="R73" s="198">
        <f t="shared" si="4"/>
        <v>0</v>
      </c>
      <c r="S73" s="186">
        <f>TARGET!B73</f>
        <v>0</v>
      </c>
      <c r="T73" s="208" t="e">
        <f t="shared" si="5"/>
        <v>#DIV/0!</v>
      </c>
    </row>
    <row r="74" spans="1:20" ht="15.75" customHeight="1" x14ac:dyDescent="0.25">
      <c r="A74" s="46" t="s">
        <v>53</v>
      </c>
      <c r="B74" s="162">
        <f>JANUARY!B74</f>
        <v>0</v>
      </c>
      <c r="C74" s="162">
        <f>FEBRUARY!B74</f>
        <v>0</v>
      </c>
      <c r="D74" s="162">
        <f>MARCH!B74</f>
        <v>0</v>
      </c>
      <c r="E74" s="162">
        <f>APRIL!B74</f>
        <v>0</v>
      </c>
      <c r="F74" s="162">
        <f>MAY!B74</f>
        <v>0</v>
      </c>
      <c r="G74" s="162">
        <f>JUNE!B74</f>
        <v>0</v>
      </c>
      <c r="H74" s="162">
        <f>JULY!B74</f>
        <v>0</v>
      </c>
      <c r="I74" s="162">
        <f>AUGUST!B74</f>
        <v>0</v>
      </c>
      <c r="J74" s="162">
        <f>SEPTEMBER!B74</f>
        <v>0</v>
      </c>
      <c r="K74" s="162">
        <f>OCTOBER!B74</f>
        <v>0</v>
      </c>
      <c r="L74" s="162">
        <f>NOVEMBER!B74</f>
        <v>0</v>
      </c>
      <c r="M74" s="162">
        <f>DECEMBER!B74</f>
        <v>0</v>
      </c>
      <c r="N74" s="185">
        <f t="shared" si="0"/>
        <v>0</v>
      </c>
      <c r="O74" s="185">
        <f t="shared" si="1"/>
        <v>0</v>
      </c>
      <c r="P74" s="185">
        <f t="shared" si="2"/>
        <v>0</v>
      </c>
      <c r="Q74" s="185">
        <f t="shared" si="3"/>
        <v>0</v>
      </c>
      <c r="R74" s="197">
        <f t="shared" si="4"/>
        <v>0</v>
      </c>
      <c r="S74" s="162">
        <f>TARGET!B74</f>
        <v>0</v>
      </c>
      <c r="T74" s="208" t="e">
        <f t="shared" si="5"/>
        <v>#DIV/0!</v>
      </c>
    </row>
    <row r="75" spans="1:20" ht="15.75" customHeight="1" x14ac:dyDescent="0.2">
      <c r="A75" s="2" t="s">
        <v>54</v>
      </c>
      <c r="B75" s="195">
        <f>JANUARY!B75</f>
        <v>0</v>
      </c>
      <c r="C75" s="83">
        <f>FEBRUARY!B75</f>
        <v>0</v>
      </c>
      <c r="D75" s="83">
        <f>MARCH!B75</f>
        <v>0</v>
      </c>
      <c r="E75" s="83">
        <f>APRIL!B75</f>
        <v>0</v>
      </c>
      <c r="F75" s="83">
        <f>MAY!B75</f>
        <v>0</v>
      </c>
      <c r="G75" s="83">
        <f>JUNE!B75</f>
        <v>0</v>
      </c>
      <c r="H75" s="83">
        <f>JULY!B75</f>
        <v>0</v>
      </c>
      <c r="I75" s="83">
        <f>AUGUST!B75</f>
        <v>0</v>
      </c>
      <c r="J75" s="83">
        <f>SEPTEMBER!B75</f>
        <v>0</v>
      </c>
      <c r="K75" s="83">
        <f>OCTOBER!B75</f>
        <v>0</v>
      </c>
      <c r="L75" s="83">
        <f>NOVEMBER!B75</f>
        <v>0</v>
      </c>
      <c r="M75" s="83">
        <f>DECEMBER!B75</f>
        <v>0</v>
      </c>
      <c r="N75" s="187">
        <f t="shared" si="0"/>
        <v>0</v>
      </c>
      <c r="O75" s="187">
        <f t="shared" si="1"/>
        <v>0</v>
      </c>
      <c r="P75" s="187">
        <f t="shared" si="2"/>
        <v>0</v>
      </c>
      <c r="Q75" s="187">
        <f t="shared" si="3"/>
        <v>0</v>
      </c>
      <c r="R75" s="198">
        <f t="shared" si="4"/>
        <v>0</v>
      </c>
      <c r="S75" s="186">
        <f>TARGET!B75</f>
        <v>0</v>
      </c>
      <c r="T75" s="208" t="e">
        <f t="shared" si="5"/>
        <v>#DIV/0!</v>
      </c>
    </row>
    <row r="76" spans="1:20" ht="15.75" customHeight="1" x14ac:dyDescent="0.2">
      <c r="A76" s="2" t="s">
        <v>195</v>
      </c>
      <c r="B76" s="195">
        <f>JANUARY!B76</f>
        <v>0</v>
      </c>
      <c r="C76" s="83">
        <f>FEBRUARY!B76</f>
        <v>0</v>
      </c>
      <c r="D76" s="83">
        <f>MARCH!B76</f>
        <v>0</v>
      </c>
      <c r="E76" s="83">
        <f>APRIL!B76</f>
        <v>0</v>
      </c>
      <c r="F76" s="83">
        <f>MAY!B76</f>
        <v>0</v>
      </c>
      <c r="G76" s="83">
        <f>JUNE!B76</f>
        <v>0</v>
      </c>
      <c r="H76" s="83">
        <f>JULY!B76</f>
        <v>0</v>
      </c>
      <c r="I76" s="83">
        <f>AUGUST!B76</f>
        <v>0</v>
      </c>
      <c r="J76" s="83">
        <f>SEPTEMBER!B76</f>
        <v>0</v>
      </c>
      <c r="K76" s="83">
        <f>OCTOBER!B76</f>
        <v>0</v>
      </c>
      <c r="L76" s="83">
        <f>NOVEMBER!B76</f>
        <v>0</v>
      </c>
      <c r="M76" s="83">
        <f>DECEMBER!B76</f>
        <v>0</v>
      </c>
      <c r="N76" s="187">
        <f t="shared" si="0"/>
        <v>0</v>
      </c>
      <c r="O76" s="187">
        <f t="shared" si="1"/>
        <v>0</v>
      </c>
      <c r="P76" s="187">
        <f t="shared" si="2"/>
        <v>0</v>
      </c>
      <c r="Q76" s="187">
        <f t="shared" si="3"/>
        <v>0</v>
      </c>
      <c r="R76" s="198">
        <f t="shared" si="4"/>
        <v>0</v>
      </c>
      <c r="S76" s="186">
        <f>TARGET!B76</f>
        <v>0</v>
      </c>
      <c r="T76" s="208" t="e">
        <f t="shared" si="5"/>
        <v>#DIV/0!</v>
      </c>
    </row>
    <row r="77" spans="1:20" ht="15.75" customHeight="1" x14ac:dyDescent="0.25">
      <c r="A77" s="46" t="s">
        <v>319</v>
      </c>
      <c r="B77" s="162">
        <f>JANUARY!B77</f>
        <v>0</v>
      </c>
      <c r="C77" s="162">
        <f>FEBRUARY!B77</f>
        <v>0</v>
      </c>
      <c r="D77" s="162">
        <f>MARCH!B77</f>
        <v>0</v>
      </c>
      <c r="E77" s="162">
        <f>APRIL!B77</f>
        <v>0</v>
      </c>
      <c r="F77" s="162">
        <f>MAY!B77</f>
        <v>0</v>
      </c>
      <c r="G77" s="162">
        <f>JUNE!B77</f>
        <v>0</v>
      </c>
      <c r="H77" s="162">
        <f>JULY!B77</f>
        <v>0</v>
      </c>
      <c r="I77" s="162">
        <f>AUGUST!B77</f>
        <v>0</v>
      </c>
      <c r="J77" s="162">
        <f>SEPTEMBER!B77</f>
        <v>0</v>
      </c>
      <c r="K77" s="162">
        <f>OCTOBER!B77</f>
        <v>0</v>
      </c>
      <c r="L77" s="162">
        <f>NOVEMBER!B77</f>
        <v>0</v>
      </c>
      <c r="M77" s="162">
        <f>DECEMBER!B77</f>
        <v>0</v>
      </c>
      <c r="N77" s="185">
        <f t="shared" si="0"/>
        <v>0</v>
      </c>
      <c r="O77" s="185">
        <f t="shared" si="1"/>
        <v>0</v>
      </c>
      <c r="P77" s="185">
        <f t="shared" si="2"/>
        <v>0</v>
      </c>
      <c r="Q77" s="185">
        <f t="shared" si="3"/>
        <v>0</v>
      </c>
      <c r="R77" s="197">
        <f t="shared" si="4"/>
        <v>0</v>
      </c>
      <c r="S77" s="162">
        <f>TARGET!B77</f>
        <v>0</v>
      </c>
      <c r="T77" s="208" t="e">
        <f t="shared" si="5"/>
        <v>#DIV/0!</v>
      </c>
    </row>
    <row r="78" spans="1:20" ht="15.75" customHeight="1" x14ac:dyDescent="0.2">
      <c r="A78" s="2" t="s">
        <v>72</v>
      </c>
      <c r="B78" s="195">
        <f>JANUARY!B78</f>
        <v>0</v>
      </c>
      <c r="C78" s="83">
        <f>FEBRUARY!B78</f>
        <v>0</v>
      </c>
      <c r="D78" s="83">
        <f>MARCH!B78</f>
        <v>0</v>
      </c>
      <c r="E78" s="83">
        <f>APRIL!B78</f>
        <v>0</v>
      </c>
      <c r="F78" s="83">
        <f>MAY!B78</f>
        <v>0</v>
      </c>
      <c r="G78" s="83">
        <f>JUNE!B78</f>
        <v>0</v>
      </c>
      <c r="H78" s="83">
        <f>JULY!B78</f>
        <v>0</v>
      </c>
      <c r="I78" s="83">
        <f>AUGUST!B78</f>
        <v>0</v>
      </c>
      <c r="J78" s="83">
        <f>SEPTEMBER!B78</f>
        <v>0</v>
      </c>
      <c r="K78" s="83">
        <f>OCTOBER!B78</f>
        <v>0</v>
      </c>
      <c r="L78" s="83">
        <f>NOVEMBER!B78</f>
        <v>0</v>
      </c>
      <c r="M78" s="83">
        <f>DECEMBER!B78</f>
        <v>0</v>
      </c>
      <c r="N78" s="187">
        <f t="shared" si="0"/>
        <v>0</v>
      </c>
      <c r="O78" s="187">
        <f t="shared" si="1"/>
        <v>0</v>
      </c>
      <c r="P78" s="187">
        <f t="shared" si="2"/>
        <v>0</v>
      </c>
      <c r="Q78" s="187">
        <f t="shared" si="3"/>
        <v>0</v>
      </c>
      <c r="R78" s="198">
        <f t="shared" si="4"/>
        <v>0</v>
      </c>
      <c r="S78" s="186">
        <f>TARGET!B78</f>
        <v>0</v>
      </c>
      <c r="T78" s="208" t="e">
        <f t="shared" si="5"/>
        <v>#DIV/0!</v>
      </c>
    </row>
    <row r="79" spans="1:20" ht="15.75" customHeight="1" x14ac:dyDescent="0.2">
      <c r="A79" s="55" t="s">
        <v>196</v>
      </c>
      <c r="B79" s="195">
        <f>JANUARY!B79</f>
        <v>0</v>
      </c>
      <c r="C79" s="83">
        <f>FEBRUARY!B79</f>
        <v>0</v>
      </c>
      <c r="D79" s="83">
        <f>MARCH!B79</f>
        <v>0</v>
      </c>
      <c r="E79" s="83">
        <f>APRIL!B79</f>
        <v>0</v>
      </c>
      <c r="F79" s="83">
        <f>MAY!B79</f>
        <v>0</v>
      </c>
      <c r="G79" s="83">
        <f>JUNE!B79</f>
        <v>0</v>
      </c>
      <c r="H79" s="83">
        <f>JULY!B79</f>
        <v>0</v>
      </c>
      <c r="I79" s="83">
        <f>AUGUST!B79</f>
        <v>0</v>
      </c>
      <c r="J79" s="83">
        <f>SEPTEMBER!B79</f>
        <v>0</v>
      </c>
      <c r="K79" s="83">
        <f>OCTOBER!B79</f>
        <v>0</v>
      </c>
      <c r="L79" s="83">
        <f>NOVEMBER!B79</f>
        <v>0</v>
      </c>
      <c r="M79" s="83">
        <f>DECEMBER!B79</f>
        <v>0</v>
      </c>
      <c r="N79" s="187">
        <f t="shared" si="0"/>
        <v>0</v>
      </c>
      <c r="O79" s="187">
        <f t="shared" si="1"/>
        <v>0</v>
      </c>
      <c r="P79" s="187">
        <f t="shared" si="2"/>
        <v>0</v>
      </c>
      <c r="Q79" s="187">
        <f t="shared" si="3"/>
        <v>0</v>
      </c>
      <c r="R79" s="198">
        <f t="shared" si="4"/>
        <v>0</v>
      </c>
      <c r="S79" s="186">
        <f>TARGET!B79</f>
        <v>0</v>
      </c>
      <c r="T79" s="208" t="e">
        <f t="shared" si="5"/>
        <v>#DIV/0!</v>
      </c>
    </row>
    <row r="80" spans="1:20" ht="15.75" customHeight="1" x14ac:dyDescent="0.25">
      <c r="A80" s="46" t="s">
        <v>271</v>
      </c>
      <c r="B80" s="162">
        <f>JANUARY!B80</f>
        <v>0</v>
      </c>
      <c r="C80" s="162">
        <f>FEBRUARY!B80</f>
        <v>0</v>
      </c>
      <c r="D80" s="162">
        <f>MARCH!B80</f>
        <v>0</v>
      </c>
      <c r="E80" s="162">
        <f>APRIL!B80</f>
        <v>0</v>
      </c>
      <c r="F80" s="162">
        <f>MAY!B80</f>
        <v>0</v>
      </c>
      <c r="G80" s="162">
        <f>JUNE!B80</f>
        <v>0</v>
      </c>
      <c r="H80" s="162">
        <f>JULY!B80</f>
        <v>0</v>
      </c>
      <c r="I80" s="162">
        <f>AUGUST!B80</f>
        <v>0</v>
      </c>
      <c r="J80" s="162">
        <f>SEPTEMBER!B80</f>
        <v>0</v>
      </c>
      <c r="K80" s="162">
        <f>OCTOBER!B80</f>
        <v>0</v>
      </c>
      <c r="L80" s="162">
        <f>NOVEMBER!B80</f>
        <v>0</v>
      </c>
      <c r="M80" s="162">
        <f>DECEMBER!B80</f>
        <v>0</v>
      </c>
      <c r="N80" s="185">
        <f t="shared" ref="N80:N143" si="6">B80+C80+D80</f>
        <v>0</v>
      </c>
      <c r="O80" s="185">
        <f t="shared" ref="O80:O143" si="7">E80+F80+G80</f>
        <v>0</v>
      </c>
      <c r="P80" s="185">
        <f t="shared" ref="P80:P143" si="8">H80+I80+J80</f>
        <v>0</v>
      </c>
      <c r="Q80" s="185">
        <f t="shared" ref="Q80:Q143" si="9">K80+L80+M80</f>
        <v>0</v>
      </c>
      <c r="R80" s="197">
        <f t="shared" ref="R80:R143" si="10">B80+C80+D80+E80+F80+G80+H80+I80+J80+K80+L80+M80</f>
        <v>0</v>
      </c>
      <c r="S80" s="162">
        <f>TARGET!B80</f>
        <v>0</v>
      </c>
      <c r="T80" s="208" t="e">
        <f t="shared" ref="T80:T143" si="11">IF(R80/S80=0,"NONE",R80/S80)</f>
        <v>#DIV/0!</v>
      </c>
    </row>
    <row r="81" spans="1:21" ht="15.75" customHeight="1" x14ac:dyDescent="0.2">
      <c r="A81" s="2" t="s">
        <v>272</v>
      </c>
      <c r="B81" s="195">
        <f>JANUARY!B81</f>
        <v>0</v>
      </c>
      <c r="C81" s="83">
        <f>FEBRUARY!B81</f>
        <v>0</v>
      </c>
      <c r="D81" s="83">
        <f>MARCH!B81</f>
        <v>0</v>
      </c>
      <c r="E81" s="83">
        <f>APRIL!B81</f>
        <v>0</v>
      </c>
      <c r="F81" s="83">
        <f>MAY!B81</f>
        <v>0</v>
      </c>
      <c r="G81" s="83">
        <f>JUNE!B81</f>
        <v>0</v>
      </c>
      <c r="H81" s="83">
        <f>JULY!B81</f>
        <v>0</v>
      </c>
      <c r="I81" s="83">
        <f>AUGUST!B81</f>
        <v>0</v>
      </c>
      <c r="J81" s="83">
        <f>SEPTEMBER!B81</f>
        <v>0</v>
      </c>
      <c r="K81" s="83">
        <f>OCTOBER!B81</f>
        <v>0</v>
      </c>
      <c r="L81" s="83">
        <f>NOVEMBER!B81</f>
        <v>0</v>
      </c>
      <c r="M81" s="83">
        <f>DECEMBER!B81</f>
        <v>0</v>
      </c>
      <c r="N81" s="187">
        <f t="shared" si="6"/>
        <v>0</v>
      </c>
      <c r="O81" s="187">
        <f t="shared" si="7"/>
        <v>0</v>
      </c>
      <c r="P81" s="187">
        <f t="shared" si="8"/>
        <v>0</v>
      </c>
      <c r="Q81" s="187">
        <f t="shared" si="9"/>
        <v>0</v>
      </c>
      <c r="R81" s="198">
        <f t="shared" si="10"/>
        <v>0</v>
      </c>
      <c r="S81" s="186">
        <f>TARGET!B81</f>
        <v>0</v>
      </c>
      <c r="T81" s="208" t="e">
        <f t="shared" si="11"/>
        <v>#DIV/0!</v>
      </c>
    </row>
    <row r="82" spans="1:21" ht="15.75" customHeight="1" x14ac:dyDescent="0.2">
      <c r="A82" s="55" t="s">
        <v>273</v>
      </c>
      <c r="B82" s="195">
        <f>JANUARY!B82</f>
        <v>0</v>
      </c>
      <c r="C82" s="83">
        <f>FEBRUARY!B82</f>
        <v>0</v>
      </c>
      <c r="D82" s="83">
        <f>MARCH!B82</f>
        <v>0</v>
      </c>
      <c r="E82" s="83">
        <f>APRIL!B82</f>
        <v>0</v>
      </c>
      <c r="F82" s="83">
        <f>MAY!B82</f>
        <v>0</v>
      </c>
      <c r="G82" s="83">
        <f>JUNE!B82</f>
        <v>0</v>
      </c>
      <c r="H82" s="83">
        <f>JULY!B82</f>
        <v>0</v>
      </c>
      <c r="I82" s="83">
        <f>AUGUST!B82</f>
        <v>0</v>
      </c>
      <c r="J82" s="83">
        <f>SEPTEMBER!B82</f>
        <v>0</v>
      </c>
      <c r="K82" s="83">
        <f>OCTOBER!B82</f>
        <v>0</v>
      </c>
      <c r="L82" s="83">
        <f>NOVEMBER!B82</f>
        <v>0</v>
      </c>
      <c r="M82" s="83">
        <f>DECEMBER!B82</f>
        <v>0</v>
      </c>
      <c r="N82" s="187">
        <f t="shared" si="6"/>
        <v>0</v>
      </c>
      <c r="O82" s="187">
        <f t="shared" si="7"/>
        <v>0</v>
      </c>
      <c r="P82" s="187">
        <f t="shared" si="8"/>
        <v>0</v>
      </c>
      <c r="Q82" s="187">
        <f t="shared" si="9"/>
        <v>0</v>
      </c>
      <c r="R82" s="198">
        <f t="shared" si="10"/>
        <v>0</v>
      </c>
      <c r="S82" s="186">
        <f>TARGET!B82</f>
        <v>0</v>
      </c>
      <c r="T82" s="208" t="e">
        <f t="shared" si="11"/>
        <v>#DIV/0!</v>
      </c>
    </row>
    <row r="83" spans="1:21" ht="15.75" customHeight="1" x14ac:dyDescent="0.25">
      <c r="A83" s="56" t="s">
        <v>55</v>
      </c>
      <c r="B83" s="162">
        <f>JANUARY!B83</f>
        <v>141</v>
      </c>
      <c r="C83" s="162">
        <f>FEBRUARY!B83</f>
        <v>22</v>
      </c>
      <c r="D83" s="162">
        <f>MARCH!B83</f>
        <v>26</v>
      </c>
      <c r="E83" s="162">
        <f>APRIL!B83</f>
        <v>214</v>
      </c>
      <c r="F83" s="162">
        <f>MAY!B83</f>
        <v>21</v>
      </c>
      <c r="G83" s="162">
        <f>JUNE!B83</f>
        <v>22</v>
      </c>
      <c r="H83" s="162">
        <f>JULY!B83</f>
        <v>79</v>
      </c>
      <c r="I83" s="162">
        <f>AUGUST!B83</f>
        <v>10</v>
      </c>
      <c r="J83" s="162">
        <f>SEPTEMBER!B83</f>
        <v>84</v>
      </c>
      <c r="K83" s="162">
        <f>OCTOBER!B83</f>
        <v>20</v>
      </c>
      <c r="L83" s="162">
        <f>NOVEMBER!B83</f>
        <v>0</v>
      </c>
      <c r="M83" s="162">
        <f>DECEMBER!B83</f>
        <v>0</v>
      </c>
      <c r="N83" s="185">
        <f t="shared" si="6"/>
        <v>189</v>
      </c>
      <c r="O83" s="185">
        <f t="shared" si="7"/>
        <v>257</v>
      </c>
      <c r="P83" s="185">
        <f t="shared" si="8"/>
        <v>173</v>
      </c>
      <c r="Q83" s="185">
        <f t="shared" si="9"/>
        <v>20</v>
      </c>
      <c r="R83" s="197">
        <f t="shared" si="10"/>
        <v>639</v>
      </c>
      <c r="S83" s="162">
        <f>TARGET!B83</f>
        <v>0</v>
      </c>
      <c r="T83" s="208" t="e">
        <f t="shared" si="11"/>
        <v>#DIV/0!</v>
      </c>
      <c r="U83" s="280">
        <f>R83</f>
        <v>639</v>
      </c>
    </row>
    <row r="84" spans="1:21" ht="15.75" customHeight="1" x14ac:dyDescent="0.25">
      <c r="A84" s="57" t="s">
        <v>56</v>
      </c>
      <c r="B84" s="162">
        <f>JANUARY!B84</f>
        <v>141</v>
      </c>
      <c r="C84" s="162">
        <f>FEBRUARY!B84</f>
        <v>22</v>
      </c>
      <c r="D84" s="162">
        <f>MARCH!B84</f>
        <v>26</v>
      </c>
      <c r="E84" s="162">
        <f>APRIL!B84</f>
        <v>64</v>
      </c>
      <c r="F84" s="162">
        <f>MAY!B84</f>
        <v>21</v>
      </c>
      <c r="G84" s="162">
        <f>JUNE!B84</f>
        <v>22</v>
      </c>
      <c r="H84" s="162">
        <f>JULY!B84</f>
        <v>79</v>
      </c>
      <c r="I84" s="162">
        <f>AUGUST!B84</f>
        <v>10</v>
      </c>
      <c r="J84" s="162">
        <f>SEPTEMBER!B84</f>
        <v>84</v>
      </c>
      <c r="K84" s="162">
        <f>OCTOBER!B84</f>
        <v>20</v>
      </c>
      <c r="L84" s="162">
        <f>NOVEMBER!B84</f>
        <v>0</v>
      </c>
      <c r="M84" s="162">
        <f>DECEMBER!B84</f>
        <v>0</v>
      </c>
      <c r="N84" s="185">
        <f t="shared" si="6"/>
        <v>189</v>
      </c>
      <c r="O84" s="185">
        <f t="shared" si="7"/>
        <v>107</v>
      </c>
      <c r="P84" s="185">
        <f t="shared" si="8"/>
        <v>173</v>
      </c>
      <c r="Q84" s="185">
        <f t="shared" si="9"/>
        <v>20</v>
      </c>
      <c r="R84" s="197">
        <f t="shared" si="10"/>
        <v>489</v>
      </c>
      <c r="S84" s="162">
        <f>TARGET!B84</f>
        <v>0</v>
      </c>
      <c r="T84" s="208" t="e">
        <f t="shared" si="11"/>
        <v>#DIV/0!</v>
      </c>
    </row>
    <row r="85" spans="1:21" ht="15.75" customHeight="1" x14ac:dyDescent="0.25">
      <c r="A85" s="55" t="s">
        <v>57</v>
      </c>
      <c r="B85" s="162">
        <f>JANUARY!B85</f>
        <v>141</v>
      </c>
      <c r="C85" s="162">
        <f>FEBRUARY!B85</f>
        <v>22</v>
      </c>
      <c r="D85" s="162">
        <f>MARCH!B85</f>
        <v>26</v>
      </c>
      <c r="E85" s="162">
        <f>APRIL!B85</f>
        <v>58</v>
      </c>
      <c r="F85" s="162">
        <f>MAY!B85</f>
        <v>21</v>
      </c>
      <c r="G85" s="162">
        <f>JUNE!B85</f>
        <v>22</v>
      </c>
      <c r="H85" s="162">
        <f>JULY!B85</f>
        <v>79</v>
      </c>
      <c r="I85" s="162">
        <f>AUGUST!B85</f>
        <v>0</v>
      </c>
      <c r="J85" s="162">
        <f>SEPTEMBER!B85</f>
        <v>83</v>
      </c>
      <c r="K85" s="162">
        <f>OCTOBER!B85</f>
        <v>20</v>
      </c>
      <c r="L85" s="162">
        <f>NOVEMBER!B85</f>
        <v>0</v>
      </c>
      <c r="M85" s="162">
        <f>DECEMBER!B85</f>
        <v>0</v>
      </c>
      <c r="N85" s="185">
        <f t="shared" si="6"/>
        <v>189</v>
      </c>
      <c r="O85" s="185">
        <f t="shared" si="7"/>
        <v>101</v>
      </c>
      <c r="P85" s="185">
        <f t="shared" si="8"/>
        <v>162</v>
      </c>
      <c r="Q85" s="185">
        <f t="shared" si="9"/>
        <v>20</v>
      </c>
      <c r="R85" s="197">
        <f t="shared" si="10"/>
        <v>472</v>
      </c>
      <c r="S85" s="162">
        <f>TARGET!B85</f>
        <v>0</v>
      </c>
      <c r="T85" s="208" t="e">
        <f t="shared" si="11"/>
        <v>#DIV/0!</v>
      </c>
    </row>
    <row r="86" spans="1:21" ht="15.75" customHeight="1" x14ac:dyDescent="0.2">
      <c r="A86" s="55" t="s">
        <v>58</v>
      </c>
      <c r="B86" s="195">
        <f>JANUARY!B86</f>
        <v>85</v>
      </c>
      <c r="C86" s="83">
        <f>FEBRUARY!B86</f>
        <v>14</v>
      </c>
      <c r="D86" s="83">
        <f>MARCH!B86</f>
        <v>26</v>
      </c>
      <c r="E86" s="83">
        <f>APRIL!B86</f>
        <v>33</v>
      </c>
      <c r="F86" s="83">
        <f>MAY!B86</f>
        <v>21</v>
      </c>
      <c r="G86" s="83">
        <f>JUNE!B86</f>
        <v>20</v>
      </c>
      <c r="H86" s="83">
        <f>JULY!B86</f>
        <v>45</v>
      </c>
      <c r="I86" s="83">
        <f>AUGUST!B86</f>
        <v>0</v>
      </c>
      <c r="J86" s="83">
        <f>SEPTEMBER!B86</f>
        <v>36</v>
      </c>
      <c r="K86" s="83">
        <f>OCTOBER!B86</f>
        <v>13</v>
      </c>
      <c r="L86" s="83">
        <f>NOVEMBER!B86</f>
        <v>0</v>
      </c>
      <c r="M86" s="83">
        <f>DECEMBER!B86</f>
        <v>0</v>
      </c>
      <c r="N86" s="187">
        <f t="shared" si="6"/>
        <v>125</v>
      </c>
      <c r="O86" s="187">
        <f t="shared" si="7"/>
        <v>74</v>
      </c>
      <c r="P86" s="187">
        <f t="shared" si="8"/>
        <v>81</v>
      </c>
      <c r="Q86" s="187">
        <f t="shared" si="9"/>
        <v>13</v>
      </c>
      <c r="R86" s="198">
        <f t="shared" si="10"/>
        <v>293</v>
      </c>
      <c r="S86" s="186">
        <f>TARGET!B86</f>
        <v>0</v>
      </c>
      <c r="T86" s="208" t="e">
        <f t="shared" si="11"/>
        <v>#DIV/0!</v>
      </c>
    </row>
    <row r="87" spans="1:21" ht="15.75" customHeight="1" x14ac:dyDescent="0.2">
      <c r="A87" s="55" t="s">
        <v>197</v>
      </c>
      <c r="B87" s="195">
        <f>JANUARY!B87</f>
        <v>56</v>
      </c>
      <c r="C87" s="83">
        <f>FEBRUARY!B87</f>
        <v>8</v>
      </c>
      <c r="D87" s="83">
        <f>MARCH!B87</f>
        <v>0</v>
      </c>
      <c r="E87" s="83">
        <f>APRIL!B87</f>
        <v>25</v>
      </c>
      <c r="F87" s="83">
        <f>MAY!B87</f>
        <v>0</v>
      </c>
      <c r="G87" s="83">
        <f>JUNE!B87</f>
        <v>2</v>
      </c>
      <c r="H87" s="83">
        <f>JULY!B87</f>
        <v>34</v>
      </c>
      <c r="I87" s="83">
        <f>AUGUST!B87</f>
        <v>0</v>
      </c>
      <c r="J87" s="83">
        <f>SEPTEMBER!B87</f>
        <v>47</v>
      </c>
      <c r="K87" s="83">
        <f>OCTOBER!B87</f>
        <v>7</v>
      </c>
      <c r="L87" s="83">
        <f>NOVEMBER!B87</f>
        <v>0</v>
      </c>
      <c r="M87" s="83">
        <f>DECEMBER!B87</f>
        <v>0</v>
      </c>
      <c r="N87" s="187">
        <f t="shared" si="6"/>
        <v>64</v>
      </c>
      <c r="O87" s="187">
        <f t="shared" si="7"/>
        <v>27</v>
      </c>
      <c r="P87" s="187">
        <f t="shared" si="8"/>
        <v>81</v>
      </c>
      <c r="Q87" s="187">
        <f t="shared" si="9"/>
        <v>7</v>
      </c>
      <c r="R87" s="198">
        <f t="shared" si="10"/>
        <v>179</v>
      </c>
      <c r="S87" s="186">
        <f>TARGET!B87</f>
        <v>0</v>
      </c>
      <c r="T87" s="208" t="e">
        <f t="shared" si="11"/>
        <v>#DIV/0!</v>
      </c>
    </row>
    <row r="88" spans="1:21" ht="15.75" customHeight="1" x14ac:dyDescent="0.25">
      <c r="A88" s="55" t="s">
        <v>237</v>
      </c>
      <c r="B88" s="162">
        <f>JANUARY!B88</f>
        <v>0</v>
      </c>
      <c r="C88" s="162">
        <f>FEBRUARY!B88</f>
        <v>0</v>
      </c>
      <c r="D88" s="162">
        <f>MARCH!B88</f>
        <v>0</v>
      </c>
      <c r="E88" s="162">
        <f>APRIL!B88</f>
        <v>6</v>
      </c>
      <c r="F88" s="162">
        <f>MAY!B88</f>
        <v>0</v>
      </c>
      <c r="G88" s="162">
        <f>JUNE!B88</f>
        <v>0</v>
      </c>
      <c r="H88" s="162">
        <f>JULY!B88</f>
        <v>0</v>
      </c>
      <c r="I88" s="162">
        <f>AUGUST!B88</f>
        <v>10</v>
      </c>
      <c r="J88" s="162">
        <f>SEPTEMBER!B88</f>
        <v>1</v>
      </c>
      <c r="K88" s="162">
        <f>OCTOBER!B88</f>
        <v>0</v>
      </c>
      <c r="L88" s="162">
        <f>NOVEMBER!B88</f>
        <v>0</v>
      </c>
      <c r="M88" s="162">
        <f>DECEMBER!B88</f>
        <v>0</v>
      </c>
      <c r="N88" s="185">
        <f t="shared" si="6"/>
        <v>0</v>
      </c>
      <c r="O88" s="185">
        <f t="shared" si="7"/>
        <v>6</v>
      </c>
      <c r="P88" s="185">
        <f t="shared" si="8"/>
        <v>11</v>
      </c>
      <c r="Q88" s="185">
        <f t="shared" si="9"/>
        <v>0</v>
      </c>
      <c r="R88" s="197">
        <f t="shared" si="10"/>
        <v>17</v>
      </c>
      <c r="S88" s="162">
        <f>TARGET!B88</f>
        <v>0</v>
      </c>
      <c r="T88" s="208" t="e">
        <f t="shared" si="11"/>
        <v>#DIV/0!</v>
      </c>
    </row>
    <row r="89" spans="1:21" ht="15.75" customHeight="1" x14ac:dyDescent="0.2">
      <c r="A89" s="55" t="s">
        <v>59</v>
      </c>
      <c r="B89" s="195">
        <f>JANUARY!B89</f>
        <v>0</v>
      </c>
      <c r="C89" s="83">
        <f>FEBRUARY!B89</f>
        <v>0</v>
      </c>
      <c r="D89" s="83">
        <f>MARCH!B89</f>
        <v>0</v>
      </c>
      <c r="E89" s="83">
        <f>APRIL!B89</f>
        <v>6</v>
      </c>
      <c r="F89" s="83">
        <f>MAY!B89</f>
        <v>0</v>
      </c>
      <c r="G89" s="83">
        <f>JUNE!B89</f>
        <v>0</v>
      </c>
      <c r="H89" s="83">
        <f>JULY!B89</f>
        <v>0</v>
      </c>
      <c r="I89" s="83">
        <f>AUGUST!B89</f>
        <v>10</v>
      </c>
      <c r="J89" s="83">
        <f>SEPTEMBER!B89</f>
        <v>1</v>
      </c>
      <c r="K89" s="83">
        <f>OCTOBER!B89</f>
        <v>0</v>
      </c>
      <c r="L89" s="83">
        <f>NOVEMBER!B89</f>
        <v>0</v>
      </c>
      <c r="M89" s="83">
        <f>DECEMBER!B89</f>
        <v>0</v>
      </c>
      <c r="N89" s="187">
        <f t="shared" si="6"/>
        <v>0</v>
      </c>
      <c r="O89" s="187">
        <f t="shared" si="7"/>
        <v>6</v>
      </c>
      <c r="P89" s="187">
        <f t="shared" si="8"/>
        <v>11</v>
      </c>
      <c r="Q89" s="187">
        <f t="shared" si="9"/>
        <v>0</v>
      </c>
      <c r="R89" s="198">
        <f t="shared" si="10"/>
        <v>17</v>
      </c>
      <c r="S89" s="186">
        <f>TARGET!B89</f>
        <v>0</v>
      </c>
      <c r="T89" s="208" t="e">
        <f t="shared" si="11"/>
        <v>#DIV/0!</v>
      </c>
    </row>
    <row r="90" spans="1:21" ht="15.75" customHeight="1" x14ac:dyDescent="0.2">
      <c r="A90" s="55" t="s">
        <v>198</v>
      </c>
      <c r="B90" s="195">
        <f>JANUARY!B90</f>
        <v>0</v>
      </c>
      <c r="C90" s="83">
        <f>FEBRUARY!B90</f>
        <v>0</v>
      </c>
      <c r="D90" s="83">
        <f>MARCH!B90</f>
        <v>0</v>
      </c>
      <c r="E90" s="83">
        <f>APRIL!B90</f>
        <v>0</v>
      </c>
      <c r="F90" s="83">
        <f>MAY!B90</f>
        <v>0</v>
      </c>
      <c r="G90" s="83">
        <f>JUNE!B90</f>
        <v>0</v>
      </c>
      <c r="H90" s="83">
        <f>JULY!B90</f>
        <v>0</v>
      </c>
      <c r="I90" s="83">
        <f>AUGUST!B90</f>
        <v>0</v>
      </c>
      <c r="J90" s="83">
        <f>SEPTEMBER!B90</f>
        <v>0</v>
      </c>
      <c r="K90" s="83">
        <f>OCTOBER!B90</f>
        <v>0</v>
      </c>
      <c r="L90" s="83">
        <f>NOVEMBER!B90</f>
        <v>0</v>
      </c>
      <c r="M90" s="83">
        <f>DECEMBER!B90</f>
        <v>0</v>
      </c>
      <c r="N90" s="187">
        <f t="shared" si="6"/>
        <v>0</v>
      </c>
      <c r="O90" s="187">
        <f t="shared" si="7"/>
        <v>0</v>
      </c>
      <c r="P90" s="187">
        <f t="shared" si="8"/>
        <v>0</v>
      </c>
      <c r="Q90" s="187">
        <f t="shared" si="9"/>
        <v>0</v>
      </c>
      <c r="R90" s="198">
        <f t="shared" si="10"/>
        <v>0</v>
      </c>
      <c r="S90" s="186">
        <f>TARGET!B90</f>
        <v>0</v>
      </c>
      <c r="T90" s="208" t="e">
        <f t="shared" si="11"/>
        <v>#DIV/0!</v>
      </c>
    </row>
    <row r="91" spans="1:21" ht="15.75" customHeight="1" x14ac:dyDescent="0.25">
      <c r="A91" s="55" t="s">
        <v>60</v>
      </c>
      <c r="B91" s="162">
        <f>JANUARY!B91</f>
        <v>0</v>
      </c>
      <c r="C91" s="162">
        <f>FEBRUARY!B91</f>
        <v>0</v>
      </c>
      <c r="D91" s="162">
        <f>MARCH!B91</f>
        <v>0</v>
      </c>
      <c r="E91" s="162">
        <f>APRIL!B91</f>
        <v>0</v>
      </c>
      <c r="F91" s="162">
        <f>MAY!B91</f>
        <v>0</v>
      </c>
      <c r="G91" s="162">
        <f>JUNE!B91</f>
        <v>0</v>
      </c>
      <c r="H91" s="162">
        <f>JULY!B91</f>
        <v>0</v>
      </c>
      <c r="I91" s="162">
        <f>AUGUST!B91</f>
        <v>0</v>
      </c>
      <c r="J91" s="162">
        <f>SEPTEMBER!B91</f>
        <v>0</v>
      </c>
      <c r="K91" s="162">
        <f>OCTOBER!B91</f>
        <v>0</v>
      </c>
      <c r="L91" s="162">
        <f>NOVEMBER!B91</f>
        <v>0</v>
      </c>
      <c r="M91" s="162">
        <f>DECEMBER!B91</f>
        <v>0</v>
      </c>
      <c r="N91" s="185">
        <f t="shared" si="6"/>
        <v>0</v>
      </c>
      <c r="O91" s="185">
        <f t="shared" si="7"/>
        <v>0</v>
      </c>
      <c r="P91" s="185">
        <f t="shared" si="8"/>
        <v>0</v>
      </c>
      <c r="Q91" s="185">
        <f t="shared" si="9"/>
        <v>0</v>
      </c>
      <c r="R91" s="197">
        <f t="shared" si="10"/>
        <v>0</v>
      </c>
      <c r="S91" s="162">
        <f>TARGET!B91</f>
        <v>0</v>
      </c>
      <c r="T91" s="208" t="e">
        <f t="shared" si="11"/>
        <v>#DIV/0!</v>
      </c>
    </row>
    <row r="92" spans="1:21" ht="15.75" customHeight="1" x14ac:dyDescent="0.2">
      <c r="A92" s="55" t="s">
        <v>61</v>
      </c>
      <c r="B92" s="195">
        <f>JANUARY!B92</f>
        <v>0</v>
      </c>
      <c r="C92" s="83">
        <f>FEBRUARY!B92</f>
        <v>0</v>
      </c>
      <c r="D92" s="83">
        <f>MARCH!B92</f>
        <v>0</v>
      </c>
      <c r="E92" s="83">
        <f>APRIL!B92</f>
        <v>0</v>
      </c>
      <c r="F92" s="83">
        <f>MAY!B92</f>
        <v>0</v>
      </c>
      <c r="G92" s="83">
        <f>JUNE!B92</f>
        <v>0</v>
      </c>
      <c r="H92" s="83">
        <f>JULY!B92</f>
        <v>0</v>
      </c>
      <c r="I92" s="83">
        <f>AUGUST!B92</f>
        <v>0</v>
      </c>
      <c r="J92" s="83">
        <f>SEPTEMBER!B92</f>
        <v>0</v>
      </c>
      <c r="K92" s="83">
        <f>OCTOBER!B92</f>
        <v>0</v>
      </c>
      <c r="L92" s="83">
        <f>NOVEMBER!B92</f>
        <v>0</v>
      </c>
      <c r="M92" s="83">
        <f>DECEMBER!B92</f>
        <v>0</v>
      </c>
      <c r="N92" s="187">
        <f t="shared" si="6"/>
        <v>0</v>
      </c>
      <c r="O92" s="187">
        <f t="shared" si="7"/>
        <v>0</v>
      </c>
      <c r="P92" s="187">
        <f t="shared" si="8"/>
        <v>0</v>
      </c>
      <c r="Q92" s="187">
        <f t="shared" si="9"/>
        <v>0</v>
      </c>
      <c r="R92" s="198">
        <f t="shared" si="10"/>
        <v>0</v>
      </c>
      <c r="S92" s="186">
        <f>TARGET!B92</f>
        <v>0</v>
      </c>
      <c r="T92" s="208" t="e">
        <f t="shared" si="11"/>
        <v>#DIV/0!</v>
      </c>
    </row>
    <row r="93" spans="1:21" ht="15.75" customHeight="1" x14ac:dyDescent="0.2">
      <c r="A93" s="55" t="s">
        <v>199</v>
      </c>
      <c r="B93" s="195">
        <f>JANUARY!B93</f>
        <v>0</v>
      </c>
      <c r="C93" s="83">
        <f>FEBRUARY!B93</f>
        <v>0</v>
      </c>
      <c r="D93" s="83">
        <f>MARCH!B93</f>
        <v>0</v>
      </c>
      <c r="E93" s="83">
        <f>APRIL!B93</f>
        <v>0</v>
      </c>
      <c r="F93" s="83">
        <f>MAY!B93</f>
        <v>0</v>
      </c>
      <c r="G93" s="83">
        <f>JUNE!B93</f>
        <v>0</v>
      </c>
      <c r="H93" s="83">
        <f>JULY!B93</f>
        <v>0</v>
      </c>
      <c r="I93" s="83">
        <f>AUGUST!B93</f>
        <v>0</v>
      </c>
      <c r="J93" s="83">
        <f>SEPTEMBER!B93</f>
        <v>0</v>
      </c>
      <c r="K93" s="83">
        <f>OCTOBER!B93</f>
        <v>0</v>
      </c>
      <c r="L93" s="83">
        <f>NOVEMBER!B93</f>
        <v>0</v>
      </c>
      <c r="M93" s="83">
        <f>DECEMBER!B93</f>
        <v>0</v>
      </c>
      <c r="N93" s="187">
        <f t="shared" si="6"/>
        <v>0</v>
      </c>
      <c r="O93" s="187">
        <f t="shared" si="7"/>
        <v>0</v>
      </c>
      <c r="P93" s="187">
        <f t="shared" si="8"/>
        <v>0</v>
      </c>
      <c r="Q93" s="187">
        <f t="shared" si="9"/>
        <v>0</v>
      </c>
      <c r="R93" s="198">
        <f t="shared" si="10"/>
        <v>0</v>
      </c>
      <c r="S93" s="186">
        <f>TARGET!B93</f>
        <v>0</v>
      </c>
      <c r="T93" s="208" t="e">
        <f t="shared" si="11"/>
        <v>#DIV/0!</v>
      </c>
    </row>
    <row r="94" spans="1:21" ht="15.75" customHeight="1" x14ac:dyDescent="0.25">
      <c r="A94" s="55" t="s">
        <v>62</v>
      </c>
      <c r="B94" s="162">
        <f>JANUARY!B94</f>
        <v>0</v>
      </c>
      <c r="C94" s="162">
        <f>FEBRUARY!B94</f>
        <v>0</v>
      </c>
      <c r="D94" s="162">
        <f>MARCH!B94</f>
        <v>0</v>
      </c>
      <c r="E94" s="162">
        <f>APRIL!B94</f>
        <v>0</v>
      </c>
      <c r="F94" s="162">
        <f>MAY!B94</f>
        <v>0</v>
      </c>
      <c r="G94" s="162">
        <f>JUNE!B94</f>
        <v>0</v>
      </c>
      <c r="H94" s="162">
        <f>JULY!B94</f>
        <v>0</v>
      </c>
      <c r="I94" s="162">
        <f>AUGUST!B94</f>
        <v>0</v>
      </c>
      <c r="J94" s="162">
        <f>SEPTEMBER!B94</f>
        <v>0</v>
      </c>
      <c r="K94" s="162">
        <f>OCTOBER!B94</f>
        <v>0</v>
      </c>
      <c r="L94" s="162">
        <f>NOVEMBER!B94</f>
        <v>0</v>
      </c>
      <c r="M94" s="162">
        <f>DECEMBER!B94</f>
        <v>0</v>
      </c>
      <c r="N94" s="185">
        <f t="shared" si="6"/>
        <v>0</v>
      </c>
      <c r="O94" s="185">
        <f t="shared" si="7"/>
        <v>0</v>
      </c>
      <c r="P94" s="185">
        <f t="shared" si="8"/>
        <v>0</v>
      </c>
      <c r="Q94" s="185">
        <f t="shared" si="9"/>
        <v>0</v>
      </c>
      <c r="R94" s="197">
        <f t="shared" si="10"/>
        <v>0</v>
      </c>
      <c r="S94" s="162">
        <f>TARGET!B94</f>
        <v>0</v>
      </c>
      <c r="T94" s="208" t="e">
        <f t="shared" si="11"/>
        <v>#DIV/0!</v>
      </c>
    </row>
    <row r="95" spans="1:21" ht="15.75" customHeight="1" x14ac:dyDescent="0.2">
      <c r="A95" s="55" t="s">
        <v>63</v>
      </c>
      <c r="B95" s="195">
        <f>JANUARY!B95</f>
        <v>0</v>
      </c>
      <c r="C95" s="83">
        <f>FEBRUARY!B95</f>
        <v>0</v>
      </c>
      <c r="D95" s="83">
        <f>MARCH!B95</f>
        <v>0</v>
      </c>
      <c r="E95" s="83">
        <f>APRIL!B95</f>
        <v>0</v>
      </c>
      <c r="F95" s="83">
        <f>MAY!B95</f>
        <v>0</v>
      </c>
      <c r="G95" s="83">
        <f>JUNE!B95</f>
        <v>0</v>
      </c>
      <c r="H95" s="83">
        <f>JULY!B95</f>
        <v>0</v>
      </c>
      <c r="I95" s="83">
        <f>AUGUST!B95</f>
        <v>0</v>
      </c>
      <c r="J95" s="83">
        <f>SEPTEMBER!B95</f>
        <v>0</v>
      </c>
      <c r="K95" s="83">
        <f>OCTOBER!B95</f>
        <v>0</v>
      </c>
      <c r="L95" s="83">
        <f>NOVEMBER!B95</f>
        <v>0</v>
      </c>
      <c r="M95" s="83">
        <f>DECEMBER!B95</f>
        <v>0</v>
      </c>
      <c r="N95" s="187">
        <f t="shared" si="6"/>
        <v>0</v>
      </c>
      <c r="O95" s="187">
        <f t="shared" si="7"/>
        <v>0</v>
      </c>
      <c r="P95" s="187">
        <f t="shared" si="8"/>
        <v>0</v>
      </c>
      <c r="Q95" s="187">
        <f t="shared" si="9"/>
        <v>0</v>
      </c>
      <c r="R95" s="198">
        <f t="shared" si="10"/>
        <v>0</v>
      </c>
      <c r="S95" s="186">
        <f>TARGET!B95</f>
        <v>0</v>
      </c>
      <c r="T95" s="208" t="e">
        <f t="shared" si="11"/>
        <v>#DIV/0!</v>
      </c>
    </row>
    <row r="96" spans="1:21" ht="15.75" customHeight="1" x14ac:dyDescent="0.2">
      <c r="A96" s="55" t="s">
        <v>200</v>
      </c>
      <c r="B96" s="195">
        <f>JANUARY!B96</f>
        <v>0</v>
      </c>
      <c r="C96" s="83">
        <f>FEBRUARY!B96</f>
        <v>0</v>
      </c>
      <c r="D96" s="83">
        <f>MARCH!B96</f>
        <v>0</v>
      </c>
      <c r="E96" s="83">
        <f>APRIL!B96</f>
        <v>0</v>
      </c>
      <c r="F96" s="83">
        <f>MAY!B96</f>
        <v>0</v>
      </c>
      <c r="G96" s="83">
        <f>JUNE!B96</f>
        <v>0</v>
      </c>
      <c r="H96" s="83">
        <f>JULY!B96</f>
        <v>0</v>
      </c>
      <c r="I96" s="83">
        <f>AUGUST!B96</f>
        <v>0</v>
      </c>
      <c r="J96" s="83">
        <f>SEPTEMBER!B96</f>
        <v>0</v>
      </c>
      <c r="K96" s="83">
        <f>OCTOBER!B96</f>
        <v>0</v>
      </c>
      <c r="L96" s="83">
        <f>NOVEMBER!B96</f>
        <v>0</v>
      </c>
      <c r="M96" s="83">
        <f>DECEMBER!B96</f>
        <v>0</v>
      </c>
      <c r="N96" s="187">
        <f t="shared" si="6"/>
        <v>0</v>
      </c>
      <c r="O96" s="187">
        <f t="shared" si="7"/>
        <v>0</v>
      </c>
      <c r="P96" s="187">
        <f t="shared" si="8"/>
        <v>0</v>
      </c>
      <c r="Q96" s="187">
        <f t="shared" si="9"/>
        <v>0</v>
      </c>
      <c r="R96" s="198">
        <f t="shared" si="10"/>
        <v>0</v>
      </c>
      <c r="S96" s="186">
        <f>TARGET!B96</f>
        <v>0</v>
      </c>
      <c r="T96" s="208" t="e">
        <f t="shared" si="11"/>
        <v>#DIV/0!</v>
      </c>
    </row>
    <row r="97" spans="1:21" ht="15.75" customHeight="1" x14ac:dyDescent="0.25">
      <c r="A97" s="57" t="s">
        <v>64</v>
      </c>
      <c r="B97" s="162">
        <f>JANUARY!B97</f>
        <v>0</v>
      </c>
      <c r="C97" s="162">
        <f>FEBRUARY!B97</f>
        <v>0</v>
      </c>
      <c r="D97" s="162">
        <f>MARCH!B97</f>
        <v>0</v>
      </c>
      <c r="E97" s="162">
        <f>APRIL!B97</f>
        <v>150</v>
      </c>
      <c r="F97" s="162">
        <f>MAY!B97</f>
        <v>0</v>
      </c>
      <c r="G97" s="162">
        <f>JUNE!B97</f>
        <v>0</v>
      </c>
      <c r="H97" s="162">
        <f>JULY!B97</f>
        <v>0</v>
      </c>
      <c r="I97" s="162">
        <f>AUGUST!B97</f>
        <v>0</v>
      </c>
      <c r="J97" s="162">
        <f>SEPTEMBER!B97</f>
        <v>0</v>
      </c>
      <c r="K97" s="162">
        <f>OCTOBER!B97</f>
        <v>0</v>
      </c>
      <c r="L97" s="162">
        <f>NOVEMBER!B97</f>
        <v>0</v>
      </c>
      <c r="M97" s="162">
        <f>DECEMBER!B97</f>
        <v>0</v>
      </c>
      <c r="N97" s="185">
        <f t="shared" si="6"/>
        <v>0</v>
      </c>
      <c r="O97" s="185">
        <f t="shared" si="7"/>
        <v>150</v>
      </c>
      <c r="P97" s="185">
        <f t="shared" si="8"/>
        <v>0</v>
      </c>
      <c r="Q97" s="185">
        <f t="shared" si="9"/>
        <v>0</v>
      </c>
      <c r="R97" s="197">
        <f t="shared" si="10"/>
        <v>150</v>
      </c>
      <c r="S97" s="162">
        <f>TARGET!B97</f>
        <v>0</v>
      </c>
      <c r="T97" s="208" t="e">
        <f t="shared" si="11"/>
        <v>#DIV/0!</v>
      </c>
      <c r="U97" s="280">
        <f>R97</f>
        <v>150</v>
      </c>
    </row>
    <row r="98" spans="1:21" ht="15.75" customHeight="1" x14ac:dyDescent="0.2">
      <c r="A98" s="55" t="s">
        <v>65</v>
      </c>
      <c r="B98" s="195">
        <f>JANUARY!B98</f>
        <v>0</v>
      </c>
      <c r="C98" s="83">
        <f>FEBRUARY!B98</f>
        <v>0</v>
      </c>
      <c r="D98" s="83">
        <f>MARCH!B98</f>
        <v>0</v>
      </c>
      <c r="E98" s="83">
        <f>APRIL!B98</f>
        <v>92</v>
      </c>
      <c r="F98" s="83">
        <f>MAY!B98</f>
        <v>0</v>
      </c>
      <c r="G98" s="83">
        <f>JUNE!B98</f>
        <v>0</v>
      </c>
      <c r="H98" s="83">
        <f>JULY!B98</f>
        <v>0</v>
      </c>
      <c r="I98" s="83">
        <f>AUGUST!B98</f>
        <v>0</v>
      </c>
      <c r="J98" s="83">
        <f>SEPTEMBER!B98</f>
        <v>0</v>
      </c>
      <c r="K98" s="83">
        <f>OCTOBER!B98</f>
        <v>0</v>
      </c>
      <c r="L98" s="83">
        <f>NOVEMBER!B98</f>
        <v>0</v>
      </c>
      <c r="M98" s="83">
        <f>DECEMBER!B98</f>
        <v>0</v>
      </c>
      <c r="N98" s="187">
        <f t="shared" si="6"/>
        <v>0</v>
      </c>
      <c r="O98" s="187">
        <f t="shared" si="7"/>
        <v>92</v>
      </c>
      <c r="P98" s="187">
        <f t="shared" si="8"/>
        <v>0</v>
      </c>
      <c r="Q98" s="187">
        <f t="shared" si="9"/>
        <v>0</v>
      </c>
      <c r="R98" s="198">
        <f t="shared" si="10"/>
        <v>92</v>
      </c>
      <c r="S98" s="186">
        <f>TARGET!B98</f>
        <v>0</v>
      </c>
      <c r="T98" s="208" t="e">
        <f t="shared" si="11"/>
        <v>#DIV/0!</v>
      </c>
    </row>
    <row r="99" spans="1:21" ht="15.75" customHeight="1" x14ac:dyDescent="0.2">
      <c r="A99" s="55" t="s">
        <v>201</v>
      </c>
      <c r="B99" s="195">
        <f>JANUARY!B99</f>
        <v>0</v>
      </c>
      <c r="C99" s="83">
        <f>FEBRUARY!B99</f>
        <v>0</v>
      </c>
      <c r="D99" s="83">
        <f>MARCH!B99</f>
        <v>0</v>
      </c>
      <c r="E99" s="83">
        <f>APRIL!B99</f>
        <v>58</v>
      </c>
      <c r="F99" s="83">
        <f>MAY!B99</f>
        <v>0</v>
      </c>
      <c r="G99" s="83">
        <f>JUNE!B99</f>
        <v>0</v>
      </c>
      <c r="H99" s="83">
        <f>JULY!B99</f>
        <v>0</v>
      </c>
      <c r="I99" s="83">
        <f>AUGUST!B99</f>
        <v>0</v>
      </c>
      <c r="J99" s="83">
        <f>SEPTEMBER!B99</f>
        <v>0</v>
      </c>
      <c r="K99" s="83">
        <f>OCTOBER!B99</f>
        <v>0</v>
      </c>
      <c r="L99" s="83">
        <f>NOVEMBER!B99</f>
        <v>0</v>
      </c>
      <c r="M99" s="83">
        <f>DECEMBER!B99</f>
        <v>0</v>
      </c>
      <c r="N99" s="187">
        <f t="shared" si="6"/>
        <v>0</v>
      </c>
      <c r="O99" s="187">
        <f t="shared" si="7"/>
        <v>58</v>
      </c>
      <c r="P99" s="187">
        <f t="shared" si="8"/>
        <v>0</v>
      </c>
      <c r="Q99" s="187">
        <f t="shared" si="9"/>
        <v>0</v>
      </c>
      <c r="R99" s="198">
        <f t="shared" si="10"/>
        <v>58</v>
      </c>
      <c r="S99" s="186">
        <f>TARGET!B99</f>
        <v>0</v>
      </c>
      <c r="T99" s="208" t="e">
        <f t="shared" si="11"/>
        <v>#DIV/0!</v>
      </c>
    </row>
    <row r="100" spans="1:21" ht="15.75" customHeight="1" x14ac:dyDescent="0.25">
      <c r="A100" s="57" t="s">
        <v>66</v>
      </c>
      <c r="B100" s="162">
        <f>JANUARY!B100</f>
        <v>0</v>
      </c>
      <c r="C100" s="162">
        <f>FEBRUARY!B100</f>
        <v>0</v>
      </c>
      <c r="D100" s="162">
        <f>MARCH!B100</f>
        <v>0</v>
      </c>
      <c r="E100" s="162">
        <f>APRIL!B100</f>
        <v>0</v>
      </c>
      <c r="F100" s="162">
        <f>MAY!B100</f>
        <v>0</v>
      </c>
      <c r="G100" s="162">
        <f>JUNE!B100</f>
        <v>0</v>
      </c>
      <c r="H100" s="162">
        <f>JULY!B100</f>
        <v>0</v>
      </c>
      <c r="I100" s="162">
        <f>AUGUST!B100</f>
        <v>0</v>
      </c>
      <c r="J100" s="162">
        <f>SEPTEMBER!B100</f>
        <v>0</v>
      </c>
      <c r="K100" s="162">
        <f>OCTOBER!B100</f>
        <v>0</v>
      </c>
      <c r="L100" s="162">
        <f>NOVEMBER!B100</f>
        <v>0</v>
      </c>
      <c r="M100" s="162">
        <f>DECEMBER!B100</f>
        <v>0</v>
      </c>
      <c r="N100" s="185">
        <f t="shared" si="6"/>
        <v>0</v>
      </c>
      <c r="O100" s="185">
        <f t="shared" si="7"/>
        <v>0</v>
      </c>
      <c r="P100" s="185">
        <f t="shared" si="8"/>
        <v>0</v>
      </c>
      <c r="Q100" s="185">
        <f t="shared" si="9"/>
        <v>0</v>
      </c>
      <c r="R100" s="197">
        <f t="shared" si="10"/>
        <v>0</v>
      </c>
      <c r="S100" s="162">
        <f>TARGET!B100</f>
        <v>0</v>
      </c>
      <c r="T100" s="208" t="e">
        <f t="shared" si="11"/>
        <v>#DIV/0!</v>
      </c>
      <c r="U100" s="280">
        <f>R100</f>
        <v>0</v>
      </c>
    </row>
    <row r="101" spans="1:21" ht="15.75" customHeight="1" x14ac:dyDescent="0.2">
      <c r="A101" s="55" t="s">
        <v>67</v>
      </c>
      <c r="B101" s="195">
        <f>JANUARY!B101</f>
        <v>0</v>
      </c>
      <c r="C101" s="83">
        <f>FEBRUARY!B101</f>
        <v>0</v>
      </c>
      <c r="D101" s="83">
        <f>MARCH!B101</f>
        <v>0</v>
      </c>
      <c r="E101" s="83">
        <f>APRIL!B101</f>
        <v>0</v>
      </c>
      <c r="F101" s="83">
        <f>MAY!B101</f>
        <v>0</v>
      </c>
      <c r="G101" s="83">
        <f>JUNE!B101</f>
        <v>0</v>
      </c>
      <c r="H101" s="83">
        <f>JULY!B101</f>
        <v>0</v>
      </c>
      <c r="I101" s="83">
        <f>AUGUST!B101</f>
        <v>0</v>
      </c>
      <c r="J101" s="83">
        <f>SEPTEMBER!B101</f>
        <v>0</v>
      </c>
      <c r="K101" s="83">
        <f>OCTOBER!B101</f>
        <v>0</v>
      </c>
      <c r="L101" s="83">
        <f>NOVEMBER!B101</f>
        <v>0</v>
      </c>
      <c r="M101" s="83">
        <f>DECEMBER!B101</f>
        <v>0</v>
      </c>
      <c r="N101" s="187">
        <f t="shared" si="6"/>
        <v>0</v>
      </c>
      <c r="O101" s="187">
        <f t="shared" si="7"/>
        <v>0</v>
      </c>
      <c r="P101" s="187">
        <f t="shared" si="8"/>
        <v>0</v>
      </c>
      <c r="Q101" s="187">
        <f t="shared" si="9"/>
        <v>0</v>
      </c>
      <c r="R101" s="198">
        <f t="shared" si="10"/>
        <v>0</v>
      </c>
      <c r="S101" s="186">
        <f>TARGET!B101</f>
        <v>0</v>
      </c>
      <c r="T101" s="208" t="e">
        <f t="shared" si="11"/>
        <v>#DIV/0!</v>
      </c>
    </row>
    <row r="102" spans="1:21" ht="15.75" customHeight="1" x14ac:dyDescent="0.2">
      <c r="A102" s="55" t="s">
        <v>202</v>
      </c>
      <c r="B102" s="195">
        <f>JANUARY!B102</f>
        <v>0</v>
      </c>
      <c r="C102" s="83">
        <f>FEBRUARY!B102</f>
        <v>0</v>
      </c>
      <c r="D102" s="83">
        <f>MARCH!B102</f>
        <v>0</v>
      </c>
      <c r="E102" s="83">
        <f>APRIL!B102</f>
        <v>0</v>
      </c>
      <c r="F102" s="83">
        <f>MAY!B102</f>
        <v>0</v>
      </c>
      <c r="G102" s="83">
        <f>JUNE!B102</f>
        <v>0</v>
      </c>
      <c r="H102" s="83">
        <f>JULY!B102</f>
        <v>0</v>
      </c>
      <c r="I102" s="83">
        <f>AUGUST!B102</f>
        <v>0</v>
      </c>
      <c r="J102" s="83">
        <f>SEPTEMBER!B102</f>
        <v>0</v>
      </c>
      <c r="K102" s="83">
        <f>OCTOBER!B102</f>
        <v>0</v>
      </c>
      <c r="L102" s="83">
        <f>NOVEMBER!B102</f>
        <v>0</v>
      </c>
      <c r="M102" s="83">
        <f>DECEMBER!B102</f>
        <v>0</v>
      </c>
      <c r="N102" s="187">
        <f t="shared" si="6"/>
        <v>0</v>
      </c>
      <c r="O102" s="187">
        <f t="shared" si="7"/>
        <v>0</v>
      </c>
      <c r="P102" s="187">
        <f t="shared" si="8"/>
        <v>0</v>
      </c>
      <c r="Q102" s="187">
        <f t="shared" si="9"/>
        <v>0</v>
      </c>
      <c r="R102" s="198">
        <f t="shared" si="10"/>
        <v>0</v>
      </c>
      <c r="S102" s="186">
        <f>TARGET!B102</f>
        <v>0</v>
      </c>
      <c r="T102" s="208" t="e">
        <f t="shared" si="11"/>
        <v>#DIV/0!</v>
      </c>
    </row>
    <row r="103" spans="1:21" ht="15.75" customHeight="1" x14ac:dyDescent="0.25">
      <c r="A103" s="57" t="s">
        <v>68</v>
      </c>
      <c r="B103" s="162">
        <f>JANUARY!B103</f>
        <v>0</v>
      </c>
      <c r="C103" s="162">
        <f>FEBRUARY!B103</f>
        <v>0</v>
      </c>
      <c r="D103" s="162">
        <f>MARCH!B103</f>
        <v>0</v>
      </c>
      <c r="E103" s="162">
        <f>APRIL!B103</f>
        <v>0</v>
      </c>
      <c r="F103" s="162">
        <f>MAY!B103</f>
        <v>0</v>
      </c>
      <c r="G103" s="162">
        <f>JUNE!B103</f>
        <v>0</v>
      </c>
      <c r="H103" s="162">
        <f>JULY!B103</f>
        <v>0</v>
      </c>
      <c r="I103" s="162">
        <f>AUGUST!B103</f>
        <v>0</v>
      </c>
      <c r="J103" s="162">
        <f>SEPTEMBER!B103</f>
        <v>0</v>
      </c>
      <c r="K103" s="162">
        <f>OCTOBER!B103</f>
        <v>0</v>
      </c>
      <c r="L103" s="162">
        <f>NOVEMBER!B103</f>
        <v>0</v>
      </c>
      <c r="M103" s="162">
        <f>DECEMBER!B103</f>
        <v>0</v>
      </c>
      <c r="N103" s="185">
        <f t="shared" si="6"/>
        <v>0</v>
      </c>
      <c r="O103" s="185">
        <f t="shared" si="7"/>
        <v>0</v>
      </c>
      <c r="P103" s="185">
        <f t="shared" si="8"/>
        <v>0</v>
      </c>
      <c r="Q103" s="185">
        <f t="shared" si="9"/>
        <v>0</v>
      </c>
      <c r="R103" s="197">
        <f t="shared" si="10"/>
        <v>0</v>
      </c>
      <c r="S103" s="162">
        <f>TARGET!B103</f>
        <v>0</v>
      </c>
      <c r="T103" s="208" t="e">
        <f t="shared" si="11"/>
        <v>#DIV/0!</v>
      </c>
      <c r="U103" s="280">
        <f>R103</f>
        <v>0</v>
      </c>
    </row>
    <row r="104" spans="1:21" ht="15.75" customHeight="1" x14ac:dyDescent="0.25">
      <c r="A104" s="55" t="s">
        <v>238</v>
      </c>
      <c r="B104" s="162">
        <f>JANUARY!B104</f>
        <v>0</v>
      </c>
      <c r="C104" s="162">
        <f>FEBRUARY!B104</f>
        <v>0</v>
      </c>
      <c r="D104" s="162">
        <f>MARCH!B104</f>
        <v>0</v>
      </c>
      <c r="E104" s="162">
        <f>APRIL!B104</f>
        <v>0</v>
      </c>
      <c r="F104" s="162">
        <f>MAY!B104</f>
        <v>0</v>
      </c>
      <c r="G104" s="162">
        <f>JUNE!B104</f>
        <v>0</v>
      </c>
      <c r="H104" s="162">
        <f>JULY!B104</f>
        <v>0</v>
      </c>
      <c r="I104" s="162">
        <f>AUGUST!B104</f>
        <v>0</v>
      </c>
      <c r="J104" s="162">
        <f>SEPTEMBER!B104</f>
        <v>0</v>
      </c>
      <c r="K104" s="162">
        <f>OCTOBER!B104</f>
        <v>0</v>
      </c>
      <c r="L104" s="162">
        <f>NOVEMBER!B104</f>
        <v>0</v>
      </c>
      <c r="M104" s="162">
        <f>DECEMBER!B104</f>
        <v>0</v>
      </c>
      <c r="N104" s="185">
        <f t="shared" si="6"/>
        <v>0</v>
      </c>
      <c r="O104" s="185">
        <f t="shared" si="7"/>
        <v>0</v>
      </c>
      <c r="P104" s="185">
        <f t="shared" si="8"/>
        <v>0</v>
      </c>
      <c r="Q104" s="185">
        <f t="shared" si="9"/>
        <v>0</v>
      </c>
      <c r="R104" s="197">
        <f t="shared" si="10"/>
        <v>0</v>
      </c>
      <c r="S104" s="162">
        <f>TARGET!B104</f>
        <v>0</v>
      </c>
      <c r="T104" s="208" t="e">
        <f t="shared" si="11"/>
        <v>#DIV/0!</v>
      </c>
    </row>
    <row r="105" spans="1:21" ht="15.75" customHeight="1" x14ac:dyDescent="0.2">
      <c r="A105" s="2" t="s">
        <v>239</v>
      </c>
      <c r="B105" s="195">
        <f>JANUARY!B105</f>
        <v>0</v>
      </c>
      <c r="C105" s="83">
        <f>FEBRUARY!B105</f>
        <v>0</v>
      </c>
      <c r="D105" s="83">
        <f>MARCH!B105</f>
        <v>0</v>
      </c>
      <c r="E105" s="83">
        <f>APRIL!B105</f>
        <v>0</v>
      </c>
      <c r="F105" s="83">
        <f>MAY!B105</f>
        <v>0</v>
      </c>
      <c r="G105" s="83">
        <f>JUNE!B105</f>
        <v>0</v>
      </c>
      <c r="H105" s="83">
        <f>JULY!B105</f>
        <v>0</v>
      </c>
      <c r="I105" s="83">
        <f>AUGUST!B105</f>
        <v>0</v>
      </c>
      <c r="J105" s="83">
        <f>SEPTEMBER!B105</f>
        <v>0</v>
      </c>
      <c r="K105" s="83">
        <f>OCTOBER!B105</f>
        <v>0</v>
      </c>
      <c r="L105" s="83">
        <f>NOVEMBER!B105</f>
        <v>0</v>
      </c>
      <c r="M105" s="83">
        <f>DECEMBER!B105</f>
        <v>0</v>
      </c>
      <c r="N105" s="187">
        <f t="shared" si="6"/>
        <v>0</v>
      </c>
      <c r="O105" s="187">
        <f t="shared" si="7"/>
        <v>0</v>
      </c>
      <c r="P105" s="187">
        <f t="shared" si="8"/>
        <v>0</v>
      </c>
      <c r="Q105" s="187">
        <f t="shared" si="9"/>
        <v>0</v>
      </c>
      <c r="R105" s="198">
        <f t="shared" si="10"/>
        <v>0</v>
      </c>
      <c r="S105" s="186">
        <f>TARGET!B105</f>
        <v>0</v>
      </c>
      <c r="T105" s="208" t="e">
        <f t="shared" si="11"/>
        <v>#DIV/0!</v>
      </c>
    </row>
    <row r="106" spans="1:21" ht="15.75" customHeight="1" x14ac:dyDescent="0.2">
      <c r="A106" s="2" t="s">
        <v>240</v>
      </c>
      <c r="B106" s="195">
        <f>JANUARY!B106</f>
        <v>0</v>
      </c>
      <c r="C106" s="83">
        <f>FEBRUARY!B106</f>
        <v>0</v>
      </c>
      <c r="D106" s="83">
        <f>MARCH!B106</f>
        <v>0</v>
      </c>
      <c r="E106" s="83">
        <f>APRIL!B106</f>
        <v>0</v>
      </c>
      <c r="F106" s="83">
        <f>MAY!B106</f>
        <v>0</v>
      </c>
      <c r="G106" s="83">
        <f>JUNE!B106</f>
        <v>0</v>
      </c>
      <c r="H106" s="83">
        <f>JULY!B106</f>
        <v>0</v>
      </c>
      <c r="I106" s="83">
        <f>AUGUST!B106</f>
        <v>0</v>
      </c>
      <c r="J106" s="83">
        <f>SEPTEMBER!B106</f>
        <v>0</v>
      </c>
      <c r="K106" s="83">
        <f>OCTOBER!B106</f>
        <v>0</v>
      </c>
      <c r="L106" s="83">
        <f>NOVEMBER!B106</f>
        <v>0</v>
      </c>
      <c r="M106" s="83">
        <f>DECEMBER!B106</f>
        <v>0</v>
      </c>
      <c r="N106" s="187">
        <f t="shared" si="6"/>
        <v>0</v>
      </c>
      <c r="O106" s="187">
        <f t="shared" si="7"/>
        <v>0</v>
      </c>
      <c r="P106" s="187">
        <f t="shared" si="8"/>
        <v>0</v>
      </c>
      <c r="Q106" s="187">
        <f t="shared" si="9"/>
        <v>0</v>
      </c>
      <c r="R106" s="198">
        <f t="shared" si="10"/>
        <v>0</v>
      </c>
      <c r="S106" s="186">
        <f>TARGET!B106</f>
        <v>0</v>
      </c>
      <c r="T106" s="208" t="e">
        <f t="shared" si="11"/>
        <v>#DIV/0!</v>
      </c>
    </row>
    <row r="107" spans="1:21" ht="15.75" customHeight="1" x14ac:dyDescent="0.25">
      <c r="A107" s="2" t="s">
        <v>241</v>
      </c>
      <c r="B107" s="162">
        <f>JANUARY!B107</f>
        <v>0</v>
      </c>
      <c r="C107" s="162">
        <f>FEBRUARY!B107</f>
        <v>0</v>
      </c>
      <c r="D107" s="162">
        <f>MARCH!B107</f>
        <v>0</v>
      </c>
      <c r="E107" s="162">
        <f>APRIL!B107</f>
        <v>0</v>
      </c>
      <c r="F107" s="162">
        <f>MAY!B107</f>
        <v>0</v>
      </c>
      <c r="G107" s="162">
        <f>JUNE!B107</f>
        <v>0</v>
      </c>
      <c r="H107" s="162">
        <f>JULY!B107</f>
        <v>0</v>
      </c>
      <c r="I107" s="162">
        <f>AUGUST!B107</f>
        <v>0</v>
      </c>
      <c r="J107" s="162">
        <f>SEPTEMBER!B107</f>
        <v>0</v>
      </c>
      <c r="K107" s="162">
        <f>OCTOBER!B107</f>
        <v>0</v>
      </c>
      <c r="L107" s="162">
        <f>NOVEMBER!B107</f>
        <v>0</v>
      </c>
      <c r="M107" s="162">
        <f>DECEMBER!B107</f>
        <v>0</v>
      </c>
      <c r="N107" s="185">
        <f t="shared" si="6"/>
        <v>0</v>
      </c>
      <c r="O107" s="185">
        <f t="shared" si="7"/>
        <v>0</v>
      </c>
      <c r="P107" s="185">
        <f t="shared" si="8"/>
        <v>0</v>
      </c>
      <c r="Q107" s="185">
        <f t="shared" si="9"/>
        <v>0</v>
      </c>
      <c r="R107" s="197">
        <f t="shared" si="10"/>
        <v>0</v>
      </c>
      <c r="S107" s="162">
        <f>TARGET!B107</f>
        <v>0</v>
      </c>
      <c r="T107" s="208" t="e">
        <f t="shared" si="11"/>
        <v>#DIV/0!</v>
      </c>
    </row>
    <row r="108" spans="1:21" ht="15.75" customHeight="1" x14ac:dyDescent="0.2">
      <c r="A108" s="2" t="s">
        <v>242</v>
      </c>
      <c r="B108" s="195">
        <f>JANUARY!B108</f>
        <v>0</v>
      </c>
      <c r="C108" s="83">
        <f>FEBRUARY!B108</f>
        <v>0</v>
      </c>
      <c r="D108" s="83">
        <f>MARCH!B108</f>
        <v>0</v>
      </c>
      <c r="E108" s="83">
        <f>APRIL!B108</f>
        <v>0</v>
      </c>
      <c r="F108" s="83">
        <f>MAY!B108</f>
        <v>0</v>
      </c>
      <c r="G108" s="83">
        <f>JUNE!B108</f>
        <v>0</v>
      </c>
      <c r="H108" s="83">
        <f>JULY!B108</f>
        <v>0</v>
      </c>
      <c r="I108" s="83">
        <f>AUGUST!B108</f>
        <v>0</v>
      </c>
      <c r="J108" s="83">
        <f>SEPTEMBER!B108</f>
        <v>0</v>
      </c>
      <c r="K108" s="83">
        <f>OCTOBER!B108</f>
        <v>0</v>
      </c>
      <c r="L108" s="83">
        <f>NOVEMBER!B108</f>
        <v>0</v>
      </c>
      <c r="M108" s="83">
        <f>DECEMBER!B108</f>
        <v>0</v>
      </c>
      <c r="N108" s="187">
        <f t="shared" si="6"/>
        <v>0</v>
      </c>
      <c r="O108" s="187">
        <f t="shared" si="7"/>
        <v>0</v>
      </c>
      <c r="P108" s="187">
        <f t="shared" si="8"/>
        <v>0</v>
      </c>
      <c r="Q108" s="187">
        <f t="shared" si="9"/>
        <v>0</v>
      </c>
      <c r="R108" s="198">
        <f t="shared" si="10"/>
        <v>0</v>
      </c>
      <c r="S108" s="186">
        <f>TARGET!B108</f>
        <v>0</v>
      </c>
      <c r="T108" s="208" t="e">
        <f t="shared" si="11"/>
        <v>#DIV/0!</v>
      </c>
    </row>
    <row r="109" spans="1:21" ht="15.75" customHeight="1" x14ac:dyDescent="0.2">
      <c r="A109" s="55" t="s">
        <v>243</v>
      </c>
      <c r="B109" s="195">
        <f>JANUARY!B109</f>
        <v>0</v>
      </c>
      <c r="C109" s="83">
        <f>FEBRUARY!B109</f>
        <v>0</v>
      </c>
      <c r="D109" s="83">
        <f>MARCH!B109</f>
        <v>0</v>
      </c>
      <c r="E109" s="83">
        <f>APRIL!B109</f>
        <v>0</v>
      </c>
      <c r="F109" s="83">
        <f>MAY!B109</f>
        <v>0</v>
      </c>
      <c r="G109" s="83">
        <f>JUNE!B109</f>
        <v>0</v>
      </c>
      <c r="H109" s="83">
        <f>JULY!B109</f>
        <v>0</v>
      </c>
      <c r="I109" s="83">
        <f>AUGUST!B109</f>
        <v>0</v>
      </c>
      <c r="J109" s="83">
        <f>SEPTEMBER!B109</f>
        <v>0</v>
      </c>
      <c r="K109" s="83">
        <f>OCTOBER!B109</f>
        <v>0</v>
      </c>
      <c r="L109" s="83">
        <f>NOVEMBER!B109</f>
        <v>0</v>
      </c>
      <c r="M109" s="83">
        <f>DECEMBER!B109</f>
        <v>0</v>
      </c>
      <c r="N109" s="187">
        <f t="shared" si="6"/>
        <v>0</v>
      </c>
      <c r="O109" s="187">
        <f t="shared" si="7"/>
        <v>0</v>
      </c>
      <c r="P109" s="187">
        <f t="shared" si="8"/>
        <v>0</v>
      </c>
      <c r="Q109" s="187">
        <f t="shared" si="9"/>
        <v>0</v>
      </c>
      <c r="R109" s="198">
        <f t="shared" si="10"/>
        <v>0</v>
      </c>
      <c r="S109" s="186">
        <f>TARGET!B109</f>
        <v>0</v>
      </c>
      <c r="T109" s="208" t="e">
        <f t="shared" si="11"/>
        <v>#DIV/0!</v>
      </c>
    </row>
    <row r="110" spans="1:21" ht="15.75" customHeight="1" x14ac:dyDescent="0.25">
      <c r="A110" s="57" t="s">
        <v>69</v>
      </c>
      <c r="B110" s="162">
        <f>JANUARY!B110</f>
        <v>0</v>
      </c>
      <c r="C110" s="162">
        <f>FEBRUARY!B110</f>
        <v>0</v>
      </c>
      <c r="D110" s="162">
        <f>MARCH!B110</f>
        <v>0</v>
      </c>
      <c r="E110" s="162">
        <f>APRIL!B110</f>
        <v>0</v>
      </c>
      <c r="F110" s="162">
        <f>MAY!B110</f>
        <v>0</v>
      </c>
      <c r="G110" s="162">
        <f>JUNE!B110</f>
        <v>0</v>
      </c>
      <c r="H110" s="162">
        <f>JULY!B110</f>
        <v>0</v>
      </c>
      <c r="I110" s="162">
        <f>AUGUST!B110</f>
        <v>0</v>
      </c>
      <c r="J110" s="162">
        <f>SEPTEMBER!B110</f>
        <v>0</v>
      </c>
      <c r="K110" s="162">
        <f>OCTOBER!B110</f>
        <v>0</v>
      </c>
      <c r="L110" s="162">
        <f>NOVEMBER!B110</f>
        <v>0</v>
      </c>
      <c r="M110" s="162">
        <f>DECEMBER!B110</f>
        <v>0</v>
      </c>
      <c r="N110" s="185">
        <f t="shared" si="6"/>
        <v>0</v>
      </c>
      <c r="O110" s="185">
        <f t="shared" si="7"/>
        <v>0</v>
      </c>
      <c r="P110" s="185">
        <f t="shared" si="8"/>
        <v>0</v>
      </c>
      <c r="Q110" s="185">
        <f t="shared" si="9"/>
        <v>0</v>
      </c>
      <c r="R110" s="197">
        <f t="shared" si="10"/>
        <v>0</v>
      </c>
      <c r="S110" s="162">
        <f>TARGET!B110</f>
        <v>0</v>
      </c>
      <c r="T110" s="208" t="e">
        <f t="shared" si="11"/>
        <v>#DIV/0!</v>
      </c>
      <c r="U110" s="280">
        <f>R110</f>
        <v>0</v>
      </c>
    </row>
    <row r="111" spans="1:21" ht="15.75" customHeight="1" x14ac:dyDescent="0.2">
      <c r="A111" s="55" t="s">
        <v>244</v>
      </c>
      <c r="B111" s="195">
        <f>JANUARY!B111</f>
        <v>0</v>
      </c>
      <c r="C111" s="83">
        <f>FEBRUARY!B111</f>
        <v>0</v>
      </c>
      <c r="D111" s="83">
        <f>MARCH!B111</f>
        <v>0</v>
      </c>
      <c r="E111" s="83">
        <f>APRIL!B111</f>
        <v>0</v>
      </c>
      <c r="F111" s="83">
        <f>MAY!B111</f>
        <v>0</v>
      </c>
      <c r="G111" s="83">
        <f>JUNE!B111</f>
        <v>0</v>
      </c>
      <c r="H111" s="83">
        <f>JULY!B111</f>
        <v>0</v>
      </c>
      <c r="I111" s="83">
        <f>AUGUST!B111</f>
        <v>0</v>
      </c>
      <c r="J111" s="83">
        <f>SEPTEMBER!B111</f>
        <v>0</v>
      </c>
      <c r="K111" s="83">
        <f>OCTOBER!B111</f>
        <v>0</v>
      </c>
      <c r="L111" s="83">
        <f>NOVEMBER!B111</f>
        <v>0</v>
      </c>
      <c r="M111" s="83">
        <f>DECEMBER!B111</f>
        <v>0</v>
      </c>
      <c r="N111" s="187">
        <f t="shared" si="6"/>
        <v>0</v>
      </c>
      <c r="O111" s="187">
        <f t="shared" si="7"/>
        <v>0</v>
      </c>
      <c r="P111" s="187">
        <f t="shared" si="8"/>
        <v>0</v>
      </c>
      <c r="Q111" s="187">
        <f t="shared" si="9"/>
        <v>0</v>
      </c>
      <c r="R111" s="198">
        <f t="shared" si="10"/>
        <v>0</v>
      </c>
      <c r="S111" s="186">
        <f>TARGET!B111</f>
        <v>0</v>
      </c>
      <c r="T111" s="208" t="e">
        <f t="shared" si="11"/>
        <v>#DIV/0!</v>
      </c>
    </row>
    <row r="112" spans="1:21" ht="15.75" customHeight="1" x14ac:dyDescent="0.2">
      <c r="A112" s="55" t="s">
        <v>245</v>
      </c>
      <c r="B112" s="195">
        <f>JANUARY!B112</f>
        <v>0</v>
      </c>
      <c r="C112" s="83">
        <f>FEBRUARY!B112</f>
        <v>0</v>
      </c>
      <c r="D112" s="83">
        <f>MARCH!B112</f>
        <v>0</v>
      </c>
      <c r="E112" s="83">
        <f>APRIL!B112</f>
        <v>0</v>
      </c>
      <c r="F112" s="83">
        <f>MAY!B112</f>
        <v>0</v>
      </c>
      <c r="G112" s="83">
        <f>JUNE!B112</f>
        <v>0</v>
      </c>
      <c r="H112" s="83">
        <f>JULY!B112</f>
        <v>0</v>
      </c>
      <c r="I112" s="83">
        <f>AUGUST!B112</f>
        <v>0</v>
      </c>
      <c r="J112" s="83">
        <f>SEPTEMBER!B112</f>
        <v>0</v>
      </c>
      <c r="K112" s="83">
        <f>OCTOBER!B112</f>
        <v>0</v>
      </c>
      <c r="L112" s="83">
        <f>NOVEMBER!B112</f>
        <v>0</v>
      </c>
      <c r="M112" s="83">
        <f>DECEMBER!B112</f>
        <v>0</v>
      </c>
      <c r="N112" s="187">
        <f t="shared" si="6"/>
        <v>0</v>
      </c>
      <c r="O112" s="187">
        <f t="shared" si="7"/>
        <v>0</v>
      </c>
      <c r="P112" s="187">
        <f t="shared" si="8"/>
        <v>0</v>
      </c>
      <c r="Q112" s="187">
        <f t="shared" si="9"/>
        <v>0</v>
      </c>
      <c r="R112" s="198">
        <f t="shared" si="10"/>
        <v>0</v>
      </c>
      <c r="S112" s="186">
        <f>TARGET!B112</f>
        <v>0</v>
      </c>
      <c r="T112" s="208" t="e">
        <f t="shared" si="11"/>
        <v>#DIV/0!</v>
      </c>
    </row>
    <row r="113" spans="1:21" ht="15.75" customHeight="1" x14ac:dyDescent="0.25">
      <c r="A113" s="57" t="s">
        <v>70</v>
      </c>
      <c r="B113" s="162">
        <f>JANUARY!B113</f>
        <v>0</v>
      </c>
      <c r="C113" s="162">
        <f>FEBRUARY!B113</f>
        <v>0</v>
      </c>
      <c r="D113" s="162">
        <f>MARCH!B113</f>
        <v>0</v>
      </c>
      <c r="E113" s="162">
        <f>APRIL!B113</f>
        <v>0</v>
      </c>
      <c r="F113" s="162">
        <f>MAY!B113</f>
        <v>0</v>
      </c>
      <c r="G113" s="162">
        <f>JUNE!B113</f>
        <v>0</v>
      </c>
      <c r="H113" s="162">
        <f>JULY!B113</f>
        <v>0</v>
      </c>
      <c r="I113" s="162">
        <f>AUGUST!B113</f>
        <v>0</v>
      </c>
      <c r="J113" s="162">
        <f>SEPTEMBER!B113</f>
        <v>0</v>
      </c>
      <c r="K113" s="162">
        <f>OCTOBER!B113</f>
        <v>0</v>
      </c>
      <c r="L113" s="162">
        <f>NOVEMBER!B113</f>
        <v>0</v>
      </c>
      <c r="M113" s="162">
        <f>DECEMBER!B113</f>
        <v>0</v>
      </c>
      <c r="N113" s="185">
        <f t="shared" si="6"/>
        <v>0</v>
      </c>
      <c r="O113" s="185">
        <f t="shared" si="7"/>
        <v>0</v>
      </c>
      <c r="P113" s="185">
        <f t="shared" si="8"/>
        <v>0</v>
      </c>
      <c r="Q113" s="185">
        <f t="shared" si="9"/>
        <v>0</v>
      </c>
      <c r="R113" s="197">
        <f t="shared" si="10"/>
        <v>0</v>
      </c>
      <c r="S113" s="162">
        <f>TARGET!B113</f>
        <v>0</v>
      </c>
      <c r="T113" s="208" t="e">
        <f t="shared" si="11"/>
        <v>#DIV/0!</v>
      </c>
      <c r="U113" s="280">
        <f>R113</f>
        <v>0</v>
      </c>
    </row>
    <row r="114" spans="1:21" ht="15.75" customHeight="1" x14ac:dyDescent="0.2">
      <c r="A114" s="55" t="s">
        <v>246</v>
      </c>
      <c r="B114" s="195">
        <f>JANUARY!B114</f>
        <v>0</v>
      </c>
      <c r="C114" s="83">
        <f>FEBRUARY!B114</f>
        <v>0</v>
      </c>
      <c r="D114" s="83">
        <f>MARCH!B114</f>
        <v>0</v>
      </c>
      <c r="E114" s="83">
        <f>APRIL!B114</f>
        <v>0</v>
      </c>
      <c r="F114" s="83">
        <f>MAY!B114</f>
        <v>0</v>
      </c>
      <c r="G114" s="83">
        <f>JUNE!B114</f>
        <v>0</v>
      </c>
      <c r="H114" s="83">
        <f>JULY!B114</f>
        <v>0</v>
      </c>
      <c r="I114" s="83">
        <f>AUGUST!B114</f>
        <v>0</v>
      </c>
      <c r="J114" s="83">
        <f>SEPTEMBER!B114</f>
        <v>0</v>
      </c>
      <c r="K114" s="83">
        <f>OCTOBER!B114</f>
        <v>0</v>
      </c>
      <c r="L114" s="83">
        <f>NOVEMBER!B114</f>
        <v>0</v>
      </c>
      <c r="M114" s="83">
        <f>DECEMBER!B114</f>
        <v>0</v>
      </c>
      <c r="N114" s="187">
        <f t="shared" si="6"/>
        <v>0</v>
      </c>
      <c r="O114" s="187">
        <f t="shared" si="7"/>
        <v>0</v>
      </c>
      <c r="P114" s="187">
        <f t="shared" si="8"/>
        <v>0</v>
      </c>
      <c r="Q114" s="187">
        <f t="shared" si="9"/>
        <v>0</v>
      </c>
      <c r="R114" s="198">
        <f t="shared" si="10"/>
        <v>0</v>
      </c>
      <c r="S114" s="186">
        <f>TARGET!B114</f>
        <v>0</v>
      </c>
      <c r="T114" s="208" t="e">
        <f t="shared" si="11"/>
        <v>#DIV/0!</v>
      </c>
    </row>
    <row r="115" spans="1:21" ht="15.75" customHeight="1" x14ac:dyDescent="0.2">
      <c r="A115" s="55" t="s">
        <v>247</v>
      </c>
      <c r="B115" s="195">
        <f>JANUARY!B115</f>
        <v>0</v>
      </c>
      <c r="C115" s="83">
        <f>FEBRUARY!B115</f>
        <v>0</v>
      </c>
      <c r="D115" s="83">
        <f>MARCH!B115</f>
        <v>0</v>
      </c>
      <c r="E115" s="83">
        <f>APRIL!B115</f>
        <v>0</v>
      </c>
      <c r="F115" s="83">
        <f>MAY!B115</f>
        <v>0</v>
      </c>
      <c r="G115" s="83">
        <f>JUNE!B115</f>
        <v>0</v>
      </c>
      <c r="H115" s="83">
        <f>JULY!B115</f>
        <v>0</v>
      </c>
      <c r="I115" s="83">
        <f>AUGUST!B115</f>
        <v>0</v>
      </c>
      <c r="J115" s="83">
        <f>SEPTEMBER!B115</f>
        <v>0</v>
      </c>
      <c r="K115" s="83">
        <f>OCTOBER!B115</f>
        <v>0</v>
      </c>
      <c r="L115" s="83">
        <f>NOVEMBER!B115</f>
        <v>0</v>
      </c>
      <c r="M115" s="83">
        <f>DECEMBER!B115</f>
        <v>0</v>
      </c>
      <c r="N115" s="187">
        <f t="shared" si="6"/>
        <v>0</v>
      </c>
      <c r="O115" s="187">
        <f t="shared" si="7"/>
        <v>0</v>
      </c>
      <c r="P115" s="187">
        <f t="shared" si="8"/>
        <v>0</v>
      </c>
      <c r="Q115" s="187">
        <f t="shared" si="9"/>
        <v>0</v>
      </c>
      <c r="R115" s="198">
        <f t="shared" si="10"/>
        <v>0</v>
      </c>
      <c r="S115" s="186">
        <f>TARGET!B115</f>
        <v>0</v>
      </c>
      <c r="T115" s="208" t="e">
        <f t="shared" si="11"/>
        <v>#DIV/0!</v>
      </c>
    </row>
    <row r="116" spans="1:21" ht="15.75" customHeight="1" x14ac:dyDescent="0.25">
      <c r="A116" s="57" t="s">
        <v>71</v>
      </c>
      <c r="B116" s="162">
        <f>JANUARY!B116</f>
        <v>0</v>
      </c>
      <c r="C116" s="162">
        <f>FEBRUARY!B116</f>
        <v>0</v>
      </c>
      <c r="D116" s="162">
        <f>MARCH!B116</f>
        <v>0</v>
      </c>
      <c r="E116" s="162">
        <f>APRIL!B116</f>
        <v>0</v>
      </c>
      <c r="F116" s="162">
        <f>MAY!B116</f>
        <v>0</v>
      </c>
      <c r="G116" s="162">
        <f>JUNE!B116</f>
        <v>0</v>
      </c>
      <c r="H116" s="162">
        <f>JULY!B116</f>
        <v>0</v>
      </c>
      <c r="I116" s="162">
        <f>AUGUST!B116</f>
        <v>0</v>
      </c>
      <c r="J116" s="162">
        <f>SEPTEMBER!B116</f>
        <v>0</v>
      </c>
      <c r="K116" s="162">
        <f>OCTOBER!B116</f>
        <v>0</v>
      </c>
      <c r="L116" s="162">
        <f>NOVEMBER!B116</f>
        <v>0</v>
      </c>
      <c r="M116" s="162">
        <f>DECEMBER!B116</f>
        <v>0</v>
      </c>
      <c r="N116" s="185">
        <f t="shared" si="6"/>
        <v>0</v>
      </c>
      <c r="O116" s="185">
        <f t="shared" si="7"/>
        <v>0</v>
      </c>
      <c r="P116" s="185">
        <f t="shared" si="8"/>
        <v>0</v>
      </c>
      <c r="Q116" s="185">
        <f t="shared" si="9"/>
        <v>0</v>
      </c>
      <c r="R116" s="197">
        <f t="shared" si="10"/>
        <v>0</v>
      </c>
      <c r="S116" s="162">
        <f>TARGET!B116</f>
        <v>0</v>
      </c>
      <c r="T116" s="208" t="e">
        <f t="shared" si="11"/>
        <v>#DIV/0!</v>
      </c>
      <c r="U116" s="280">
        <f>R116</f>
        <v>0</v>
      </c>
    </row>
    <row r="117" spans="1:21" ht="15.75" customHeight="1" x14ac:dyDescent="0.2">
      <c r="A117" s="55" t="s">
        <v>248</v>
      </c>
      <c r="B117" s="195">
        <f>JANUARY!B117</f>
        <v>0</v>
      </c>
      <c r="C117" s="83">
        <f>FEBRUARY!B117</f>
        <v>0</v>
      </c>
      <c r="D117" s="83">
        <f>MARCH!B117</f>
        <v>0</v>
      </c>
      <c r="E117" s="83">
        <f>APRIL!B117</f>
        <v>0</v>
      </c>
      <c r="F117" s="83">
        <f>MAY!B117</f>
        <v>0</v>
      </c>
      <c r="G117" s="83">
        <f>JUNE!B117</f>
        <v>0</v>
      </c>
      <c r="H117" s="83">
        <f>JULY!B117</f>
        <v>0</v>
      </c>
      <c r="I117" s="83">
        <f>AUGUST!B117</f>
        <v>0</v>
      </c>
      <c r="J117" s="83">
        <f>SEPTEMBER!B117</f>
        <v>0</v>
      </c>
      <c r="K117" s="83">
        <f>OCTOBER!B117</f>
        <v>0</v>
      </c>
      <c r="L117" s="83">
        <f>NOVEMBER!B117</f>
        <v>0</v>
      </c>
      <c r="M117" s="83">
        <f>DECEMBER!B117</f>
        <v>0</v>
      </c>
      <c r="N117" s="187">
        <f t="shared" si="6"/>
        <v>0</v>
      </c>
      <c r="O117" s="187">
        <f t="shared" si="7"/>
        <v>0</v>
      </c>
      <c r="P117" s="187">
        <f t="shared" si="8"/>
        <v>0</v>
      </c>
      <c r="Q117" s="187">
        <f t="shared" si="9"/>
        <v>0</v>
      </c>
      <c r="R117" s="198">
        <f t="shared" si="10"/>
        <v>0</v>
      </c>
      <c r="S117" s="186">
        <f>TARGET!B117</f>
        <v>0</v>
      </c>
      <c r="T117" s="208" t="e">
        <f t="shared" si="11"/>
        <v>#DIV/0!</v>
      </c>
    </row>
    <row r="118" spans="1:21" ht="15.75" customHeight="1" x14ac:dyDescent="0.2">
      <c r="A118" s="55" t="s">
        <v>249</v>
      </c>
      <c r="B118" s="195">
        <f>JANUARY!B118</f>
        <v>0</v>
      </c>
      <c r="C118" s="83">
        <f>FEBRUARY!B118</f>
        <v>0</v>
      </c>
      <c r="D118" s="83">
        <f>MARCH!B118</f>
        <v>0</v>
      </c>
      <c r="E118" s="83">
        <f>APRIL!B118</f>
        <v>0</v>
      </c>
      <c r="F118" s="83">
        <f>MAY!B118</f>
        <v>0</v>
      </c>
      <c r="G118" s="83">
        <f>JUNE!B118</f>
        <v>0</v>
      </c>
      <c r="H118" s="83">
        <f>JULY!B118</f>
        <v>0</v>
      </c>
      <c r="I118" s="83">
        <f>AUGUST!B118</f>
        <v>0</v>
      </c>
      <c r="J118" s="83">
        <f>SEPTEMBER!B118</f>
        <v>0</v>
      </c>
      <c r="K118" s="83">
        <f>OCTOBER!B118</f>
        <v>0</v>
      </c>
      <c r="L118" s="83">
        <f>NOVEMBER!B118</f>
        <v>0</v>
      </c>
      <c r="M118" s="83">
        <f>DECEMBER!B118</f>
        <v>0</v>
      </c>
      <c r="N118" s="187">
        <f t="shared" si="6"/>
        <v>0</v>
      </c>
      <c r="O118" s="187">
        <f t="shared" si="7"/>
        <v>0</v>
      </c>
      <c r="P118" s="187">
        <f t="shared" si="8"/>
        <v>0</v>
      </c>
      <c r="Q118" s="187">
        <f t="shared" si="9"/>
        <v>0</v>
      </c>
      <c r="R118" s="198">
        <f t="shared" si="10"/>
        <v>0</v>
      </c>
      <c r="S118" s="186">
        <f>TARGET!B118</f>
        <v>0</v>
      </c>
      <c r="T118" s="208" t="e">
        <f t="shared" si="11"/>
        <v>#DIV/0!</v>
      </c>
    </row>
    <row r="119" spans="1:21" ht="15.75" customHeight="1" x14ac:dyDescent="0.25">
      <c r="A119" s="57" t="s">
        <v>320</v>
      </c>
      <c r="B119" s="162">
        <f>JANUARY!B119</f>
        <v>0</v>
      </c>
      <c r="C119" s="162">
        <f>FEBRUARY!B119</f>
        <v>0</v>
      </c>
      <c r="D119" s="162">
        <f>MARCH!B119</f>
        <v>0</v>
      </c>
      <c r="E119" s="162">
        <f>APRIL!B119</f>
        <v>0</v>
      </c>
      <c r="F119" s="162">
        <f>MAY!B119</f>
        <v>0</v>
      </c>
      <c r="G119" s="162">
        <f>JUNE!B119</f>
        <v>0</v>
      </c>
      <c r="H119" s="162">
        <f>JULY!B119</f>
        <v>0</v>
      </c>
      <c r="I119" s="162">
        <f>AUGUST!B119</f>
        <v>0</v>
      </c>
      <c r="J119" s="162">
        <f>SEPTEMBER!B119</f>
        <v>0</v>
      </c>
      <c r="K119" s="162">
        <f>OCTOBER!B119</f>
        <v>0</v>
      </c>
      <c r="L119" s="162">
        <f>NOVEMBER!B119</f>
        <v>0</v>
      </c>
      <c r="M119" s="162">
        <f>DECEMBER!B119</f>
        <v>0</v>
      </c>
      <c r="N119" s="185">
        <f t="shared" si="6"/>
        <v>0</v>
      </c>
      <c r="O119" s="185">
        <f t="shared" si="7"/>
        <v>0</v>
      </c>
      <c r="P119" s="185">
        <f t="shared" si="8"/>
        <v>0</v>
      </c>
      <c r="Q119" s="185">
        <f t="shared" si="9"/>
        <v>0</v>
      </c>
      <c r="R119" s="197">
        <f t="shared" si="10"/>
        <v>0</v>
      </c>
      <c r="S119" s="162">
        <f>TARGET!B119</f>
        <v>0</v>
      </c>
      <c r="T119" s="208" t="e">
        <f t="shared" si="11"/>
        <v>#DIV/0!</v>
      </c>
      <c r="U119" s="280">
        <f>R119</f>
        <v>0</v>
      </c>
    </row>
    <row r="120" spans="1:21" ht="15.75" customHeight="1" x14ac:dyDescent="0.2">
      <c r="A120" s="55" t="s">
        <v>250</v>
      </c>
      <c r="B120" s="195">
        <f>JANUARY!B120</f>
        <v>0</v>
      </c>
      <c r="C120" s="83">
        <f>FEBRUARY!B120</f>
        <v>0</v>
      </c>
      <c r="D120" s="83">
        <f>MARCH!B120</f>
        <v>0</v>
      </c>
      <c r="E120" s="83">
        <f>APRIL!B120</f>
        <v>0</v>
      </c>
      <c r="F120" s="83">
        <f>MAY!B120</f>
        <v>0</v>
      </c>
      <c r="G120" s="83">
        <f>JUNE!B120</f>
        <v>0</v>
      </c>
      <c r="H120" s="83">
        <f>JULY!B120</f>
        <v>0</v>
      </c>
      <c r="I120" s="83">
        <f>AUGUST!B120</f>
        <v>0</v>
      </c>
      <c r="J120" s="83">
        <f>SEPTEMBER!B120</f>
        <v>0</v>
      </c>
      <c r="K120" s="83">
        <f>OCTOBER!B120</f>
        <v>0</v>
      </c>
      <c r="L120" s="83">
        <f>NOVEMBER!B120</f>
        <v>0</v>
      </c>
      <c r="M120" s="83">
        <f>DECEMBER!B120</f>
        <v>0</v>
      </c>
      <c r="N120" s="187">
        <f t="shared" si="6"/>
        <v>0</v>
      </c>
      <c r="O120" s="187">
        <f t="shared" si="7"/>
        <v>0</v>
      </c>
      <c r="P120" s="187">
        <f t="shared" si="8"/>
        <v>0</v>
      </c>
      <c r="Q120" s="187">
        <f t="shared" si="9"/>
        <v>0</v>
      </c>
      <c r="R120" s="198">
        <f t="shared" si="10"/>
        <v>0</v>
      </c>
      <c r="S120" s="186">
        <f>TARGET!B120</f>
        <v>0</v>
      </c>
      <c r="T120" s="208" t="e">
        <f t="shared" si="11"/>
        <v>#DIV/0!</v>
      </c>
    </row>
    <row r="121" spans="1:21" ht="15.75" customHeight="1" x14ac:dyDescent="0.2">
      <c r="A121" s="55" t="s">
        <v>251</v>
      </c>
      <c r="B121" s="195">
        <f>JANUARY!B121</f>
        <v>0</v>
      </c>
      <c r="C121" s="83">
        <f>FEBRUARY!B121</f>
        <v>0</v>
      </c>
      <c r="D121" s="83">
        <f>MARCH!B121</f>
        <v>0</v>
      </c>
      <c r="E121" s="83">
        <f>APRIL!B121</f>
        <v>0</v>
      </c>
      <c r="F121" s="83">
        <f>MAY!B121</f>
        <v>0</v>
      </c>
      <c r="G121" s="83">
        <f>JUNE!B121</f>
        <v>0</v>
      </c>
      <c r="H121" s="83">
        <f>JULY!B121</f>
        <v>0</v>
      </c>
      <c r="I121" s="83">
        <f>AUGUST!B121</f>
        <v>0</v>
      </c>
      <c r="J121" s="83">
        <f>SEPTEMBER!B121</f>
        <v>0</v>
      </c>
      <c r="K121" s="83">
        <f>OCTOBER!B121</f>
        <v>0</v>
      </c>
      <c r="L121" s="83">
        <f>NOVEMBER!B121</f>
        <v>0</v>
      </c>
      <c r="M121" s="83">
        <f>DECEMBER!B121</f>
        <v>0</v>
      </c>
      <c r="N121" s="187">
        <f t="shared" si="6"/>
        <v>0</v>
      </c>
      <c r="O121" s="187">
        <f t="shared" si="7"/>
        <v>0</v>
      </c>
      <c r="P121" s="187">
        <f t="shared" si="8"/>
        <v>0</v>
      </c>
      <c r="Q121" s="187">
        <f t="shared" si="9"/>
        <v>0</v>
      </c>
      <c r="R121" s="198">
        <f t="shared" si="10"/>
        <v>0</v>
      </c>
      <c r="S121" s="186">
        <f>TARGET!B121</f>
        <v>0</v>
      </c>
      <c r="T121" s="208" t="e">
        <f t="shared" si="11"/>
        <v>#DIV/0!</v>
      </c>
    </row>
    <row r="122" spans="1:21" ht="15.75" customHeight="1" x14ac:dyDescent="0.2">
      <c r="A122" s="57" t="s">
        <v>270</v>
      </c>
      <c r="B122" s="195">
        <f>JANUARY!B122</f>
        <v>0</v>
      </c>
      <c r="C122" s="83">
        <f>FEBRUARY!B122</f>
        <v>0</v>
      </c>
      <c r="D122" s="83">
        <f>MARCH!B122</f>
        <v>0</v>
      </c>
      <c r="E122" s="83">
        <f>APRIL!B122</f>
        <v>0</v>
      </c>
      <c r="F122" s="83">
        <f>MAY!B122</f>
        <v>0</v>
      </c>
      <c r="G122" s="83">
        <f>JUNE!B122</f>
        <v>0</v>
      </c>
      <c r="H122" s="83">
        <f>JULY!B122</f>
        <v>0</v>
      </c>
      <c r="I122" s="83">
        <f>AUGUST!B122</f>
        <v>0</v>
      </c>
      <c r="J122" s="83">
        <f>SEPTEMBER!B122</f>
        <v>0</v>
      </c>
      <c r="K122" s="83">
        <f>OCTOBER!B122</f>
        <v>0</v>
      </c>
      <c r="L122" s="83">
        <f>NOVEMBER!B122</f>
        <v>0</v>
      </c>
      <c r="M122" s="83">
        <f>DECEMBER!B122</f>
        <v>0</v>
      </c>
      <c r="N122" s="187">
        <f t="shared" si="6"/>
        <v>0</v>
      </c>
      <c r="O122" s="187">
        <f t="shared" si="7"/>
        <v>0</v>
      </c>
      <c r="P122" s="187">
        <f t="shared" si="8"/>
        <v>0</v>
      </c>
      <c r="Q122" s="187">
        <f t="shared" si="9"/>
        <v>0</v>
      </c>
      <c r="R122" s="198">
        <f t="shared" si="10"/>
        <v>0</v>
      </c>
      <c r="S122" s="186">
        <f>TARGET!B122</f>
        <v>0</v>
      </c>
      <c r="T122" s="208" t="e">
        <f t="shared" si="11"/>
        <v>#DIV/0!</v>
      </c>
    </row>
    <row r="123" spans="1:21" ht="15.75" customHeight="1" x14ac:dyDescent="0.25">
      <c r="A123" s="56" t="s">
        <v>73</v>
      </c>
      <c r="B123" s="162">
        <f>JANUARY!B123</f>
        <v>124</v>
      </c>
      <c r="C123" s="162">
        <f>FEBRUARY!B123</f>
        <v>22</v>
      </c>
      <c r="D123" s="162">
        <f>MARCH!B123</f>
        <v>26</v>
      </c>
      <c r="E123" s="162">
        <f>APRIL!B123</f>
        <v>58</v>
      </c>
      <c r="F123" s="162">
        <f>MAY!B123</f>
        <v>21</v>
      </c>
      <c r="G123" s="162">
        <f>JUNE!B123</f>
        <v>22</v>
      </c>
      <c r="H123" s="162">
        <f>JULY!B123</f>
        <v>79</v>
      </c>
      <c r="I123" s="162">
        <f>AUGUST!B123</f>
        <v>0</v>
      </c>
      <c r="J123" s="162">
        <f>SEPTEMBER!B123</f>
        <v>81</v>
      </c>
      <c r="K123" s="162">
        <f>OCTOBER!B123</f>
        <v>24</v>
      </c>
      <c r="L123" s="162">
        <f>NOVEMBER!B123</f>
        <v>0</v>
      </c>
      <c r="M123" s="162">
        <f>DECEMBER!B123</f>
        <v>0</v>
      </c>
      <c r="N123" s="185">
        <f t="shared" si="6"/>
        <v>172</v>
      </c>
      <c r="O123" s="185">
        <f t="shared" si="7"/>
        <v>101</v>
      </c>
      <c r="P123" s="185">
        <f t="shared" si="8"/>
        <v>160</v>
      </c>
      <c r="Q123" s="185">
        <f t="shared" si="9"/>
        <v>24</v>
      </c>
      <c r="R123" s="197">
        <f t="shared" si="10"/>
        <v>457</v>
      </c>
      <c r="S123" s="162">
        <f>TARGET!B123</f>
        <v>0</v>
      </c>
      <c r="T123" s="208" t="e">
        <f t="shared" si="11"/>
        <v>#DIV/0!</v>
      </c>
    </row>
    <row r="124" spans="1:21" ht="15.75" customHeight="1" x14ac:dyDescent="0.25">
      <c r="A124" s="57" t="s">
        <v>8</v>
      </c>
      <c r="B124" s="162">
        <f>JANUARY!B124</f>
        <v>124</v>
      </c>
      <c r="C124" s="162">
        <f>FEBRUARY!B124</f>
        <v>22</v>
      </c>
      <c r="D124" s="162">
        <f>MARCH!B124</f>
        <v>26</v>
      </c>
      <c r="E124" s="162">
        <f>APRIL!B124</f>
        <v>58</v>
      </c>
      <c r="F124" s="162">
        <f>MAY!B124</f>
        <v>21</v>
      </c>
      <c r="G124" s="162">
        <f>JUNE!B124</f>
        <v>22</v>
      </c>
      <c r="H124" s="162">
        <f>JULY!B124</f>
        <v>79</v>
      </c>
      <c r="I124" s="162">
        <f>AUGUST!B124</f>
        <v>0</v>
      </c>
      <c r="J124" s="162">
        <f>SEPTEMBER!B124</f>
        <v>81</v>
      </c>
      <c r="K124" s="162">
        <f>OCTOBER!B124</f>
        <v>24</v>
      </c>
      <c r="L124" s="162">
        <f>NOVEMBER!B124</f>
        <v>0</v>
      </c>
      <c r="M124" s="162">
        <f>DECEMBER!B124</f>
        <v>0</v>
      </c>
      <c r="N124" s="185">
        <f t="shared" si="6"/>
        <v>172</v>
      </c>
      <c r="O124" s="185">
        <f t="shared" si="7"/>
        <v>101</v>
      </c>
      <c r="P124" s="185">
        <f t="shared" si="8"/>
        <v>160</v>
      </c>
      <c r="Q124" s="185">
        <f t="shared" si="9"/>
        <v>24</v>
      </c>
      <c r="R124" s="197">
        <f t="shared" si="10"/>
        <v>457</v>
      </c>
      <c r="S124" s="162">
        <f>TARGET!B124</f>
        <v>0</v>
      </c>
      <c r="T124" s="208" t="e">
        <f t="shared" si="11"/>
        <v>#DIV/0!</v>
      </c>
    </row>
    <row r="125" spans="1:21" ht="15.75" customHeight="1" x14ac:dyDescent="0.25">
      <c r="A125" s="55" t="s">
        <v>9</v>
      </c>
      <c r="B125" s="162">
        <f>JANUARY!B125</f>
        <v>124</v>
      </c>
      <c r="C125" s="162">
        <f>FEBRUARY!B125</f>
        <v>22</v>
      </c>
      <c r="D125" s="162">
        <f>MARCH!B125</f>
        <v>26</v>
      </c>
      <c r="E125" s="162">
        <f>APRIL!B125</f>
        <v>58</v>
      </c>
      <c r="F125" s="162">
        <f>MAY!B125</f>
        <v>21</v>
      </c>
      <c r="G125" s="162">
        <f>JUNE!B125</f>
        <v>22</v>
      </c>
      <c r="H125" s="162">
        <f>JULY!B125</f>
        <v>79</v>
      </c>
      <c r="I125" s="162">
        <f>AUGUST!B125</f>
        <v>0</v>
      </c>
      <c r="J125" s="162">
        <f>SEPTEMBER!B125</f>
        <v>81</v>
      </c>
      <c r="K125" s="162">
        <f>OCTOBER!B125</f>
        <v>20</v>
      </c>
      <c r="L125" s="162">
        <f>NOVEMBER!B125</f>
        <v>0</v>
      </c>
      <c r="M125" s="162">
        <f>DECEMBER!B125</f>
        <v>0</v>
      </c>
      <c r="N125" s="185">
        <f t="shared" si="6"/>
        <v>172</v>
      </c>
      <c r="O125" s="185">
        <f t="shared" si="7"/>
        <v>101</v>
      </c>
      <c r="P125" s="185">
        <f t="shared" si="8"/>
        <v>160</v>
      </c>
      <c r="Q125" s="185">
        <f t="shared" si="9"/>
        <v>20</v>
      </c>
      <c r="R125" s="197">
        <f t="shared" si="10"/>
        <v>453</v>
      </c>
      <c r="S125" s="162">
        <f>TARGET!B125</f>
        <v>0</v>
      </c>
      <c r="T125" s="208" t="e">
        <f t="shared" si="11"/>
        <v>#DIV/0!</v>
      </c>
    </row>
    <row r="126" spans="1:21" ht="15.75" customHeight="1" x14ac:dyDescent="0.25">
      <c r="A126" s="55" t="s">
        <v>264</v>
      </c>
      <c r="B126" s="162">
        <f>JANUARY!B126</f>
        <v>123</v>
      </c>
      <c r="C126" s="162">
        <f>FEBRUARY!B126</f>
        <v>22</v>
      </c>
      <c r="D126" s="162">
        <f>MARCH!B126</f>
        <v>0</v>
      </c>
      <c r="E126" s="162">
        <f>APRIL!B126</f>
        <v>0</v>
      </c>
      <c r="F126" s="162">
        <f>MAY!B126</f>
        <v>21</v>
      </c>
      <c r="G126" s="162">
        <f>JUNE!B126</f>
        <v>21</v>
      </c>
      <c r="H126" s="162">
        <f>JULY!B126</f>
        <v>79</v>
      </c>
      <c r="I126" s="162">
        <f>AUGUST!B126</f>
        <v>0</v>
      </c>
      <c r="J126" s="162">
        <f>SEPTEMBER!B126</f>
        <v>81</v>
      </c>
      <c r="K126" s="162">
        <f>OCTOBER!B126</f>
        <v>20</v>
      </c>
      <c r="L126" s="162">
        <f>NOVEMBER!B126</f>
        <v>0</v>
      </c>
      <c r="M126" s="162">
        <f>DECEMBER!B126</f>
        <v>0</v>
      </c>
      <c r="N126" s="185">
        <f t="shared" si="6"/>
        <v>145</v>
      </c>
      <c r="O126" s="185">
        <f t="shared" si="7"/>
        <v>42</v>
      </c>
      <c r="P126" s="185">
        <f t="shared" si="8"/>
        <v>160</v>
      </c>
      <c r="Q126" s="185">
        <f t="shared" si="9"/>
        <v>20</v>
      </c>
      <c r="R126" s="197">
        <f t="shared" si="10"/>
        <v>367</v>
      </c>
      <c r="S126" s="162">
        <f>TARGET!B126</f>
        <v>0</v>
      </c>
      <c r="T126" s="208" t="e">
        <f t="shared" si="11"/>
        <v>#DIV/0!</v>
      </c>
    </row>
    <row r="127" spans="1:21" ht="15.75" customHeight="1" x14ac:dyDescent="0.2">
      <c r="A127" s="55" t="s">
        <v>265</v>
      </c>
      <c r="B127" s="195">
        <f>JANUARY!B127</f>
        <v>40</v>
      </c>
      <c r="C127" s="83">
        <f>FEBRUARY!B127</f>
        <v>14</v>
      </c>
      <c r="D127" s="83">
        <f>MARCH!B127</f>
        <v>0</v>
      </c>
      <c r="E127" s="83">
        <f>APRIL!B127</f>
        <v>0</v>
      </c>
      <c r="F127" s="83">
        <f>MAY!B127</f>
        <v>21</v>
      </c>
      <c r="G127" s="83">
        <f>JUNE!B127</f>
        <v>19</v>
      </c>
      <c r="H127" s="83">
        <f>JULY!B127</f>
        <v>45</v>
      </c>
      <c r="I127" s="83">
        <f>AUGUST!B127</f>
        <v>0</v>
      </c>
      <c r="J127" s="83">
        <f>SEPTEMBER!B127</f>
        <v>47</v>
      </c>
      <c r="K127" s="83">
        <f>OCTOBER!B127</f>
        <v>13</v>
      </c>
      <c r="L127" s="83">
        <f>NOVEMBER!B127</f>
        <v>0</v>
      </c>
      <c r="M127" s="83">
        <f>DECEMBER!B127</f>
        <v>0</v>
      </c>
      <c r="N127" s="187">
        <f t="shared" si="6"/>
        <v>54</v>
      </c>
      <c r="O127" s="187">
        <f t="shared" si="7"/>
        <v>40</v>
      </c>
      <c r="P127" s="187">
        <f t="shared" si="8"/>
        <v>92</v>
      </c>
      <c r="Q127" s="187">
        <f t="shared" si="9"/>
        <v>13</v>
      </c>
      <c r="R127" s="198">
        <f t="shared" si="10"/>
        <v>199</v>
      </c>
      <c r="S127" s="186">
        <f>TARGET!B127</f>
        <v>0</v>
      </c>
      <c r="T127" s="208" t="e">
        <f t="shared" si="11"/>
        <v>#DIV/0!</v>
      </c>
    </row>
    <row r="128" spans="1:21" ht="15.75" customHeight="1" x14ac:dyDescent="0.2">
      <c r="A128" s="55" t="s">
        <v>266</v>
      </c>
      <c r="B128" s="195">
        <f>JANUARY!B128</f>
        <v>83</v>
      </c>
      <c r="C128" s="83">
        <f>FEBRUARY!B128</f>
        <v>8</v>
      </c>
      <c r="D128" s="83">
        <f>MARCH!B128</f>
        <v>0</v>
      </c>
      <c r="E128" s="83">
        <f>APRIL!B128</f>
        <v>0</v>
      </c>
      <c r="F128" s="83">
        <f>MAY!B128</f>
        <v>0</v>
      </c>
      <c r="G128" s="83">
        <f>JUNE!B128</f>
        <v>2</v>
      </c>
      <c r="H128" s="83">
        <f>JULY!B128</f>
        <v>34</v>
      </c>
      <c r="I128" s="83">
        <f>AUGUST!B128</f>
        <v>0</v>
      </c>
      <c r="J128" s="83">
        <f>SEPTEMBER!B128</f>
        <v>34</v>
      </c>
      <c r="K128" s="83">
        <f>OCTOBER!B128</f>
        <v>7</v>
      </c>
      <c r="L128" s="83">
        <f>NOVEMBER!B128</f>
        <v>0</v>
      </c>
      <c r="M128" s="83">
        <f>DECEMBER!B128</f>
        <v>0</v>
      </c>
      <c r="N128" s="187">
        <f t="shared" si="6"/>
        <v>91</v>
      </c>
      <c r="O128" s="187">
        <f t="shared" si="7"/>
        <v>2</v>
      </c>
      <c r="P128" s="187">
        <f t="shared" si="8"/>
        <v>68</v>
      </c>
      <c r="Q128" s="187">
        <f t="shared" si="9"/>
        <v>7</v>
      </c>
      <c r="R128" s="198">
        <f t="shared" si="10"/>
        <v>168</v>
      </c>
      <c r="S128" s="186">
        <f>TARGET!B128</f>
        <v>0</v>
      </c>
      <c r="T128" s="208" t="e">
        <f t="shared" si="11"/>
        <v>#DIV/0!</v>
      </c>
    </row>
    <row r="129" spans="1:20" ht="15.75" customHeight="1" x14ac:dyDescent="0.25">
      <c r="A129" s="55" t="s">
        <v>267</v>
      </c>
      <c r="B129" s="162">
        <f>JANUARY!B129</f>
        <v>1</v>
      </c>
      <c r="C129" s="162">
        <f>FEBRUARY!B129</f>
        <v>0</v>
      </c>
      <c r="D129" s="162">
        <f>MARCH!B129</f>
        <v>26</v>
      </c>
      <c r="E129" s="162">
        <f>APRIL!B129</f>
        <v>58</v>
      </c>
      <c r="F129" s="162">
        <f>MAY!B129</f>
        <v>0</v>
      </c>
      <c r="G129" s="162">
        <f>JUNE!B129</f>
        <v>1</v>
      </c>
      <c r="H129" s="162">
        <f>JULY!B129</f>
        <v>0</v>
      </c>
      <c r="I129" s="162">
        <f>AUGUST!B129</f>
        <v>0</v>
      </c>
      <c r="J129" s="162">
        <f>SEPTEMBER!B129</f>
        <v>0</v>
      </c>
      <c r="K129" s="162">
        <f>OCTOBER!B129</f>
        <v>0</v>
      </c>
      <c r="L129" s="162">
        <f>NOVEMBER!B129</f>
        <v>0</v>
      </c>
      <c r="M129" s="162">
        <f>DECEMBER!B129</f>
        <v>0</v>
      </c>
      <c r="N129" s="185">
        <f t="shared" si="6"/>
        <v>27</v>
      </c>
      <c r="O129" s="185">
        <f t="shared" si="7"/>
        <v>59</v>
      </c>
      <c r="P129" s="185">
        <f t="shared" si="8"/>
        <v>0</v>
      </c>
      <c r="Q129" s="185">
        <f t="shared" si="9"/>
        <v>0</v>
      </c>
      <c r="R129" s="197">
        <f t="shared" si="10"/>
        <v>86</v>
      </c>
      <c r="S129" s="162">
        <f>TARGET!B129</f>
        <v>0</v>
      </c>
      <c r="T129" s="208" t="e">
        <f t="shared" si="11"/>
        <v>#DIV/0!</v>
      </c>
    </row>
    <row r="130" spans="1:20" ht="15.75" customHeight="1" x14ac:dyDescent="0.2">
      <c r="A130" s="55" t="s">
        <v>268</v>
      </c>
      <c r="B130" s="195">
        <f>JANUARY!B130</f>
        <v>0</v>
      </c>
      <c r="C130" s="83">
        <f>FEBRUARY!B130</f>
        <v>0</v>
      </c>
      <c r="D130" s="83">
        <f>MARCH!B130</f>
        <v>26</v>
      </c>
      <c r="E130" s="83">
        <f>APRIL!B130</f>
        <v>33</v>
      </c>
      <c r="F130" s="83">
        <f>MAY!B130</f>
        <v>0</v>
      </c>
      <c r="G130" s="83">
        <f>JUNE!B130</f>
        <v>1</v>
      </c>
      <c r="H130" s="83">
        <f>JULY!B130</f>
        <v>0</v>
      </c>
      <c r="I130" s="83">
        <f>AUGUST!B130</f>
        <v>0</v>
      </c>
      <c r="J130" s="83">
        <f>SEPTEMBER!B130</f>
        <v>0</v>
      </c>
      <c r="K130" s="83">
        <f>OCTOBER!B130</f>
        <v>0</v>
      </c>
      <c r="L130" s="83">
        <f>NOVEMBER!B130</f>
        <v>0</v>
      </c>
      <c r="M130" s="83">
        <f>DECEMBER!B130</f>
        <v>0</v>
      </c>
      <c r="N130" s="187">
        <f t="shared" si="6"/>
        <v>26</v>
      </c>
      <c r="O130" s="187">
        <f t="shared" si="7"/>
        <v>34</v>
      </c>
      <c r="P130" s="187">
        <f t="shared" si="8"/>
        <v>0</v>
      </c>
      <c r="Q130" s="187">
        <f t="shared" si="9"/>
        <v>0</v>
      </c>
      <c r="R130" s="198">
        <f t="shared" si="10"/>
        <v>60</v>
      </c>
      <c r="S130" s="186">
        <f>TARGET!B130</f>
        <v>0</v>
      </c>
      <c r="T130" s="208" t="e">
        <f t="shared" si="11"/>
        <v>#DIV/0!</v>
      </c>
    </row>
    <row r="131" spans="1:20" ht="15.75" customHeight="1" x14ac:dyDescent="0.2">
      <c r="A131" s="55" t="s">
        <v>269</v>
      </c>
      <c r="B131" s="195">
        <f>JANUARY!B131</f>
        <v>1</v>
      </c>
      <c r="C131" s="83">
        <f>FEBRUARY!B131</f>
        <v>0</v>
      </c>
      <c r="D131" s="83">
        <f>MARCH!B131</f>
        <v>0</v>
      </c>
      <c r="E131" s="83">
        <f>APRIL!B131</f>
        <v>25</v>
      </c>
      <c r="F131" s="83">
        <f>MAY!B131</f>
        <v>0</v>
      </c>
      <c r="G131" s="83">
        <f>JUNE!B131</f>
        <v>0</v>
      </c>
      <c r="H131" s="83">
        <f>JULY!B131</f>
        <v>0</v>
      </c>
      <c r="I131" s="83">
        <f>AUGUST!B131</f>
        <v>0</v>
      </c>
      <c r="J131" s="83">
        <f>SEPTEMBER!B131</f>
        <v>0</v>
      </c>
      <c r="K131" s="83">
        <f>OCTOBER!B131</f>
        <v>0</v>
      </c>
      <c r="L131" s="83">
        <f>NOVEMBER!B131</f>
        <v>0</v>
      </c>
      <c r="M131" s="83">
        <f>DECEMBER!B131</f>
        <v>0</v>
      </c>
      <c r="N131" s="187">
        <f t="shared" si="6"/>
        <v>1</v>
      </c>
      <c r="O131" s="187">
        <f t="shared" si="7"/>
        <v>25</v>
      </c>
      <c r="P131" s="187">
        <f t="shared" si="8"/>
        <v>0</v>
      </c>
      <c r="Q131" s="187">
        <f t="shared" si="9"/>
        <v>0</v>
      </c>
      <c r="R131" s="198">
        <f t="shared" si="10"/>
        <v>26</v>
      </c>
      <c r="S131" s="186">
        <f>TARGET!B131</f>
        <v>0</v>
      </c>
      <c r="T131" s="208" t="e">
        <f t="shared" si="11"/>
        <v>#DIV/0!</v>
      </c>
    </row>
    <row r="132" spans="1:20" ht="15.75" customHeight="1" x14ac:dyDescent="0.25">
      <c r="A132" s="55" t="s">
        <v>10</v>
      </c>
      <c r="B132" s="162">
        <f>JANUARY!B132</f>
        <v>0</v>
      </c>
      <c r="C132" s="162">
        <f>FEBRUARY!B132</f>
        <v>0</v>
      </c>
      <c r="D132" s="162">
        <f>MARCH!B132</f>
        <v>0</v>
      </c>
      <c r="E132" s="162">
        <f>APRIL!B132</f>
        <v>0</v>
      </c>
      <c r="F132" s="162">
        <f>MAY!B132</f>
        <v>0</v>
      </c>
      <c r="G132" s="162">
        <f>JUNE!B132</f>
        <v>0</v>
      </c>
      <c r="H132" s="162">
        <f>JULY!B132</f>
        <v>0</v>
      </c>
      <c r="I132" s="162">
        <f>AUGUST!B132</f>
        <v>0</v>
      </c>
      <c r="J132" s="162">
        <f>SEPTEMBER!B132</f>
        <v>0</v>
      </c>
      <c r="K132" s="162">
        <f>OCTOBER!B132</f>
        <v>4</v>
      </c>
      <c r="L132" s="162">
        <f>NOVEMBER!B132</f>
        <v>0</v>
      </c>
      <c r="M132" s="162">
        <f>DECEMBER!B132</f>
        <v>0</v>
      </c>
      <c r="N132" s="185">
        <f t="shared" si="6"/>
        <v>0</v>
      </c>
      <c r="O132" s="185">
        <f t="shared" si="7"/>
        <v>0</v>
      </c>
      <c r="P132" s="185">
        <f t="shared" si="8"/>
        <v>0</v>
      </c>
      <c r="Q132" s="185">
        <f t="shared" si="9"/>
        <v>4</v>
      </c>
      <c r="R132" s="197">
        <f t="shared" si="10"/>
        <v>4</v>
      </c>
      <c r="S132" s="162">
        <f>TARGET!B132</f>
        <v>0</v>
      </c>
      <c r="T132" s="208" t="e">
        <f t="shared" si="11"/>
        <v>#DIV/0!</v>
      </c>
    </row>
    <row r="133" spans="1:20" ht="15.75" customHeight="1" x14ac:dyDescent="0.2">
      <c r="A133" s="55" t="s">
        <v>74</v>
      </c>
      <c r="B133" s="195">
        <f>JANUARY!B133</f>
        <v>0</v>
      </c>
      <c r="C133" s="83">
        <f>FEBRUARY!B133</f>
        <v>0</v>
      </c>
      <c r="D133" s="83">
        <f>MARCH!B133</f>
        <v>0</v>
      </c>
      <c r="E133" s="83">
        <f>APRIL!B133</f>
        <v>0</v>
      </c>
      <c r="F133" s="83">
        <f>MAY!B133</f>
        <v>0</v>
      </c>
      <c r="G133" s="83">
        <f>JUNE!B133</f>
        <v>0</v>
      </c>
      <c r="H133" s="83">
        <f>JULY!B133</f>
        <v>0</v>
      </c>
      <c r="I133" s="83">
        <f>AUGUST!B133</f>
        <v>0</v>
      </c>
      <c r="J133" s="83">
        <f>SEPTEMBER!B133</f>
        <v>0</v>
      </c>
      <c r="K133" s="83">
        <f>OCTOBER!B133</f>
        <v>4</v>
      </c>
      <c r="L133" s="83">
        <f>NOVEMBER!B133</f>
        <v>0</v>
      </c>
      <c r="M133" s="83">
        <f>DECEMBER!B133</f>
        <v>0</v>
      </c>
      <c r="N133" s="187">
        <f t="shared" si="6"/>
        <v>0</v>
      </c>
      <c r="O133" s="187">
        <f t="shared" si="7"/>
        <v>0</v>
      </c>
      <c r="P133" s="187">
        <f t="shared" si="8"/>
        <v>0</v>
      </c>
      <c r="Q133" s="187">
        <f t="shared" si="9"/>
        <v>4</v>
      </c>
      <c r="R133" s="198">
        <f t="shared" si="10"/>
        <v>4</v>
      </c>
      <c r="S133" s="186">
        <f>TARGET!B133</f>
        <v>0</v>
      </c>
      <c r="T133" s="208" t="e">
        <f t="shared" si="11"/>
        <v>#DIV/0!</v>
      </c>
    </row>
    <row r="134" spans="1:20" ht="15.75" customHeight="1" x14ac:dyDescent="0.2">
      <c r="A134" s="55" t="s">
        <v>203</v>
      </c>
      <c r="B134" s="195">
        <f>JANUARY!B134</f>
        <v>0</v>
      </c>
      <c r="C134" s="83">
        <f>FEBRUARY!B134</f>
        <v>0</v>
      </c>
      <c r="D134" s="83">
        <f>MARCH!B134</f>
        <v>0</v>
      </c>
      <c r="E134" s="83">
        <f>APRIL!B134</f>
        <v>0</v>
      </c>
      <c r="F134" s="83">
        <f>MAY!B134</f>
        <v>0</v>
      </c>
      <c r="G134" s="83">
        <f>JUNE!B134</f>
        <v>0</v>
      </c>
      <c r="H134" s="83">
        <f>JULY!B134</f>
        <v>0</v>
      </c>
      <c r="I134" s="83">
        <f>AUGUST!B134</f>
        <v>0</v>
      </c>
      <c r="J134" s="83">
        <f>SEPTEMBER!B134</f>
        <v>0</v>
      </c>
      <c r="K134" s="83">
        <f>OCTOBER!B134</f>
        <v>0</v>
      </c>
      <c r="L134" s="83">
        <f>NOVEMBER!B134</f>
        <v>0</v>
      </c>
      <c r="M134" s="83">
        <f>DECEMBER!B134</f>
        <v>0</v>
      </c>
      <c r="N134" s="187">
        <f t="shared" si="6"/>
        <v>0</v>
      </c>
      <c r="O134" s="187">
        <f t="shared" si="7"/>
        <v>0</v>
      </c>
      <c r="P134" s="187">
        <f t="shared" si="8"/>
        <v>0</v>
      </c>
      <c r="Q134" s="187">
        <f t="shared" si="9"/>
        <v>0</v>
      </c>
      <c r="R134" s="198">
        <f t="shared" si="10"/>
        <v>0</v>
      </c>
      <c r="S134" s="186">
        <f>TARGET!B134</f>
        <v>0</v>
      </c>
      <c r="T134" s="208" t="e">
        <f t="shared" si="11"/>
        <v>#DIV/0!</v>
      </c>
    </row>
    <row r="135" spans="1:20" ht="15.75" customHeight="1" x14ac:dyDescent="0.25">
      <c r="A135" s="55" t="s">
        <v>11</v>
      </c>
      <c r="B135" s="162">
        <f>JANUARY!B135</f>
        <v>0</v>
      </c>
      <c r="C135" s="162">
        <f>FEBRUARY!B135</f>
        <v>0</v>
      </c>
      <c r="D135" s="162">
        <f>MARCH!B135</f>
        <v>0</v>
      </c>
      <c r="E135" s="162">
        <f>APRIL!B135</f>
        <v>0</v>
      </c>
      <c r="F135" s="162">
        <f>MAY!B135</f>
        <v>0</v>
      </c>
      <c r="G135" s="162">
        <f>JUNE!B135</f>
        <v>0</v>
      </c>
      <c r="H135" s="162">
        <f>JULY!B135</f>
        <v>0</v>
      </c>
      <c r="I135" s="162">
        <f>AUGUST!B135</f>
        <v>0</v>
      </c>
      <c r="J135" s="162">
        <f>SEPTEMBER!B135</f>
        <v>0</v>
      </c>
      <c r="K135" s="162">
        <f>OCTOBER!B135</f>
        <v>0</v>
      </c>
      <c r="L135" s="162">
        <f>NOVEMBER!B135</f>
        <v>0</v>
      </c>
      <c r="M135" s="162">
        <f>DECEMBER!B135</f>
        <v>0</v>
      </c>
      <c r="N135" s="185">
        <f t="shared" si="6"/>
        <v>0</v>
      </c>
      <c r="O135" s="185">
        <f t="shared" si="7"/>
        <v>0</v>
      </c>
      <c r="P135" s="185">
        <f t="shared" si="8"/>
        <v>0</v>
      </c>
      <c r="Q135" s="185">
        <f t="shared" si="9"/>
        <v>0</v>
      </c>
      <c r="R135" s="197">
        <f t="shared" si="10"/>
        <v>0</v>
      </c>
      <c r="S135" s="162">
        <f>TARGET!B135</f>
        <v>0</v>
      </c>
      <c r="T135" s="208" t="e">
        <f t="shared" si="11"/>
        <v>#DIV/0!</v>
      </c>
    </row>
    <row r="136" spans="1:20" ht="15.75" customHeight="1" x14ac:dyDescent="0.2">
      <c r="A136" s="55" t="s">
        <v>75</v>
      </c>
      <c r="B136" s="195">
        <f>JANUARY!B136</f>
        <v>0</v>
      </c>
      <c r="C136" s="83">
        <f>FEBRUARY!B136</f>
        <v>0</v>
      </c>
      <c r="D136" s="83">
        <f>MARCH!B136</f>
        <v>0</v>
      </c>
      <c r="E136" s="83">
        <f>APRIL!B136</f>
        <v>0</v>
      </c>
      <c r="F136" s="83">
        <f>MAY!B136</f>
        <v>0</v>
      </c>
      <c r="G136" s="83">
        <f>JUNE!B136</f>
        <v>0</v>
      </c>
      <c r="H136" s="83">
        <f>JULY!B136</f>
        <v>0</v>
      </c>
      <c r="I136" s="83">
        <f>AUGUST!B136</f>
        <v>0</v>
      </c>
      <c r="J136" s="83">
        <f>SEPTEMBER!B136</f>
        <v>0</v>
      </c>
      <c r="K136" s="83">
        <f>OCTOBER!B136</f>
        <v>0</v>
      </c>
      <c r="L136" s="83">
        <f>NOVEMBER!B136</f>
        <v>0</v>
      </c>
      <c r="M136" s="83">
        <f>DECEMBER!B136</f>
        <v>0</v>
      </c>
      <c r="N136" s="187">
        <f t="shared" si="6"/>
        <v>0</v>
      </c>
      <c r="O136" s="187">
        <f t="shared" si="7"/>
        <v>0</v>
      </c>
      <c r="P136" s="187">
        <f t="shared" si="8"/>
        <v>0</v>
      </c>
      <c r="Q136" s="187">
        <f t="shared" si="9"/>
        <v>0</v>
      </c>
      <c r="R136" s="198">
        <f t="shared" si="10"/>
        <v>0</v>
      </c>
      <c r="S136" s="186">
        <f>TARGET!B136</f>
        <v>0</v>
      </c>
      <c r="T136" s="208" t="e">
        <f t="shared" si="11"/>
        <v>#DIV/0!</v>
      </c>
    </row>
    <row r="137" spans="1:20" ht="15.75" customHeight="1" x14ac:dyDescent="0.2">
      <c r="A137" s="55" t="s">
        <v>204</v>
      </c>
      <c r="B137" s="195">
        <f>JANUARY!B137</f>
        <v>0</v>
      </c>
      <c r="C137" s="83">
        <f>FEBRUARY!B137</f>
        <v>0</v>
      </c>
      <c r="D137" s="83">
        <f>MARCH!B137</f>
        <v>0</v>
      </c>
      <c r="E137" s="83">
        <f>APRIL!B137</f>
        <v>0</v>
      </c>
      <c r="F137" s="83">
        <f>MAY!B137</f>
        <v>0</v>
      </c>
      <c r="G137" s="83">
        <f>JUNE!B137</f>
        <v>0</v>
      </c>
      <c r="H137" s="83">
        <f>JULY!B137</f>
        <v>0</v>
      </c>
      <c r="I137" s="83">
        <f>AUGUST!B137</f>
        <v>0</v>
      </c>
      <c r="J137" s="83">
        <f>SEPTEMBER!B137</f>
        <v>0</v>
      </c>
      <c r="K137" s="83">
        <f>OCTOBER!B137</f>
        <v>0</v>
      </c>
      <c r="L137" s="83">
        <f>NOVEMBER!B137</f>
        <v>0</v>
      </c>
      <c r="M137" s="83">
        <f>DECEMBER!B137</f>
        <v>0</v>
      </c>
      <c r="N137" s="187">
        <f t="shared" si="6"/>
        <v>0</v>
      </c>
      <c r="O137" s="187">
        <f t="shared" si="7"/>
        <v>0</v>
      </c>
      <c r="P137" s="187">
        <f t="shared" si="8"/>
        <v>0</v>
      </c>
      <c r="Q137" s="187">
        <f t="shared" si="9"/>
        <v>0</v>
      </c>
      <c r="R137" s="198">
        <f t="shared" si="10"/>
        <v>0</v>
      </c>
      <c r="S137" s="186">
        <f>TARGET!B137</f>
        <v>0</v>
      </c>
      <c r="T137" s="208" t="e">
        <f t="shared" si="11"/>
        <v>#DIV/0!</v>
      </c>
    </row>
    <row r="138" spans="1:20" ht="15.75" customHeight="1" x14ac:dyDescent="0.2">
      <c r="A138" s="55" t="s">
        <v>321</v>
      </c>
      <c r="B138" s="195">
        <f>JANUARY!B138</f>
        <v>0</v>
      </c>
      <c r="C138" s="83">
        <f>FEBRUARY!B138</f>
        <v>0</v>
      </c>
      <c r="D138" s="83">
        <f>MARCH!B138</f>
        <v>0</v>
      </c>
      <c r="E138" s="83">
        <f>APRIL!B138</f>
        <v>0</v>
      </c>
      <c r="F138" s="83">
        <f>MAY!B138</f>
        <v>0</v>
      </c>
      <c r="G138" s="83">
        <f>JUNE!B138</f>
        <v>0</v>
      </c>
      <c r="H138" s="83">
        <f>JULY!B138</f>
        <v>0</v>
      </c>
      <c r="I138" s="83">
        <f>AUGUST!B138</f>
        <v>0</v>
      </c>
      <c r="J138" s="83">
        <f>SEPTEMBER!B138</f>
        <v>0</v>
      </c>
      <c r="K138" s="83">
        <f>OCTOBER!B138</f>
        <v>0</v>
      </c>
      <c r="L138" s="83">
        <f>NOVEMBER!B138</f>
        <v>0</v>
      </c>
      <c r="M138" s="83">
        <f>DECEMBER!B138</f>
        <v>0</v>
      </c>
      <c r="N138" s="187">
        <f t="shared" si="6"/>
        <v>0</v>
      </c>
      <c r="O138" s="187">
        <f t="shared" si="7"/>
        <v>0</v>
      </c>
      <c r="P138" s="187">
        <f t="shared" si="8"/>
        <v>0</v>
      </c>
      <c r="Q138" s="187">
        <f t="shared" si="9"/>
        <v>0</v>
      </c>
      <c r="R138" s="198">
        <f t="shared" si="10"/>
        <v>0</v>
      </c>
      <c r="S138" s="186">
        <f>TARGET!B138</f>
        <v>0</v>
      </c>
      <c r="T138" s="208" t="e">
        <f t="shared" si="11"/>
        <v>#DIV/0!</v>
      </c>
    </row>
    <row r="139" spans="1:20" ht="15.75" customHeight="1" x14ac:dyDescent="0.25">
      <c r="A139" s="55" t="s">
        <v>322</v>
      </c>
      <c r="B139" s="162">
        <f>JANUARY!B139</f>
        <v>0</v>
      </c>
      <c r="C139" s="162">
        <f>FEBRUARY!B139</f>
        <v>0</v>
      </c>
      <c r="D139" s="162">
        <f>MARCH!B139</f>
        <v>0</v>
      </c>
      <c r="E139" s="162">
        <f>APRIL!B139</f>
        <v>0</v>
      </c>
      <c r="F139" s="162">
        <f>MAY!B139</f>
        <v>0</v>
      </c>
      <c r="G139" s="162">
        <f>JUNE!B139</f>
        <v>0</v>
      </c>
      <c r="H139" s="162">
        <f>JULY!B139</f>
        <v>0</v>
      </c>
      <c r="I139" s="162">
        <f>AUGUST!B139</f>
        <v>0</v>
      </c>
      <c r="J139" s="162">
        <f>SEPTEMBER!B139</f>
        <v>0</v>
      </c>
      <c r="K139" s="162">
        <f>OCTOBER!B139</f>
        <v>0</v>
      </c>
      <c r="L139" s="162">
        <f>NOVEMBER!B139</f>
        <v>0</v>
      </c>
      <c r="M139" s="162">
        <f>DECEMBER!B139</f>
        <v>0</v>
      </c>
      <c r="N139" s="185">
        <f t="shared" si="6"/>
        <v>0</v>
      </c>
      <c r="O139" s="185">
        <f t="shared" si="7"/>
        <v>0</v>
      </c>
      <c r="P139" s="185">
        <f t="shared" si="8"/>
        <v>0</v>
      </c>
      <c r="Q139" s="185">
        <f t="shared" si="9"/>
        <v>0</v>
      </c>
      <c r="R139" s="197">
        <f t="shared" si="10"/>
        <v>0</v>
      </c>
      <c r="S139" s="162">
        <f>TARGET!B139</f>
        <v>0</v>
      </c>
      <c r="T139" s="208" t="e">
        <f t="shared" si="11"/>
        <v>#DIV/0!</v>
      </c>
    </row>
    <row r="140" spans="1:20" ht="15.75" customHeight="1" x14ac:dyDescent="0.25">
      <c r="A140" s="55" t="s">
        <v>150</v>
      </c>
      <c r="B140" s="162">
        <f>JANUARY!B140</f>
        <v>0</v>
      </c>
      <c r="C140" s="162">
        <f>FEBRUARY!B140</f>
        <v>0</v>
      </c>
      <c r="D140" s="162">
        <f>MARCH!B140</f>
        <v>0</v>
      </c>
      <c r="E140" s="162">
        <f>APRIL!B140</f>
        <v>0</v>
      </c>
      <c r="F140" s="162">
        <f>MAY!B140</f>
        <v>0</v>
      </c>
      <c r="G140" s="162">
        <f>JUNE!B140</f>
        <v>0</v>
      </c>
      <c r="H140" s="162">
        <f>JULY!B140</f>
        <v>0</v>
      </c>
      <c r="I140" s="162">
        <f>AUGUST!B140</f>
        <v>0</v>
      </c>
      <c r="J140" s="162">
        <f>SEPTEMBER!B140</f>
        <v>0</v>
      </c>
      <c r="K140" s="162">
        <f>OCTOBER!B140</f>
        <v>0</v>
      </c>
      <c r="L140" s="162">
        <f>NOVEMBER!B140</f>
        <v>0</v>
      </c>
      <c r="M140" s="162">
        <f>DECEMBER!B140</f>
        <v>0</v>
      </c>
      <c r="N140" s="185">
        <f t="shared" si="6"/>
        <v>0</v>
      </c>
      <c r="O140" s="185">
        <f t="shared" si="7"/>
        <v>0</v>
      </c>
      <c r="P140" s="185">
        <f t="shared" si="8"/>
        <v>0</v>
      </c>
      <c r="Q140" s="185">
        <f t="shared" si="9"/>
        <v>0</v>
      </c>
      <c r="R140" s="197">
        <f t="shared" si="10"/>
        <v>0</v>
      </c>
      <c r="S140" s="162">
        <f>TARGET!B140</f>
        <v>0</v>
      </c>
      <c r="T140" s="208" t="e">
        <f t="shared" si="11"/>
        <v>#DIV/0!</v>
      </c>
    </row>
    <row r="141" spans="1:20" ht="15.75" customHeight="1" x14ac:dyDescent="0.2">
      <c r="A141" s="55" t="s">
        <v>151</v>
      </c>
      <c r="B141" s="195">
        <f>JANUARY!B141</f>
        <v>0</v>
      </c>
      <c r="C141" s="83">
        <f>FEBRUARY!B141</f>
        <v>0</v>
      </c>
      <c r="D141" s="83">
        <f>MARCH!B141</f>
        <v>0</v>
      </c>
      <c r="E141" s="83">
        <f>APRIL!B141</f>
        <v>0</v>
      </c>
      <c r="F141" s="83">
        <f>MAY!B141</f>
        <v>0</v>
      </c>
      <c r="G141" s="83">
        <f>JUNE!B141</f>
        <v>0</v>
      </c>
      <c r="H141" s="83">
        <f>JULY!B141</f>
        <v>0</v>
      </c>
      <c r="I141" s="83">
        <f>AUGUST!B141</f>
        <v>0</v>
      </c>
      <c r="J141" s="83">
        <f>SEPTEMBER!B141</f>
        <v>0</v>
      </c>
      <c r="K141" s="83">
        <f>OCTOBER!B141</f>
        <v>0</v>
      </c>
      <c r="L141" s="83">
        <f>NOVEMBER!B141</f>
        <v>0</v>
      </c>
      <c r="M141" s="83">
        <f>DECEMBER!B141</f>
        <v>0</v>
      </c>
      <c r="N141" s="187">
        <f t="shared" si="6"/>
        <v>0</v>
      </c>
      <c r="O141" s="187">
        <f t="shared" si="7"/>
        <v>0</v>
      </c>
      <c r="P141" s="187">
        <f t="shared" si="8"/>
        <v>0</v>
      </c>
      <c r="Q141" s="187">
        <f t="shared" si="9"/>
        <v>0</v>
      </c>
      <c r="R141" s="198">
        <f t="shared" si="10"/>
        <v>0</v>
      </c>
      <c r="S141" s="186">
        <f>TARGET!B141</f>
        <v>0</v>
      </c>
      <c r="T141" s="208" t="e">
        <f t="shared" si="11"/>
        <v>#DIV/0!</v>
      </c>
    </row>
    <row r="142" spans="1:20" ht="15.75" customHeight="1" x14ac:dyDescent="0.2">
      <c r="A142" s="55" t="s">
        <v>252</v>
      </c>
      <c r="B142" s="195">
        <f>JANUARY!B142</f>
        <v>0</v>
      </c>
      <c r="C142" s="83">
        <f>FEBRUARY!B142</f>
        <v>0</v>
      </c>
      <c r="D142" s="83">
        <f>MARCH!B142</f>
        <v>0</v>
      </c>
      <c r="E142" s="83">
        <f>APRIL!B142</f>
        <v>0</v>
      </c>
      <c r="F142" s="83">
        <f>MAY!B142</f>
        <v>0</v>
      </c>
      <c r="G142" s="83">
        <f>JUNE!B142</f>
        <v>0</v>
      </c>
      <c r="H142" s="83">
        <f>JULY!B142</f>
        <v>0</v>
      </c>
      <c r="I142" s="83">
        <f>AUGUST!B142</f>
        <v>0</v>
      </c>
      <c r="J142" s="83">
        <f>SEPTEMBER!B142</f>
        <v>0</v>
      </c>
      <c r="K142" s="83">
        <f>OCTOBER!B142</f>
        <v>0</v>
      </c>
      <c r="L142" s="83">
        <f>NOVEMBER!B142</f>
        <v>0</v>
      </c>
      <c r="M142" s="83">
        <f>DECEMBER!B142</f>
        <v>0</v>
      </c>
      <c r="N142" s="187">
        <f t="shared" si="6"/>
        <v>0</v>
      </c>
      <c r="O142" s="187">
        <f t="shared" si="7"/>
        <v>0</v>
      </c>
      <c r="P142" s="187">
        <f t="shared" si="8"/>
        <v>0</v>
      </c>
      <c r="Q142" s="187">
        <f t="shared" si="9"/>
        <v>0</v>
      </c>
      <c r="R142" s="198">
        <f t="shared" si="10"/>
        <v>0</v>
      </c>
      <c r="S142" s="186">
        <f>TARGET!B142</f>
        <v>0</v>
      </c>
      <c r="T142" s="208" t="e">
        <f t="shared" si="11"/>
        <v>#DIV/0!</v>
      </c>
    </row>
    <row r="143" spans="1:20" ht="15.75" customHeight="1" x14ac:dyDescent="0.25">
      <c r="A143" s="55" t="s">
        <v>152</v>
      </c>
      <c r="B143" s="162">
        <f>JANUARY!B143</f>
        <v>0</v>
      </c>
      <c r="C143" s="162">
        <f>FEBRUARY!B143</f>
        <v>0</v>
      </c>
      <c r="D143" s="162">
        <f>MARCH!B143</f>
        <v>0</v>
      </c>
      <c r="E143" s="162">
        <f>APRIL!B143</f>
        <v>0</v>
      </c>
      <c r="F143" s="162">
        <f>MAY!B143</f>
        <v>0</v>
      </c>
      <c r="G143" s="162">
        <f>JUNE!B143</f>
        <v>0</v>
      </c>
      <c r="H143" s="162">
        <f>JULY!B143</f>
        <v>0</v>
      </c>
      <c r="I143" s="162">
        <f>AUGUST!B143</f>
        <v>0</v>
      </c>
      <c r="J143" s="162">
        <f>SEPTEMBER!B143</f>
        <v>0</v>
      </c>
      <c r="K143" s="162">
        <f>OCTOBER!B143</f>
        <v>0</v>
      </c>
      <c r="L143" s="162">
        <f>NOVEMBER!B143</f>
        <v>0</v>
      </c>
      <c r="M143" s="162">
        <f>DECEMBER!B143</f>
        <v>0</v>
      </c>
      <c r="N143" s="185">
        <f t="shared" si="6"/>
        <v>0</v>
      </c>
      <c r="O143" s="185">
        <f t="shared" si="7"/>
        <v>0</v>
      </c>
      <c r="P143" s="185">
        <f t="shared" si="8"/>
        <v>0</v>
      </c>
      <c r="Q143" s="185">
        <f t="shared" si="9"/>
        <v>0</v>
      </c>
      <c r="R143" s="197">
        <f t="shared" si="10"/>
        <v>0</v>
      </c>
      <c r="S143" s="162">
        <f>TARGET!B143</f>
        <v>0</v>
      </c>
      <c r="T143" s="208" t="e">
        <f t="shared" si="11"/>
        <v>#DIV/0!</v>
      </c>
    </row>
    <row r="144" spans="1:20" ht="15.75" customHeight="1" x14ac:dyDescent="0.2">
      <c r="A144" s="55" t="s">
        <v>153</v>
      </c>
      <c r="B144" s="195">
        <f>JANUARY!B144</f>
        <v>0</v>
      </c>
      <c r="C144" s="83">
        <f>FEBRUARY!B144</f>
        <v>0</v>
      </c>
      <c r="D144" s="83">
        <f>MARCH!B144</f>
        <v>0</v>
      </c>
      <c r="E144" s="83">
        <f>APRIL!B144</f>
        <v>0</v>
      </c>
      <c r="F144" s="83">
        <f>MAY!B144</f>
        <v>0</v>
      </c>
      <c r="G144" s="83">
        <f>JUNE!B144</f>
        <v>0</v>
      </c>
      <c r="H144" s="83">
        <f>JULY!B144</f>
        <v>0</v>
      </c>
      <c r="I144" s="83">
        <f>AUGUST!B144</f>
        <v>0</v>
      </c>
      <c r="J144" s="83">
        <f>SEPTEMBER!B144</f>
        <v>0</v>
      </c>
      <c r="K144" s="83">
        <f>OCTOBER!B144</f>
        <v>0</v>
      </c>
      <c r="L144" s="83">
        <f>NOVEMBER!B144</f>
        <v>0</v>
      </c>
      <c r="M144" s="83">
        <f>DECEMBER!B144</f>
        <v>0</v>
      </c>
      <c r="N144" s="187">
        <f t="shared" ref="N144:N209" si="12">B144+C144+D144</f>
        <v>0</v>
      </c>
      <c r="O144" s="187">
        <f t="shared" ref="O144:O209" si="13">E144+F144+G144</f>
        <v>0</v>
      </c>
      <c r="P144" s="187">
        <f t="shared" ref="P144:P209" si="14">H144+I144+J144</f>
        <v>0</v>
      </c>
      <c r="Q144" s="187">
        <f t="shared" ref="Q144:Q209" si="15">K144+L144+M144</f>
        <v>0</v>
      </c>
      <c r="R144" s="198">
        <f t="shared" ref="R144:R209" si="16">B144+C144+D144+E144+F144+G144+H144+I144+J144+K144+L144+M144</f>
        <v>0</v>
      </c>
      <c r="S144" s="186">
        <f>TARGET!B144</f>
        <v>0</v>
      </c>
      <c r="T144" s="208" t="e">
        <f t="shared" ref="T144:T209" si="17">IF(R144/S144=0,"NONE",R144/S144)</f>
        <v>#DIV/0!</v>
      </c>
    </row>
    <row r="145" spans="1:20" ht="15.75" customHeight="1" x14ac:dyDescent="0.2">
      <c r="A145" s="55" t="s">
        <v>205</v>
      </c>
      <c r="B145" s="195">
        <f>JANUARY!B145</f>
        <v>0</v>
      </c>
      <c r="C145" s="83">
        <f>FEBRUARY!B145</f>
        <v>0</v>
      </c>
      <c r="D145" s="83">
        <f>MARCH!B145</f>
        <v>0</v>
      </c>
      <c r="E145" s="83">
        <f>APRIL!B145</f>
        <v>0</v>
      </c>
      <c r="F145" s="83">
        <f>MAY!B145</f>
        <v>0</v>
      </c>
      <c r="G145" s="83">
        <f>JUNE!B145</f>
        <v>0</v>
      </c>
      <c r="H145" s="83">
        <f>JULY!B145</f>
        <v>0</v>
      </c>
      <c r="I145" s="83">
        <f>AUGUST!B145</f>
        <v>0</v>
      </c>
      <c r="J145" s="83">
        <f>SEPTEMBER!B145</f>
        <v>0</v>
      </c>
      <c r="K145" s="83">
        <f>OCTOBER!B145</f>
        <v>0</v>
      </c>
      <c r="L145" s="83">
        <f>NOVEMBER!B145</f>
        <v>0</v>
      </c>
      <c r="M145" s="83">
        <f>DECEMBER!B145</f>
        <v>0</v>
      </c>
      <c r="N145" s="187">
        <f t="shared" si="12"/>
        <v>0</v>
      </c>
      <c r="O145" s="187">
        <f t="shared" si="13"/>
        <v>0</v>
      </c>
      <c r="P145" s="187">
        <f t="shared" si="14"/>
        <v>0</v>
      </c>
      <c r="Q145" s="187">
        <f t="shared" si="15"/>
        <v>0</v>
      </c>
      <c r="R145" s="198">
        <f t="shared" si="16"/>
        <v>0</v>
      </c>
      <c r="S145" s="186">
        <f>TARGET!B145</f>
        <v>0</v>
      </c>
      <c r="T145" s="208" t="e">
        <f t="shared" si="17"/>
        <v>#DIV/0!</v>
      </c>
    </row>
    <row r="146" spans="1:20" ht="15.75" customHeight="1" x14ac:dyDescent="0.25">
      <c r="A146" s="57" t="s">
        <v>76</v>
      </c>
      <c r="B146" s="162">
        <f>JANUARY!B146</f>
        <v>0</v>
      </c>
      <c r="C146" s="162">
        <f>FEBRUARY!B146</f>
        <v>0</v>
      </c>
      <c r="D146" s="162">
        <f>MARCH!B146</f>
        <v>0</v>
      </c>
      <c r="E146" s="162">
        <f>APRIL!B146</f>
        <v>0</v>
      </c>
      <c r="F146" s="162">
        <f>MAY!B146</f>
        <v>0</v>
      </c>
      <c r="G146" s="162">
        <f>JUNE!B146</f>
        <v>0</v>
      </c>
      <c r="H146" s="162">
        <f>JULY!B146</f>
        <v>0</v>
      </c>
      <c r="I146" s="162">
        <f>AUGUST!B146</f>
        <v>0</v>
      </c>
      <c r="J146" s="162">
        <f>SEPTEMBER!B146</f>
        <v>0</v>
      </c>
      <c r="K146" s="162">
        <f>OCTOBER!B146</f>
        <v>0</v>
      </c>
      <c r="L146" s="162">
        <f>NOVEMBER!B146</f>
        <v>0</v>
      </c>
      <c r="M146" s="162">
        <f>DECEMBER!B146</f>
        <v>0</v>
      </c>
      <c r="N146" s="185">
        <f t="shared" si="12"/>
        <v>0</v>
      </c>
      <c r="O146" s="185">
        <f t="shared" si="13"/>
        <v>0</v>
      </c>
      <c r="P146" s="185">
        <f t="shared" si="14"/>
        <v>0</v>
      </c>
      <c r="Q146" s="185">
        <f t="shared" si="15"/>
        <v>0</v>
      </c>
      <c r="R146" s="197">
        <f t="shared" si="16"/>
        <v>0</v>
      </c>
      <c r="S146" s="162">
        <f>TARGET!B146</f>
        <v>0</v>
      </c>
      <c r="T146" s="208" t="e">
        <f t="shared" si="17"/>
        <v>#DIV/0!</v>
      </c>
    </row>
    <row r="147" spans="1:20" ht="15.75" customHeight="1" x14ac:dyDescent="0.25">
      <c r="A147" s="2" t="s">
        <v>77</v>
      </c>
      <c r="B147" s="162">
        <f>JANUARY!B147</f>
        <v>0</v>
      </c>
      <c r="C147" s="162">
        <f>FEBRUARY!B147</f>
        <v>0</v>
      </c>
      <c r="D147" s="162">
        <f>MARCH!B147</f>
        <v>0</v>
      </c>
      <c r="E147" s="162">
        <f>APRIL!B147</f>
        <v>0</v>
      </c>
      <c r="F147" s="162">
        <f>MAY!B147</f>
        <v>0</v>
      </c>
      <c r="G147" s="162">
        <f>JUNE!B147</f>
        <v>0</v>
      </c>
      <c r="H147" s="162">
        <f>JULY!B147</f>
        <v>0</v>
      </c>
      <c r="I147" s="162">
        <f>AUGUST!B147</f>
        <v>0</v>
      </c>
      <c r="J147" s="162">
        <f>SEPTEMBER!B147</f>
        <v>0</v>
      </c>
      <c r="K147" s="162">
        <f>OCTOBER!B147</f>
        <v>0</v>
      </c>
      <c r="L147" s="162">
        <f>NOVEMBER!B147</f>
        <v>0</v>
      </c>
      <c r="M147" s="162">
        <f>DECEMBER!B147</f>
        <v>0</v>
      </c>
      <c r="N147" s="185">
        <f t="shared" si="12"/>
        <v>0</v>
      </c>
      <c r="O147" s="185">
        <f t="shared" si="13"/>
        <v>0</v>
      </c>
      <c r="P147" s="185">
        <f t="shared" si="14"/>
        <v>0</v>
      </c>
      <c r="Q147" s="185">
        <f t="shared" si="15"/>
        <v>0</v>
      </c>
      <c r="R147" s="197">
        <f t="shared" si="16"/>
        <v>0</v>
      </c>
      <c r="S147" s="162">
        <f>TARGET!B147</f>
        <v>0</v>
      </c>
      <c r="T147" s="208" t="e">
        <f t="shared" si="17"/>
        <v>#DIV/0!</v>
      </c>
    </row>
    <row r="148" spans="1:20" ht="15.75" customHeight="1" x14ac:dyDescent="0.2">
      <c r="A148" s="2" t="s">
        <v>78</v>
      </c>
      <c r="B148" s="195">
        <f>JANUARY!B148</f>
        <v>0</v>
      </c>
      <c r="C148" s="83">
        <f>FEBRUARY!B148</f>
        <v>0</v>
      </c>
      <c r="D148" s="83">
        <f>MARCH!B148</f>
        <v>0</v>
      </c>
      <c r="E148" s="83">
        <f>APRIL!B148</f>
        <v>0</v>
      </c>
      <c r="F148" s="83">
        <f>MAY!B148</f>
        <v>0</v>
      </c>
      <c r="G148" s="83">
        <f>JUNE!B148</f>
        <v>0</v>
      </c>
      <c r="H148" s="83">
        <f>JULY!B148</f>
        <v>0</v>
      </c>
      <c r="I148" s="83">
        <f>AUGUST!B148</f>
        <v>0</v>
      </c>
      <c r="J148" s="83">
        <f>SEPTEMBER!B148</f>
        <v>0</v>
      </c>
      <c r="K148" s="83">
        <f>OCTOBER!B148</f>
        <v>0</v>
      </c>
      <c r="L148" s="83">
        <f>NOVEMBER!B148</f>
        <v>0</v>
      </c>
      <c r="M148" s="83">
        <f>DECEMBER!B148</f>
        <v>0</v>
      </c>
      <c r="N148" s="187">
        <f t="shared" si="12"/>
        <v>0</v>
      </c>
      <c r="O148" s="187">
        <f t="shared" si="13"/>
        <v>0</v>
      </c>
      <c r="P148" s="187">
        <f t="shared" si="14"/>
        <v>0</v>
      </c>
      <c r="Q148" s="187">
        <f t="shared" si="15"/>
        <v>0</v>
      </c>
      <c r="R148" s="198">
        <f t="shared" si="16"/>
        <v>0</v>
      </c>
      <c r="S148" s="186">
        <f>TARGET!B148</f>
        <v>0</v>
      </c>
      <c r="T148" s="208" t="e">
        <f t="shared" si="17"/>
        <v>#DIV/0!</v>
      </c>
    </row>
    <row r="149" spans="1:20" ht="15.75" customHeight="1" x14ac:dyDescent="0.2">
      <c r="A149" s="2" t="s">
        <v>206</v>
      </c>
      <c r="B149" s="195">
        <f>JANUARY!B149</f>
        <v>0</v>
      </c>
      <c r="C149" s="83">
        <f>FEBRUARY!B149</f>
        <v>0</v>
      </c>
      <c r="D149" s="83">
        <f>MARCH!B149</f>
        <v>0</v>
      </c>
      <c r="E149" s="83">
        <f>APRIL!B149</f>
        <v>0</v>
      </c>
      <c r="F149" s="83">
        <f>MAY!B149</f>
        <v>0</v>
      </c>
      <c r="G149" s="83">
        <f>JUNE!B149</f>
        <v>0</v>
      </c>
      <c r="H149" s="83">
        <f>JULY!B149</f>
        <v>0</v>
      </c>
      <c r="I149" s="83">
        <f>AUGUST!B149</f>
        <v>0</v>
      </c>
      <c r="J149" s="83">
        <f>SEPTEMBER!B149</f>
        <v>0</v>
      </c>
      <c r="K149" s="83">
        <f>OCTOBER!B149</f>
        <v>0</v>
      </c>
      <c r="L149" s="83">
        <f>NOVEMBER!B149</f>
        <v>0</v>
      </c>
      <c r="M149" s="83">
        <f>DECEMBER!B149</f>
        <v>0</v>
      </c>
      <c r="N149" s="187">
        <f t="shared" si="12"/>
        <v>0</v>
      </c>
      <c r="O149" s="187">
        <f t="shared" si="13"/>
        <v>0</v>
      </c>
      <c r="P149" s="187">
        <f t="shared" si="14"/>
        <v>0</v>
      </c>
      <c r="Q149" s="187">
        <f t="shared" si="15"/>
        <v>0</v>
      </c>
      <c r="R149" s="198">
        <f t="shared" si="16"/>
        <v>0</v>
      </c>
      <c r="S149" s="186">
        <f>TARGET!B149</f>
        <v>0</v>
      </c>
      <c r="T149" s="208" t="e">
        <f t="shared" si="17"/>
        <v>#DIV/0!</v>
      </c>
    </row>
    <row r="150" spans="1:20" ht="15.75" customHeight="1" x14ac:dyDescent="0.25">
      <c r="A150" s="2" t="s">
        <v>79</v>
      </c>
      <c r="B150" s="162">
        <f>JANUARY!B150</f>
        <v>0</v>
      </c>
      <c r="C150" s="162">
        <f>FEBRUARY!B150</f>
        <v>0</v>
      </c>
      <c r="D150" s="162">
        <f>MARCH!B150</f>
        <v>0</v>
      </c>
      <c r="E150" s="162">
        <f>APRIL!B150</f>
        <v>0</v>
      </c>
      <c r="F150" s="162">
        <f>MAY!B150</f>
        <v>0</v>
      </c>
      <c r="G150" s="162">
        <f>JUNE!B150</f>
        <v>0</v>
      </c>
      <c r="H150" s="162">
        <f>JULY!B150</f>
        <v>0</v>
      </c>
      <c r="I150" s="162">
        <f>AUGUST!B150</f>
        <v>0</v>
      </c>
      <c r="J150" s="162">
        <f>SEPTEMBER!B150</f>
        <v>0</v>
      </c>
      <c r="K150" s="162">
        <f>OCTOBER!B150</f>
        <v>0</v>
      </c>
      <c r="L150" s="162">
        <f>NOVEMBER!B150</f>
        <v>0</v>
      </c>
      <c r="M150" s="162">
        <f>DECEMBER!B150</f>
        <v>0</v>
      </c>
      <c r="N150" s="185">
        <f t="shared" si="12"/>
        <v>0</v>
      </c>
      <c r="O150" s="185">
        <f t="shared" si="13"/>
        <v>0</v>
      </c>
      <c r="P150" s="185">
        <f t="shared" si="14"/>
        <v>0</v>
      </c>
      <c r="Q150" s="185">
        <f t="shared" si="15"/>
        <v>0</v>
      </c>
      <c r="R150" s="197">
        <f t="shared" si="16"/>
        <v>0</v>
      </c>
      <c r="S150" s="162">
        <f>TARGET!B150</f>
        <v>0</v>
      </c>
      <c r="T150" s="208" t="e">
        <f t="shared" si="17"/>
        <v>#DIV/0!</v>
      </c>
    </row>
    <row r="151" spans="1:20" ht="15.75" customHeight="1" x14ac:dyDescent="0.2">
      <c r="A151" s="2" t="s">
        <v>80</v>
      </c>
      <c r="B151" s="195">
        <f>JANUARY!B151</f>
        <v>0</v>
      </c>
      <c r="C151" s="83">
        <f>FEBRUARY!B151</f>
        <v>0</v>
      </c>
      <c r="D151" s="83">
        <f>MARCH!B151</f>
        <v>0</v>
      </c>
      <c r="E151" s="83">
        <f>APRIL!B151</f>
        <v>0</v>
      </c>
      <c r="F151" s="83">
        <f>MAY!B151</f>
        <v>0</v>
      </c>
      <c r="G151" s="83">
        <f>JUNE!B151</f>
        <v>0</v>
      </c>
      <c r="H151" s="83">
        <f>JULY!B151</f>
        <v>0</v>
      </c>
      <c r="I151" s="83">
        <f>AUGUST!B151</f>
        <v>0</v>
      </c>
      <c r="J151" s="83">
        <f>SEPTEMBER!B151</f>
        <v>0</v>
      </c>
      <c r="K151" s="83">
        <f>OCTOBER!B151</f>
        <v>0</v>
      </c>
      <c r="L151" s="83">
        <f>NOVEMBER!B151</f>
        <v>0</v>
      </c>
      <c r="M151" s="83">
        <f>DECEMBER!B151</f>
        <v>0</v>
      </c>
      <c r="N151" s="187">
        <f t="shared" si="12"/>
        <v>0</v>
      </c>
      <c r="O151" s="187">
        <f t="shared" si="13"/>
        <v>0</v>
      </c>
      <c r="P151" s="187">
        <f t="shared" si="14"/>
        <v>0</v>
      </c>
      <c r="Q151" s="187">
        <f t="shared" si="15"/>
        <v>0</v>
      </c>
      <c r="R151" s="198">
        <f t="shared" si="16"/>
        <v>0</v>
      </c>
      <c r="S151" s="186">
        <f>TARGET!B151</f>
        <v>0</v>
      </c>
      <c r="T151" s="208" t="e">
        <f t="shared" si="17"/>
        <v>#DIV/0!</v>
      </c>
    </row>
    <row r="152" spans="1:20" ht="15.75" customHeight="1" x14ac:dyDescent="0.2">
      <c r="A152" s="55" t="s">
        <v>207</v>
      </c>
      <c r="B152" s="195">
        <f>JANUARY!B152</f>
        <v>0</v>
      </c>
      <c r="C152" s="83">
        <f>FEBRUARY!B152</f>
        <v>0</v>
      </c>
      <c r="D152" s="83">
        <f>MARCH!B152</f>
        <v>0</v>
      </c>
      <c r="E152" s="83">
        <f>APRIL!B152</f>
        <v>0</v>
      </c>
      <c r="F152" s="83">
        <f>MAY!B152</f>
        <v>0</v>
      </c>
      <c r="G152" s="83">
        <f>JUNE!B152</f>
        <v>0</v>
      </c>
      <c r="H152" s="83">
        <f>JULY!B152</f>
        <v>0</v>
      </c>
      <c r="I152" s="83">
        <f>AUGUST!B152</f>
        <v>0</v>
      </c>
      <c r="J152" s="83">
        <f>SEPTEMBER!B152</f>
        <v>0</v>
      </c>
      <c r="K152" s="83">
        <f>OCTOBER!B152</f>
        <v>0</v>
      </c>
      <c r="L152" s="83">
        <f>NOVEMBER!B152</f>
        <v>0</v>
      </c>
      <c r="M152" s="83">
        <f>DECEMBER!B152</f>
        <v>0</v>
      </c>
      <c r="N152" s="187">
        <f t="shared" si="12"/>
        <v>0</v>
      </c>
      <c r="O152" s="187">
        <f t="shared" si="13"/>
        <v>0</v>
      </c>
      <c r="P152" s="187">
        <f t="shared" si="14"/>
        <v>0</v>
      </c>
      <c r="Q152" s="187">
        <f t="shared" si="15"/>
        <v>0</v>
      </c>
      <c r="R152" s="198">
        <f t="shared" si="16"/>
        <v>0</v>
      </c>
      <c r="S152" s="186">
        <f>TARGET!B152</f>
        <v>0</v>
      </c>
      <c r="T152" s="208" t="e">
        <f t="shared" si="17"/>
        <v>#DIV/0!</v>
      </c>
    </row>
    <row r="153" spans="1:20" ht="15.75" customHeight="1" x14ac:dyDescent="0.25">
      <c r="A153" s="57" t="s">
        <v>81</v>
      </c>
      <c r="B153" s="162">
        <f>JANUARY!B153</f>
        <v>0</v>
      </c>
      <c r="C153" s="162">
        <f>FEBRUARY!B153</f>
        <v>0</v>
      </c>
      <c r="D153" s="162">
        <f>MARCH!B153</f>
        <v>0</v>
      </c>
      <c r="E153" s="162">
        <f>APRIL!B153</f>
        <v>0</v>
      </c>
      <c r="F153" s="162">
        <f>MAY!B153</f>
        <v>0</v>
      </c>
      <c r="G153" s="162">
        <f>JUNE!B153</f>
        <v>0</v>
      </c>
      <c r="H153" s="162">
        <f>JULY!B153</f>
        <v>0</v>
      </c>
      <c r="I153" s="162">
        <f>AUGUST!B153</f>
        <v>0</v>
      </c>
      <c r="J153" s="162">
        <f>SEPTEMBER!B153</f>
        <v>0</v>
      </c>
      <c r="K153" s="162">
        <f>OCTOBER!B153</f>
        <v>0</v>
      </c>
      <c r="L153" s="162">
        <f>NOVEMBER!B153</f>
        <v>0</v>
      </c>
      <c r="M153" s="162">
        <f>DECEMBER!B153</f>
        <v>0</v>
      </c>
      <c r="N153" s="185">
        <f t="shared" si="12"/>
        <v>0</v>
      </c>
      <c r="O153" s="185">
        <f t="shared" si="13"/>
        <v>0</v>
      </c>
      <c r="P153" s="185">
        <f t="shared" si="14"/>
        <v>0</v>
      </c>
      <c r="Q153" s="185">
        <f t="shared" si="15"/>
        <v>0</v>
      </c>
      <c r="R153" s="197">
        <f t="shared" si="16"/>
        <v>0</v>
      </c>
      <c r="S153" s="162">
        <f>TARGET!B153</f>
        <v>0</v>
      </c>
      <c r="T153" s="208" t="e">
        <f t="shared" si="17"/>
        <v>#DIV/0!</v>
      </c>
    </row>
    <row r="154" spans="1:20" ht="15.75" customHeight="1" x14ac:dyDescent="0.2">
      <c r="A154" s="55" t="s">
        <v>82</v>
      </c>
      <c r="B154" s="195">
        <f>JANUARY!B154</f>
        <v>0</v>
      </c>
      <c r="C154" s="83">
        <f>FEBRUARY!B154</f>
        <v>0</v>
      </c>
      <c r="D154" s="83">
        <f>MARCH!B154</f>
        <v>0</v>
      </c>
      <c r="E154" s="83">
        <f>APRIL!B154</f>
        <v>0</v>
      </c>
      <c r="F154" s="83">
        <f>MAY!B154</f>
        <v>0</v>
      </c>
      <c r="G154" s="83">
        <f>JUNE!B154</f>
        <v>0</v>
      </c>
      <c r="H154" s="83">
        <f>JULY!B154</f>
        <v>0</v>
      </c>
      <c r="I154" s="83">
        <f>AUGUST!B154</f>
        <v>0</v>
      </c>
      <c r="J154" s="83">
        <f>SEPTEMBER!B154</f>
        <v>0</v>
      </c>
      <c r="K154" s="83">
        <f>OCTOBER!B154</f>
        <v>0</v>
      </c>
      <c r="L154" s="83">
        <f>NOVEMBER!B154</f>
        <v>0</v>
      </c>
      <c r="M154" s="83">
        <f>DECEMBER!B154</f>
        <v>0</v>
      </c>
      <c r="N154" s="187">
        <f t="shared" si="12"/>
        <v>0</v>
      </c>
      <c r="O154" s="187">
        <f t="shared" si="13"/>
        <v>0</v>
      </c>
      <c r="P154" s="187">
        <f t="shared" si="14"/>
        <v>0</v>
      </c>
      <c r="Q154" s="187">
        <f t="shared" si="15"/>
        <v>0</v>
      </c>
      <c r="R154" s="198">
        <f t="shared" si="16"/>
        <v>0</v>
      </c>
      <c r="S154" s="186">
        <f>TARGET!B154</f>
        <v>0</v>
      </c>
      <c r="T154" s="208" t="e">
        <f t="shared" si="17"/>
        <v>#DIV/0!</v>
      </c>
    </row>
    <row r="155" spans="1:20" ht="15.75" customHeight="1" x14ac:dyDescent="0.2">
      <c r="A155" s="55" t="s">
        <v>208</v>
      </c>
      <c r="B155" s="195">
        <f>JANUARY!B155</f>
        <v>0</v>
      </c>
      <c r="C155" s="83">
        <f>FEBRUARY!B155</f>
        <v>0</v>
      </c>
      <c r="D155" s="83">
        <f>MARCH!B155</f>
        <v>0</v>
      </c>
      <c r="E155" s="83">
        <f>APRIL!B155</f>
        <v>0</v>
      </c>
      <c r="F155" s="83">
        <f>MAY!B155</f>
        <v>0</v>
      </c>
      <c r="G155" s="83">
        <f>JUNE!B155</f>
        <v>0</v>
      </c>
      <c r="H155" s="83">
        <f>JULY!B155</f>
        <v>0</v>
      </c>
      <c r="I155" s="83">
        <f>AUGUST!B155</f>
        <v>0</v>
      </c>
      <c r="J155" s="83">
        <f>SEPTEMBER!B155</f>
        <v>0</v>
      </c>
      <c r="K155" s="83">
        <f>OCTOBER!B155</f>
        <v>0</v>
      </c>
      <c r="L155" s="83">
        <f>NOVEMBER!B155</f>
        <v>0</v>
      </c>
      <c r="M155" s="83">
        <f>DECEMBER!B155</f>
        <v>0</v>
      </c>
      <c r="N155" s="187">
        <f t="shared" si="12"/>
        <v>0</v>
      </c>
      <c r="O155" s="187">
        <f t="shared" si="13"/>
        <v>0</v>
      </c>
      <c r="P155" s="187">
        <f t="shared" si="14"/>
        <v>0</v>
      </c>
      <c r="Q155" s="187">
        <f t="shared" si="15"/>
        <v>0</v>
      </c>
      <c r="R155" s="198">
        <f t="shared" si="16"/>
        <v>0</v>
      </c>
      <c r="S155" s="186">
        <f>TARGET!B155</f>
        <v>0</v>
      </c>
      <c r="T155" s="208" t="e">
        <f t="shared" si="17"/>
        <v>#DIV/0!</v>
      </c>
    </row>
    <row r="156" spans="1:20" ht="15.75" customHeight="1" x14ac:dyDescent="0.25">
      <c r="A156" s="57" t="s">
        <v>12</v>
      </c>
      <c r="B156" s="162">
        <f>JANUARY!B156</f>
        <v>0</v>
      </c>
      <c r="C156" s="162">
        <f>FEBRUARY!B156</f>
        <v>0</v>
      </c>
      <c r="D156" s="162">
        <f>MARCH!B156</f>
        <v>0</v>
      </c>
      <c r="E156" s="162">
        <f>APRIL!B156</f>
        <v>0</v>
      </c>
      <c r="F156" s="162">
        <f>MAY!B156</f>
        <v>0</v>
      </c>
      <c r="G156" s="162">
        <f>JUNE!B156</f>
        <v>0</v>
      </c>
      <c r="H156" s="162">
        <f>JULY!B156</f>
        <v>0</v>
      </c>
      <c r="I156" s="162">
        <f>AUGUST!B156</f>
        <v>0</v>
      </c>
      <c r="J156" s="162">
        <f>SEPTEMBER!B156</f>
        <v>0</v>
      </c>
      <c r="K156" s="162">
        <f>OCTOBER!B156</f>
        <v>0</v>
      </c>
      <c r="L156" s="162">
        <f>NOVEMBER!B156</f>
        <v>0</v>
      </c>
      <c r="M156" s="162">
        <f>DECEMBER!B156</f>
        <v>0</v>
      </c>
      <c r="N156" s="185">
        <f t="shared" si="12"/>
        <v>0</v>
      </c>
      <c r="O156" s="185">
        <f t="shared" si="13"/>
        <v>0</v>
      </c>
      <c r="P156" s="185">
        <f t="shared" si="14"/>
        <v>0</v>
      </c>
      <c r="Q156" s="185">
        <f t="shared" si="15"/>
        <v>0</v>
      </c>
      <c r="R156" s="198">
        <f>B156+C156+D156+E156+F156+G156+H156+I156+J156+K156+L156+M156</f>
        <v>0</v>
      </c>
      <c r="S156" s="162">
        <f>TARGET!B156</f>
        <v>0</v>
      </c>
      <c r="T156" s="208" t="e">
        <f t="shared" si="17"/>
        <v>#DIV/0!</v>
      </c>
    </row>
    <row r="157" spans="1:20" ht="15.75" customHeight="1" x14ac:dyDescent="0.25">
      <c r="A157" s="55" t="s">
        <v>83</v>
      </c>
      <c r="B157" s="162">
        <f>JANUARY!B157</f>
        <v>0</v>
      </c>
      <c r="C157" s="162">
        <f>FEBRUARY!B157</f>
        <v>0</v>
      </c>
      <c r="D157" s="162">
        <f>MARCH!B157</f>
        <v>0</v>
      </c>
      <c r="E157" s="162">
        <f>APRIL!B157</f>
        <v>0</v>
      </c>
      <c r="F157" s="162">
        <f>MAY!B157</f>
        <v>0</v>
      </c>
      <c r="G157" s="162">
        <f>JUNE!B157</f>
        <v>0</v>
      </c>
      <c r="H157" s="162">
        <f>JULY!B157</f>
        <v>0</v>
      </c>
      <c r="I157" s="162">
        <f>AUGUST!B157</f>
        <v>0</v>
      </c>
      <c r="J157" s="162">
        <f>SEPTEMBER!B157</f>
        <v>0</v>
      </c>
      <c r="K157" s="162">
        <f>OCTOBER!B157</f>
        <v>0</v>
      </c>
      <c r="L157" s="162">
        <f>NOVEMBER!B157</f>
        <v>0</v>
      </c>
      <c r="M157" s="162">
        <f>DECEMBER!B157</f>
        <v>0</v>
      </c>
      <c r="N157" s="185">
        <f t="shared" si="12"/>
        <v>0</v>
      </c>
      <c r="O157" s="185">
        <f t="shared" si="13"/>
        <v>0</v>
      </c>
      <c r="P157" s="185">
        <f t="shared" si="14"/>
        <v>0</v>
      </c>
      <c r="Q157" s="185">
        <f t="shared" si="15"/>
        <v>0</v>
      </c>
      <c r="R157" s="198">
        <f>B157+C157+D157+E157+F157+G157+H157+I157+J157+K157+L157+M157</f>
        <v>0</v>
      </c>
      <c r="S157" s="162">
        <f>TARGET!B157</f>
        <v>0</v>
      </c>
      <c r="T157" s="208" t="e">
        <f t="shared" si="17"/>
        <v>#DIV/0!</v>
      </c>
    </row>
    <row r="158" spans="1:20" ht="15.75" customHeight="1" x14ac:dyDescent="0.2">
      <c r="A158" s="2" t="s">
        <v>84</v>
      </c>
      <c r="B158" s="195">
        <f>JANUARY!B158</f>
        <v>0</v>
      </c>
      <c r="C158" s="83">
        <f>FEBRUARY!B158</f>
        <v>0</v>
      </c>
      <c r="D158" s="83">
        <f>MARCH!B158</f>
        <v>0</v>
      </c>
      <c r="E158" s="83">
        <f>APRIL!B158</f>
        <v>0</v>
      </c>
      <c r="F158" s="83">
        <f>MAY!B158</f>
        <v>0</v>
      </c>
      <c r="G158" s="83">
        <f>JUNE!B158</f>
        <v>0</v>
      </c>
      <c r="H158" s="83">
        <f>JULY!B158</f>
        <v>0</v>
      </c>
      <c r="I158" s="83">
        <f>AUGUST!B158</f>
        <v>0</v>
      </c>
      <c r="J158" s="83">
        <f>SEPTEMBER!B158</f>
        <v>0</v>
      </c>
      <c r="K158" s="83">
        <f>OCTOBER!B158</f>
        <v>0</v>
      </c>
      <c r="L158" s="83">
        <f>NOVEMBER!B158</f>
        <v>0</v>
      </c>
      <c r="M158" s="83">
        <f>DECEMBER!B158</f>
        <v>0</v>
      </c>
      <c r="N158" s="187">
        <f t="shared" si="12"/>
        <v>0</v>
      </c>
      <c r="O158" s="187">
        <f t="shared" si="13"/>
        <v>0</v>
      </c>
      <c r="P158" s="187">
        <f t="shared" si="14"/>
        <v>0</v>
      </c>
      <c r="Q158" s="187">
        <f t="shared" si="15"/>
        <v>0</v>
      </c>
      <c r="R158" s="198">
        <f>B158+C158+D158+E158+F158+G158+H158+I158+J158+K158+L158+M158</f>
        <v>0</v>
      </c>
      <c r="S158" s="186">
        <f>TARGET!B158</f>
        <v>0</v>
      </c>
      <c r="T158" s="208" t="e">
        <f t="shared" si="17"/>
        <v>#DIV/0!</v>
      </c>
    </row>
    <row r="159" spans="1:20" ht="15.75" customHeight="1" x14ac:dyDescent="0.2">
      <c r="A159" s="2" t="s">
        <v>209</v>
      </c>
      <c r="B159" s="195">
        <f>JANUARY!B159</f>
        <v>0</v>
      </c>
      <c r="C159" s="83">
        <f>FEBRUARY!B159</f>
        <v>0</v>
      </c>
      <c r="D159" s="83">
        <f>MARCH!B159</f>
        <v>0</v>
      </c>
      <c r="E159" s="83">
        <f>APRIL!B159</f>
        <v>0</v>
      </c>
      <c r="F159" s="83">
        <f>MAY!B159</f>
        <v>0</v>
      </c>
      <c r="G159" s="83">
        <f>JUNE!B159</f>
        <v>0</v>
      </c>
      <c r="H159" s="83">
        <f>JULY!B159</f>
        <v>0</v>
      </c>
      <c r="I159" s="83">
        <f>AUGUST!B159</f>
        <v>0</v>
      </c>
      <c r="J159" s="83">
        <f>SEPTEMBER!B159</f>
        <v>0</v>
      </c>
      <c r="K159" s="83">
        <f>OCTOBER!B159</f>
        <v>0</v>
      </c>
      <c r="L159" s="83">
        <f>NOVEMBER!B159</f>
        <v>0</v>
      </c>
      <c r="M159" s="83">
        <f>DECEMBER!B159</f>
        <v>0</v>
      </c>
      <c r="N159" s="187">
        <f t="shared" si="12"/>
        <v>0</v>
      </c>
      <c r="O159" s="187">
        <f t="shared" si="13"/>
        <v>0</v>
      </c>
      <c r="P159" s="187">
        <f t="shared" si="14"/>
        <v>0</v>
      </c>
      <c r="Q159" s="187">
        <f t="shared" si="15"/>
        <v>0</v>
      </c>
      <c r="R159" s="198">
        <f t="shared" si="16"/>
        <v>0</v>
      </c>
      <c r="S159" s="186">
        <f>TARGET!B159</f>
        <v>0</v>
      </c>
      <c r="T159" s="208" t="e">
        <f t="shared" si="17"/>
        <v>#DIV/0!</v>
      </c>
    </row>
    <row r="160" spans="1:20" ht="15.75" customHeight="1" x14ac:dyDescent="0.25">
      <c r="A160" s="57" t="s">
        <v>233</v>
      </c>
      <c r="B160" s="162">
        <f>JANUARY!B160</f>
        <v>0</v>
      </c>
      <c r="C160" s="162">
        <f>FEBRUARY!B160</f>
        <v>0</v>
      </c>
      <c r="D160" s="162">
        <f>MARCH!B160</f>
        <v>0</v>
      </c>
      <c r="E160" s="162">
        <f>APRIL!B160</f>
        <v>0</v>
      </c>
      <c r="F160" s="162">
        <f>MAY!B160</f>
        <v>0</v>
      </c>
      <c r="G160" s="162">
        <f>JUNE!B160</f>
        <v>0</v>
      </c>
      <c r="H160" s="162">
        <f>JULY!B160</f>
        <v>0</v>
      </c>
      <c r="I160" s="162">
        <f>AUGUST!B160</f>
        <v>0</v>
      </c>
      <c r="J160" s="162">
        <f>SEPTEMBER!B160</f>
        <v>0</v>
      </c>
      <c r="K160" s="162">
        <f>OCTOBER!B160</f>
        <v>0</v>
      </c>
      <c r="L160" s="162">
        <f>NOVEMBER!B160</f>
        <v>0</v>
      </c>
      <c r="M160" s="162">
        <f>DECEMBER!B160</f>
        <v>0</v>
      </c>
      <c r="N160" s="185">
        <f t="shared" si="12"/>
        <v>0</v>
      </c>
      <c r="O160" s="185">
        <f t="shared" si="13"/>
        <v>0</v>
      </c>
      <c r="P160" s="185">
        <f t="shared" si="14"/>
        <v>0</v>
      </c>
      <c r="Q160" s="185">
        <f t="shared" si="15"/>
        <v>0</v>
      </c>
      <c r="R160" s="197">
        <f t="shared" si="16"/>
        <v>0</v>
      </c>
      <c r="S160" s="162">
        <f>TARGET!B160</f>
        <v>0</v>
      </c>
      <c r="T160" s="208" t="e">
        <f t="shared" si="17"/>
        <v>#DIV/0!</v>
      </c>
    </row>
    <row r="161" spans="1:21" ht="15.75" customHeight="1" x14ac:dyDescent="0.2">
      <c r="A161" s="55" t="s">
        <v>281</v>
      </c>
      <c r="B161" s="195">
        <f>JANUARY!B161</f>
        <v>0</v>
      </c>
      <c r="C161" s="83">
        <f>FEBRUARY!B161</f>
        <v>0</v>
      </c>
      <c r="D161" s="83">
        <f>MARCH!B161</f>
        <v>0</v>
      </c>
      <c r="E161" s="83">
        <f>APRIL!B161</f>
        <v>0</v>
      </c>
      <c r="F161" s="83">
        <f>MAY!B161</f>
        <v>0</v>
      </c>
      <c r="G161" s="83">
        <f>JUNE!B161</f>
        <v>0</v>
      </c>
      <c r="H161" s="83">
        <f>JULY!B161</f>
        <v>0</v>
      </c>
      <c r="I161" s="83">
        <f>AUGUST!B161</f>
        <v>0</v>
      </c>
      <c r="J161" s="83">
        <f>SEPTEMBER!B161</f>
        <v>0</v>
      </c>
      <c r="K161" s="83">
        <f>OCTOBER!B161</f>
        <v>0</v>
      </c>
      <c r="L161" s="83">
        <f>NOVEMBER!B161</f>
        <v>0</v>
      </c>
      <c r="M161" s="83">
        <f>DECEMBER!B161</f>
        <v>0</v>
      </c>
      <c r="N161" s="187">
        <f t="shared" si="12"/>
        <v>0</v>
      </c>
      <c r="O161" s="187">
        <f t="shared" si="13"/>
        <v>0</v>
      </c>
      <c r="P161" s="187">
        <f t="shared" si="14"/>
        <v>0</v>
      </c>
      <c r="Q161" s="187">
        <f t="shared" si="15"/>
        <v>0</v>
      </c>
      <c r="R161" s="198">
        <f t="shared" si="16"/>
        <v>0</v>
      </c>
      <c r="S161" s="186">
        <f>TARGET!B161</f>
        <v>0</v>
      </c>
      <c r="T161" s="208" t="e">
        <f t="shared" si="17"/>
        <v>#DIV/0!</v>
      </c>
    </row>
    <row r="162" spans="1:21" ht="15.75" customHeight="1" x14ac:dyDescent="0.2">
      <c r="A162" s="55" t="s">
        <v>282</v>
      </c>
      <c r="B162" s="195">
        <f>JANUARY!B162</f>
        <v>0</v>
      </c>
      <c r="C162" s="83">
        <f>FEBRUARY!B162</f>
        <v>0</v>
      </c>
      <c r="D162" s="83">
        <f>MARCH!B162</f>
        <v>0</v>
      </c>
      <c r="E162" s="83">
        <f>APRIL!B162</f>
        <v>0</v>
      </c>
      <c r="F162" s="83">
        <f>MAY!B162</f>
        <v>0</v>
      </c>
      <c r="G162" s="83">
        <f>JUNE!B162</f>
        <v>0</v>
      </c>
      <c r="H162" s="83">
        <f>JULY!B162</f>
        <v>0</v>
      </c>
      <c r="I162" s="83">
        <f>AUGUST!B162</f>
        <v>0</v>
      </c>
      <c r="J162" s="83">
        <f>SEPTEMBER!B162</f>
        <v>0</v>
      </c>
      <c r="K162" s="83">
        <f>OCTOBER!B162</f>
        <v>0</v>
      </c>
      <c r="L162" s="83">
        <f>NOVEMBER!B162</f>
        <v>0</v>
      </c>
      <c r="M162" s="83">
        <f>DECEMBER!B162</f>
        <v>0</v>
      </c>
      <c r="N162" s="187">
        <f t="shared" si="12"/>
        <v>0</v>
      </c>
      <c r="O162" s="187">
        <f t="shared" si="13"/>
        <v>0</v>
      </c>
      <c r="P162" s="187">
        <f t="shared" si="14"/>
        <v>0</v>
      </c>
      <c r="Q162" s="187">
        <f t="shared" si="15"/>
        <v>0</v>
      </c>
      <c r="R162" s="198">
        <f t="shared" si="16"/>
        <v>0</v>
      </c>
      <c r="S162" s="186">
        <f>TARGET!B162</f>
        <v>0</v>
      </c>
      <c r="T162" s="208" t="e">
        <f t="shared" si="17"/>
        <v>#DIV/0!</v>
      </c>
    </row>
    <row r="163" spans="1:21" ht="15.75" customHeight="1" x14ac:dyDescent="0.25">
      <c r="A163" s="57" t="s">
        <v>13</v>
      </c>
      <c r="B163" s="162">
        <f>JANUARY!B163</f>
        <v>0</v>
      </c>
      <c r="C163" s="162">
        <f>FEBRUARY!B163</f>
        <v>0</v>
      </c>
      <c r="D163" s="162">
        <f>MARCH!B163</f>
        <v>0</v>
      </c>
      <c r="E163" s="162">
        <f>APRIL!B163</f>
        <v>0</v>
      </c>
      <c r="F163" s="162">
        <f>MAY!B163</f>
        <v>0</v>
      </c>
      <c r="G163" s="162">
        <f>JUNE!B163</f>
        <v>0</v>
      </c>
      <c r="H163" s="162">
        <f>JULY!B163</f>
        <v>0</v>
      </c>
      <c r="I163" s="162">
        <f>AUGUST!B163</f>
        <v>0</v>
      </c>
      <c r="J163" s="162">
        <f>SEPTEMBER!B163</f>
        <v>0</v>
      </c>
      <c r="K163" s="162">
        <f>OCTOBER!B163</f>
        <v>0</v>
      </c>
      <c r="L163" s="162">
        <f>NOVEMBER!B163</f>
        <v>0</v>
      </c>
      <c r="M163" s="162">
        <f>DECEMBER!B163</f>
        <v>0</v>
      </c>
      <c r="N163" s="185">
        <f t="shared" si="12"/>
        <v>0</v>
      </c>
      <c r="O163" s="185">
        <f t="shared" si="13"/>
        <v>0</v>
      </c>
      <c r="P163" s="185">
        <f t="shared" si="14"/>
        <v>0</v>
      </c>
      <c r="Q163" s="185">
        <f t="shared" si="15"/>
        <v>0</v>
      </c>
      <c r="R163" s="197">
        <f t="shared" si="16"/>
        <v>0</v>
      </c>
      <c r="S163" s="162">
        <f>TARGET!B163</f>
        <v>0</v>
      </c>
      <c r="T163" s="208" t="e">
        <f t="shared" si="17"/>
        <v>#DIV/0!</v>
      </c>
    </row>
    <row r="164" spans="1:21" ht="15.75" customHeight="1" x14ac:dyDescent="0.2">
      <c r="A164" s="55" t="s">
        <v>85</v>
      </c>
      <c r="B164" s="195">
        <f>JANUARY!B164</f>
        <v>0</v>
      </c>
      <c r="C164" s="83">
        <f>FEBRUARY!B164</f>
        <v>0</v>
      </c>
      <c r="D164" s="83">
        <f>MARCH!B164</f>
        <v>0</v>
      </c>
      <c r="E164" s="83">
        <f>APRIL!B164</f>
        <v>0</v>
      </c>
      <c r="F164" s="83">
        <f>MAY!B164</f>
        <v>0</v>
      </c>
      <c r="G164" s="83">
        <f>JUNE!B164</f>
        <v>0</v>
      </c>
      <c r="H164" s="83">
        <f>JULY!B164</f>
        <v>0</v>
      </c>
      <c r="I164" s="83">
        <f>AUGUST!B164</f>
        <v>0</v>
      </c>
      <c r="J164" s="83">
        <f>SEPTEMBER!B164</f>
        <v>0</v>
      </c>
      <c r="K164" s="83">
        <f>OCTOBER!B164</f>
        <v>0</v>
      </c>
      <c r="L164" s="83">
        <f>NOVEMBER!B164</f>
        <v>0</v>
      </c>
      <c r="M164" s="83">
        <f>DECEMBER!B164</f>
        <v>0</v>
      </c>
      <c r="N164" s="187">
        <f t="shared" si="12"/>
        <v>0</v>
      </c>
      <c r="O164" s="187">
        <f t="shared" si="13"/>
        <v>0</v>
      </c>
      <c r="P164" s="187">
        <f t="shared" si="14"/>
        <v>0</v>
      </c>
      <c r="Q164" s="187">
        <f t="shared" si="15"/>
        <v>0</v>
      </c>
      <c r="R164" s="198">
        <f t="shared" si="16"/>
        <v>0</v>
      </c>
      <c r="S164" s="186">
        <f>TARGET!B164</f>
        <v>0</v>
      </c>
      <c r="T164" s="208" t="e">
        <f t="shared" si="17"/>
        <v>#DIV/0!</v>
      </c>
    </row>
    <row r="165" spans="1:21" ht="15.75" customHeight="1" x14ac:dyDescent="0.2">
      <c r="A165" s="55" t="s">
        <v>210</v>
      </c>
      <c r="B165" s="195">
        <f>JANUARY!B165</f>
        <v>0</v>
      </c>
      <c r="C165" s="83">
        <f>FEBRUARY!B165</f>
        <v>0</v>
      </c>
      <c r="D165" s="83">
        <f>MARCH!B165</f>
        <v>0</v>
      </c>
      <c r="E165" s="83">
        <f>APRIL!B165</f>
        <v>0</v>
      </c>
      <c r="F165" s="83">
        <f>MAY!B165</f>
        <v>0</v>
      </c>
      <c r="G165" s="83">
        <f>JUNE!B165</f>
        <v>0</v>
      </c>
      <c r="H165" s="83">
        <f>JULY!B165</f>
        <v>0</v>
      </c>
      <c r="I165" s="83">
        <f>AUGUST!B165</f>
        <v>0</v>
      </c>
      <c r="J165" s="83">
        <f>SEPTEMBER!B165</f>
        <v>0</v>
      </c>
      <c r="K165" s="83">
        <f>OCTOBER!B165</f>
        <v>0</v>
      </c>
      <c r="L165" s="83">
        <f>NOVEMBER!B165</f>
        <v>0</v>
      </c>
      <c r="M165" s="83">
        <f>DECEMBER!B165</f>
        <v>0</v>
      </c>
      <c r="N165" s="187">
        <f t="shared" si="12"/>
        <v>0</v>
      </c>
      <c r="O165" s="187">
        <f t="shared" si="13"/>
        <v>0</v>
      </c>
      <c r="P165" s="187">
        <f t="shared" si="14"/>
        <v>0</v>
      </c>
      <c r="Q165" s="187">
        <f t="shared" si="15"/>
        <v>0</v>
      </c>
      <c r="R165" s="198">
        <f t="shared" si="16"/>
        <v>0</v>
      </c>
      <c r="S165" s="186">
        <f>TARGET!B165</f>
        <v>0</v>
      </c>
      <c r="T165" s="208" t="e">
        <f t="shared" si="17"/>
        <v>#DIV/0!</v>
      </c>
    </row>
    <row r="166" spans="1:21" ht="15.75" customHeight="1" x14ac:dyDescent="0.25">
      <c r="A166" s="57" t="s">
        <v>14</v>
      </c>
      <c r="B166" s="162">
        <f>JANUARY!B166</f>
        <v>0</v>
      </c>
      <c r="C166" s="162">
        <f>FEBRUARY!B166</f>
        <v>0</v>
      </c>
      <c r="D166" s="162">
        <f>MARCH!B166</f>
        <v>0</v>
      </c>
      <c r="E166" s="162">
        <f>APRIL!B166</f>
        <v>0</v>
      </c>
      <c r="F166" s="162">
        <f>MAY!B166</f>
        <v>0</v>
      </c>
      <c r="G166" s="162">
        <f>JUNE!B166</f>
        <v>0</v>
      </c>
      <c r="H166" s="162">
        <f>JULY!B166</f>
        <v>0</v>
      </c>
      <c r="I166" s="162">
        <f>AUGUST!B166</f>
        <v>0</v>
      </c>
      <c r="J166" s="162">
        <f>SEPTEMBER!B166</f>
        <v>0</v>
      </c>
      <c r="K166" s="162">
        <f>OCTOBER!B166</f>
        <v>0</v>
      </c>
      <c r="L166" s="162">
        <f>NOVEMBER!B166</f>
        <v>0</v>
      </c>
      <c r="M166" s="162">
        <f>DECEMBER!B166</f>
        <v>0</v>
      </c>
      <c r="N166" s="185">
        <f t="shared" si="12"/>
        <v>0</v>
      </c>
      <c r="O166" s="185">
        <f t="shared" si="13"/>
        <v>0</v>
      </c>
      <c r="P166" s="185">
        <f t="shared" si="14"/>
        <v>0</v>
      </c>
      <c r="Q166" s="185">
        <f t="shared" si="15"/>
        <v>0</v>
      </c>
      <c r="R166" s="197">
        <f t="shared" si="16"/>
        <v>0</v>
      </c>
      <c r="S166" s="162">
        <f>TARGET!B166</f>
        <v>0</v>
      </c>
      <c r="T166" s="208" t="e">
        <f t="shared" si="17"/>
        <v>#DIV/0!</v>
      </c>
    </row>
    <row r="167" spans="1:21" ht="15.75" customHeight="1" x14ac:dyDescent="0.2">
      <c r="A167" s="55" t="s">
        <v>253</v>
      </c>
      <c r="B167" s="195">
        <f>JANUARY!B167</f>
        <v>0</v>
      </c>
      <c r="C167" s="83">
        <f>FEBRUARY!B167</f>
        <v>0</v>
      </c>
      <c r="D167" s="83">
        <f>MARCH!B167</f>
        <v>0</v>
      </c>
      <c r="E167" s="83">
        <f>APRIL!B167</f>
        <v>0</v>
      </c>
      <c r="F167" s="83">
        <f>MAY!B167</f>
        <v>0</v>
      </c>
      <c r="G167" s="83">
        <f>JUNE!B167</f>
        <v>0</v>
      </c>
      <c r="H167" s="83">
        <f>JULY!B167</f>
        <v>0</v>
      </c>
      <c r="I167" s="83">
        <f>AUGUST!B167</f>
        <v>0</v>
      </c>
      <c r="J167" s="83">
        <f>SEPTEMBER!B167</f>
        <v>0</v>
      </c>
      <c r="K167" s="83">
        <f>OCTOBER!B167</f>
        <v>0</v>
      </c>
      <c r="L167" s="83">
        <f>NOVEMBER!B167</f>
        <v>0</v>
      </c>
      <c r="M167" s="83">
        <f>DECEMBER!B167</f>
        <v>0</v>
      </c>
      <c r="N167" s="187">
        <f t="shared" si="12"/>
        <v>0</v>
      </c>
      <c r="O167" s="187">
        <f t="shared" si="13"/>
        <v>0</v>
      </c>
      <c r="P167" s="187">
        <f t="shared" si="14"/>
        <v>0</v>
      </c>
      <c r="Q167" s="187">
        <f t="shared" si="15"/>
        <v>0</v>
      </c>
      <c r="R167" s="198">
        <f t="shared" si="16"/>
        <v>0</v>
      </c>
      <c r="S167" s="186">
        <f>TARGET!B167</f>
        <v>0</v>
      </c>
      <c r="T167" s="208" t="e">
        <f t="shared" si="17"/>
        <v>#DIV/0!</v>
      </c>
    </row>
    <row r="168" spans="1:21" ht="15.75" customHeight="1" x14ac:dyDescent="0.2">
      <c r="A168" s="55" t="s">
        <v>254</v>
      </c>
      <c r="B168" s="195">
        <f>JANUARY!B168</f>
        <v>0</v>
      </c>
      <c r="C168" s="83">
        <f>FEBRUARY!B168</f>
        <v>0</v>
      </c>
      <c r="D168" s="83">
        <f>MARCH!B168</f>
        <v>0</v>
      </c>
      <c r="E168" s="83">
        <f>APRIL!B168</f>
        <v>0</v>
      </c>
      <c r="F168" s="83">
        <f>MAY!B168</f>
        <v>0</v>
      </c>
      <c r="G168" s="83">
        <f>JUNE!B168</f>
        <v>0</v>
      </c>
      <c r="H168" s="83">
        <f>JULY!B168</f>
        <v>0</v>
      </c>
      <c r="I168" s="83">
        <f>AUGUST!B168</f>
        <v>0</v>
      </c>
      <c r="J168" s="83">
        <f>SEPTEMBER!B168</f>
        <v>0</v>
      </c>
      <c r="K168" s="83">
        <f>OCTOBER!B168</f>
        <v>0</v>
      </c>
      <c r="L168" s="83">
        <f>NOVEMBER!B168</f>
        <v>0</v>
      </c>
      <c r="M168" s="83">
        <f>DECEMBER!B168</f>
        <v>0</v>
      </c>
      <c r="N168" s="187">
        <f t="shared" si="12"/>
        <v>0</v>
      </c>
      <c r="O168" s="187">
        <f t="shared" si="13"/>
        <v>0</v>
      </c>
      <c r="P168" s="187">
        <f t="shared" si="14"/>
        <v>0</v>
      </c>
      <c r="Q168" s="187">
        <f t="shared" si="15"/>
        <v>0</v>
      </c>
      <c r="R168" s="198">
        <f t="shared" si="16"/>
        <v>0</v>
      </c>
      <c r="S168" s="186">
        <f>TARGET!B168</f>
        <v>0</v>
      </c>
      <c r="T168" s="208" t="e">
        <f t="shared" si="17"/>
        <v>#DIV/0!</v>
      </c>
    </row>
    <row r="169" spans="1:21" ht="15.75" customHeight="1" x14ac:dyDescent="0.25">
      <c r="A169" s="57" t="s">
        <v>323</v>
      </c>
      <c r="B169" s="162">
        <f>JANUARY!B169</f>
        <v>0</v>
      </c>
      <c r="C169" s="162">
        <f>FEBRUARY!B169</f>
        <v>0</v>
      </c>
      <c r="D169" s="162">
        <f>MARCH!B169</f>
        <v>0</v>
      </c>
      <c r="E169" s="162">
        <f>APRIL!B169</f>
        <v>0</v>
      </c>
      <c r="F169" s="162">
        <f>MAY!B169</f>
        <v>0</v>
      </c>
      <c r="G169" s="162">
        <f>JUNE!B169</f>
        <v>0</v>
      </c>
      <c r="H169" s="162">
        <f>JULY!B169</f>
        <v>0</v>
      </c>
      <c r="I169" s="162">
        <f>AUGUST!B169</f>
        <v>0</v>
      </c>
      <c r="J169" s="162">
        <f>SEPTEMBER!B169</f>
        <v>0</v>
      </c>
      <c r="K169" s="162">
        <f>OCTOBER!B169</f>
        <v>0</v>
      </c>
      <c r="L169" s="162">
        <f>NOVEMBER!B169</f>
        <v>0</v>
      </c>
      <c r="M169" s="162">
        <f>DECEMBER!B169</f>
        <v>0</v>
      </c>
      <c r="N169" s="185">
        <f t="shared" si="12"/>
        <v>0</v>
      </c>
      <c r="O169" s="185">
        <f t="shared" si="13"/>
        <v>0</v>
      </c>
      <c r="P169" s="185">
        <f t="shared" si="14"/>
        <v>0</v>
      </c>
      <c r="Q169" s="185">
        <f t="shared" si="15"/>
        <v>0</v>
      </c>
      <c r="R169" s="197">
        <f t="shared" si="16"/>
        <v>0</v>
      </c>
      <c r="S169" s="162">
        <f>TARGET!B169</f>
        <v>0</v>
      </c>
      <c r="T169" s="208" t="e">
        <f t="shared" si="17"/>
        <v>#DIV/0!</v>
      </c>
    </row>
    <row r="170" spans="1:21" ht="15.75" customHeight="1" x14ac:dyDescent="0.2">
      <c r="A170" s="55" t="s">
        <v>255</v>
      </c>
      <c r="B170" s="195">
        <f>JANUARY!B170</f>
        <v>0</v>
      </c>
      <c r="C170" s="83">
        <f>FEBRUARY!B170</f>
        <v>0</v>
      </c>
      <c r="D170" s="83">
        <f>MARCH!B170</f>
        <v>0</v>
      </c>
      <c r="E170" s="83">
        <f>APRIL!B170</f>
        <v>0</v>
      </c>
      <c r="F170" s="83">
        <f>MAY!B170</f>
        <v>0</v>
      </c>
      <c r="G170" s="83">
        <f>JUNE!B170</f>
        <v>0</v>
      </c>
      <c r="H170" s="83">
        <f>JULY!B170</f>
        <v>0</v>
      </c>
      <c r="I170" s="83">
        <f>AUGUST!B170</f>
        <v>0</v>
      </c>
      <c r="J170" s="83">
        <f>SEPTEMBER!B170</f>
        <v>0</v>
      </c>
      <c r="K170" s="83">
        <f>OCTOBER!B170</f>
        <v>0</v>
      </c>
      <c r="L170" s="83">
        <f>NOVEMBER!B170</f>
        <v>0</v>
      </c>
      <c r="M170" s="83">
        <f>DECEMBER!B170</f>
        <v>0</v>
      </c>
      <c r="N170" s="187">
        <f t="shared" si="12"/>
        <v>0</v>
      </c>
      <c r="O170" s="187">
        <f t="shared" si="13"/>
        <v>0</v>
      </c>
      <c r="P170" s="187">
        <f t="shared" si="14"/>
        <v>0</v>
      </c>
      <c r="Q170" s="187">
        <f t="shared" si="15"/>
        <v>0</v>
      </c>
      <c r="R170" s="198">
        <f t="shared" si="16"/>
        <v>0</v>
      </c>
      <c r="S170" s="186">
        <f>TARGET!B170</f>
        <v>0</v>
      </c>
      <c r="T170" s="208" t="e">
        <f t="shared" si="17"/>
        <v>#DIV/0!</v>
      </c>
    </row>
    <row r="171" spans="1:21" ht="15.75" customHeight="1" x14ac:dyDescent="0.2">
      <c r="A171" s="55" t="s">
        <v>256</v>
      </c>
      <c r="B171" s="195">
        <f>JANUARY!B171</f>
        <v>0</v>
      </c>
      <c r="C171" s="83">
        <f>FEBRUARY!B171</f>
        <v>0</v>
      </c>
      <c r="D171" s="83">
        <f>MARCH!B171</f>
        <v>0</v>
      </c>
      <c r="E171" s="83">
        <f>APRIL!B171</f>
        <v>0</v>
      </c>
      <c r="F171" s="83">
        <f>MAY!B171</f>
        <v>0</v>
      </c>
      <c r="G171" s="83">
        <f>JUNE!B171</f>
        <v>0</v>
      </c>
      <c r="H171" s="83">
        <f>JULY!B171</f>
        <v>0</v>
      </c>
      <c r="I171" s="83">
        <f>AUGUST!B171</f>
        <v>0</v>
      </c>
      <c r="J171" s="83">
        <f>SEPTEMBER!B171</f>
        <v>0</v>
      </c>
      <c r="K171" s="83">
        <f>OCTOBER!B171</f>
        <v>0</v>
      </c>
      <c r="L171" s="83">
        <f>NOVEMBER!B171</f>
        <v>0</v>
      </c>
      <c r="M171" s="83">
        <f>DECEMBER!B171</f>
        <v>0</v>
      </c>
      <c r="N171" s="187">
        <f t="shared" si="12"/>
        <v>0</v>
      </c>
      <c r="O171" s="187">
        <f t="shared" si="13"/>
        <v>0</v>
      </c>
      <c r="P171" s="187">
        <f t="shared" si="14"/>
        <v>0</v>
      </c>
      <c r="Q171" s="187">
        <f t="shared" si="15"/>
        <v>0</v>
      </c>
      <c r="R171" s="198">
        <f t="shared" si="16"/>
        <v>0</v>
      </c>
      <c r="S171" s="186">
        <f>TARGET!B171</f>
        <v>0</v>
      </c>
      <c r="T171" s="208" t="e">
        <f t="shared" si="17"/>
        <v>#DIV/0!</v>
      </c>
    </row>
    <row r="172" spans="1:21" ht="15.75" customHeight="1" x14ac:dyDescent="0.25">
      <c r="A172" s="57" t="s">
        <v>234</v>
      </c>
      <c r="B172" s="162">
        <f>JANUARY!B172</f>
        <v>0</v>
      </c>
      <c r="C172" s="162">
        <f>FEBRUARY!B172</f>
        <v>0</v>
      </c>
      <c r="D172" s="162">
        <f>MARCH!B172</f>
        <v>0</v>
      </c>
      <c r="E172" s="162">
        <f>APRIL!B172</f>
        <v>0</v>
      </c>
      <c r="F172" s="162">
        <f>MAY!B172</f>
        <v>0</v>
      </c>
      <c r="G172" s="162">
        <f>JUNE!B172</f>
        <v>0</v>
      </c>
      <c r="H172" s="162">
        <f>JULY!B172</f>
        <v>0</v>
      </c>
      <c r="I172" s="162">
        <f>AUGUST!B172</f>
        <v>0</v>
      </c>
      <c r="J172" s="162">
        <f>SEPTEMBER!B172</f>
        <v>0</v>
      </c>
      <c r="K172" s="162">
        <f>OCTOBER!B172</f>
        <v>0</v>
      </c>
      <c r="L172" s="162">
        <f>NOVEMBER!B172</f>
        <v>0</v>
      </c>
      <c r="M172" s="162">
        <f>DECEMBER!B172</f>
        <v>0</v>
      </c>
      <c r="N172" s="185">
        <f t="shared" si="12"/>
        <v>0</v>
      </c>
      <c r="O172" s="185">
        <f t="shared" si="13"/>
        <v>0</v>
      </c>
      <c r="P172" s="185">
        <f t="shared" si="14"/>
        <v>0</v>
      </c>
      <c r="Q172" s="185">
        <f t="shared" si="15"/>
        <v>0</v>
      </c>
      <c r="R172" s="197">
        <f t="shared" si="16"/>
        <v>0</v>
      </c>
      <c r="S172" s="162">
        <f>TARGET!B172</f>
        <v>0</v>
      </c>
      <c r="T172" s="208" t="e">
        <f t="shared" si="17"/>
        <v>#DIV/0!</v>
      </c>
    </row>
    <row r="173" spans="1:21" ht="15.75" customHeight="1" x14ac:dyDescent="0.2">
      <c r="A173" s="55" t="s">
        <v>235</v>
      </c>
      <c r="B173" s="195">
        <f>JANUARY!B173</f>
        <v>0</v>
      </c>
      <c r="C173" s="83">
        <f>FEBRUARY!B173</f>
        <v>0</v>
      </c>
      <c r="D173" s="83">
        <f>MARCH!B173</f>
        <v>0</v>
      </c>
      <c r="E173" s="83">
        <f>APRIL!B173</f>
        <v>0</v>
      </c>
      <c r="F173" s="83">
        <f>MAY!B173</f>
        <v>0</v>
      </c>
      <c r="G173" s="83">
        <f>JUNE!B173</f>
        <v>0</v>
      </c>
      <c r="H173" s="83">
        <f>JULY!B173</f>
        <v>0</v>
      </c>
      <c r="I173" s="83">
        <f>AUGUST!B173</f>
        <v>0</v>
      </c>
      <c r="J173" s="83">
        <f>SEPTEMBER!B173</f>
        <v>0</v>
      </c>
      <c r="K173" s="83">
        <f>OCTOBER!B173</f>
        <v>0</v>
      </c>
      <c r="L173" s="83">
        <f>NOVEMBER!B173</f>
        <v>0</v>
      </c>
      <c r="M173" s="83">
        <f>DECEMBER!B173</f>
        <v>0</v>
      </c>
      <c r="N173" s="187">
        <f t="shared" si="12"/>
        <v>0</v>
      </c>
      <c r="O173" s="187">
        <f t="shared" si="13"/>
        <v>0</v>
      </c>
      <c r="P173" s="187">
        <f t="shared" si="14"/>
        <v>0</v>
      </c>
      <c r="Q173" s="187">
        <f t="shared" si="15"/>
        <v>0</v>
      </c>
      <c r="R173" s="198">
        <f t="shared" si="16"/>
        <v>0</v>
      </c>
      <c r="S173" s="186">
        <f>TARGET!B173</f>
        <v>0</v>
      </c>
      <c r="T173" s="208" t="e">
        <f t="shared" si="17"/>
        <v>#DIV/0!</v>
      </c>
    </row>
    <row r="174" spans="1:21" ht="15.75" customHeight="1" x14ac:dyDescent="0.2">
      <c r="A174" s="55" t="s">
        <v>236</v>
      </c>
      <c r="B174" s="195">
        <f>JANUARY!B174</f>
        <v>0</v>
      </c>
      <c r="C174" s="83">
        <f>FEBRUARY!B174</f>
        <v>0</v>
      </c>
      <c r="D174" s="83">
        <f>MARCH!B174</f>
        <v>0</v>
      </c>
      <c r="E174" s="83">
        <f>APRIL!B174</f>
        <v>0</v>
      </c>
      <c r="F174" s="83">
        <f>MAY!B174</f>
        <v>0</v>
      </c>
      <c r="G174" s="83">
        <f>JUNE!B174</f>
        <v>0</v>
      </c>
      <c r="H174" s="83">
        <f>JULY!B174</f>
        <v>0</v>
      </c>
      <c r="I174" s="83">
        <f>AUGUST!B174</f>
        <v>0</v>
      </c>
      <c r="J174" s="83">
        <f>SEPTEMBER!B174</f>
        <v>0</v>
      </c>
      <c r="K174" s="83">
        <f>OCTOBER!B174</f>
        <v>0</v>
      </c>
      <c r="L174" s="83">
        <f>NOVEMBER!B174</f>
        <v>0</v>
      </c>
      <c r="M174" s="83">
        <f>DECEMBER!B174</f>
        <v>0</v>
      </c>
      <c r="N174" s="187">
        <f t="shared" si="12"/>
        <v>0</v>
      </c>
      <c r="O174" s="187">
        <f t="shared" si="13"/>
        <v>0</v>
      </c>
      <c r="P174" s="187">
        <f t="shared" si="14"/>
        <v>0</v>
      </c>
      <c r="Q174" s="187">
        <f t="shared" si="15"/>
        <v>0</v>
      </c>
      <c r="R174" s="198">
        <f t="shared" si="16"/>
        <v>0</v>
      </c>
      <c r="S174" s="186">
        <f>TARGET!B174</f>
        <v>0</v>
      </c>
      <c r="T174" s="208" t="e">
        <f t="shared" si="17"/>
        <v>#DIV/0!</v>
      </c>
    </row>
    <row r="175" spans="1:21" ht="15.75" customHeight="1" x14ac:dyDescent="0.2">
      <c r="A175" s="62" t="s">
        <v>86</v>
      </c>
      <c r="B175" s="195">
        <f>JANUARY!B175</f>
        <v>0</v>
      </c>
      <c r="C175" s="83">
        <f>FEBRUARY!B175</f>
        <v>0</v>
      </c>
      <c r="D175" s="83">
        <f>MARCH!B175</f>
        <v>0</v>
      </c>
      <c r="E175" s="83">
        <f>APRIL!B175</f>
        <v>0</v>
      </c>
      <c r="F175" s="83">
        <f>MAY!B175</f>
        <v>0</v>
      </c>
      <c r="G175" s="83">
        <f>JUNE!B175</f>
        <v>0</v>
      </c>
      <c r="H175" s="83">
        <f>JULY!B175</f>
        <v>0</v>
      </c>
      <c r="I175" s="83">
        <f>AUGUST!B175</f>
        <v>0</v>
      </c>
      <c r="J175" s="83">
        <f>SEPTEMBER!B175</f>
        <v>0</v>
      </c>
      <c r="K175" s="83">
        <f>OCTOBER!B175</f>
        <v>0</v>
      </c>
      <c r="L175" s="83">
        <f>NOVEMBER!B175</f>
        <v>0</v>
      </c>
      <c r="M175" s="83">
        <f>DECEMBER!B175</f>
        <v>0</v>
      </c>
      <c r="N175" s="187">
        <f t="shared" si="12"/>
        <v>0</v>
      </c>
      <c r="O175" s="187">
        <f t="shared" si="13"/>
        <v>0</v>
      </c>
      <c r="P175" s="187">
        <f t="shared" si="14"/>
        <v>0</v>
      </c>
      <c r="Q175" s="187">
        <f t="shared" si="15"/>
        <v>0</v>
      </c>
      <c r="R175" s="198">
        <f t="shared" si="16"/>
        <v>0</v>
      </c>
      <c r="S175" s="186">
        <f>TARGET!B175</f>
        <v>0</v>
      </c>
      <c r="T175" s="208" t="e">
        <f t="shared" si="17"/>
        <v>#DIV/0!</v>
      </c>
    </row>
    <row r="176" spans="1:21" ht="15.75" customHeight="1" x14ac:dyDescent="0.25">
      <c r="A176" s="81" t="s">
        <v>87</v>
      </c>
      <c r="B176" s="162">
        <f>JANUARY!B176</f>
        <v>0</v>
      </c>
      <c r="C176" s="162">
        <f>FEBRUARY!B176</f>
        <v>0</v>
      </c>
      <c r="D176" s="162">
        <f>MARCH!B176</f>
        <v>0</v>
      </c>
      <c r="E176" s="162">
        <f>APRIL!B176</f>
        <v>0</v>
      </c>
      <c r="F176" s="162">
        <f>MAY!B176</f>
        <v>0</v>
      </c>
      <c r="G176" s="162">
        <f>JUNE!B176</f>
        <v>0</v>
      </c>
      <c r="H176" s="162">
        <f>JULY!B176</f>
        <v>0</v>
      </c>
      <c r="I176" s="162">
        <f>AUGUST!B176</f>
        <v>0</v>
      </c>
      <c r="J176" s="162">
        <f>SEPTEMBER!B176</f>
        <v>0</v>
      </c>
      <c r="K176" s="162">
        <f>OCTOBER!B176</f>
        <v>0</v>
      </c>
      <c r="L176" s="162">
        <f>NOVEMBER!B176</f>
        <v>0</v>
      </c>
      <c r="M176" s="162">
        <f>DECEMBER!B176</f>
        <v>0</v>
      </c>
      <c r="N176" s="185">
        <f t="shared" si="12"/>
        <v>0</v>
      </c>
      <c r="O176" s="185">
        <f t="shared" si="13"/>
        <v>0</v>
      </c>
      <c r="P176" s="185">
        <f t="shared" si="14"/>
        <v>0</v>
      </c>
      <c r="Q176" s="185">
        <f t="shared" si="15"/>
        <v>0</v>
      </c>
      <c r="R176" s="197">
        <f t="shared" si="16"/>
        <v>0</v>
      </c>
      <c r="S176" s="162">
        <f>TARGET!B176</f>
        <v>0</v>
      </c>
      <c r="T176" s="208" t="e">
        <f t="shared" si="17"/>
        <v>#DIV/0!</v>
      </c>
      <c r="U176" s="280">
        <f>R176</f>
        <v>0</v>
      </c>
    </row>
    <row r="177" spans="1:21" ht="15.75" customHeight="1" x14ac:dyDescent="0.2">
      <c r="A177" s="55" t="s">
        <v>257</v>
      </c>
      <c r="B177" s="195">
        <f>JANUARY!B177</f>
        <v>0</v>
      </c>
      <c r="C177" s="83">
        <f>FEBRUARY!B177</f>
        <v>0</v>
      </c>
      <c r="D177" s="83">
        <f>MARCH!B177</f>
        <v>0</v>
      </c>
      <c r="E177" s="83">
        <f>APRIL!B177</f>
        <v>0</v>
      </c>
      <c r="F177" s="83">
        <f>MAY!B177</f>
        <v>0</v>
      </c>
      <c r="G177" s="83">
        <f>JUNE!B177</f>
        <v>0</v>
      </c>
      <c r="H177" s="83">
        <f>JULY!B177</f>
        <v>0</v>
      </c>
      <c r="I177" s="83">
        <f>AUGUST!B177</f>
        <v>0</v>
      </c>
      <c r="J177" s="83">
        <f>SEPTEMBER!B177</f>
        <v>0</v>
      </c>
      <c r="K177" s="83">
        <f>OCTOBER!B177</f>
        <v>0</v>
      </c>
      <c r="L177" s="83">
        <f>NOVEMBER!B177</f>
        <v>0</v>
      </c>
      <c r="M177" s="83">
        <f>DECEMBER!B177</f>
        <v>0</v>
      </c>
      <c r="N177" s="187">
        <f t="shared" si="12"/>
        <v>0</v>
      </c>
      <c r="O177" s="187">
        <f t="shared" si="13"/>
        <v>0</v>
      </c>
      <c r="P177" s="187">
        <f t="shared" si="14"/>
        <v>0</v>
      </c>
      <c r="Q177" s="187">
        <f t="shared" si="15"/>
        <v>0</v>
      </c>
      <c r="R177" s="198">
        <f t="shared" si="16"/>
        <v>0</v>
      </c>
      <c r="S177" s="186">
        <f>TARGET!B177</f>
        <v>0</v>
      </c>
      <c r="T177" s="208" t="e">
        <f t="shared" si="17"/>
        <v>#DIV/0!</v>
      </c>
    </row>
    <row r="178" spans="1:21" ht="15.75" customHeight="1" x14ac:dyDescent="0.2">
      <c r="A178" s="55" t="s">
        <v>258</v>
      </c>
      <c r="B178" s="195">
        <f>JANUARY!B178</f>
        <v>0</v>
      </c>
      <c r="C178" s="83">
        <f>FEBRUARY!B178</f>
        <v>0</v>
      </c>
      <c r="D178" s="83">
        <f>MARCH!B178</f>
        <v>0</v>
      </c>
      <c r="E178" s="83">
        <f>APRIL!B178</f>
        <v>0</v>
      </c>
      <c r="F178" s="83">
        <f>MAY!B178</f>
        <v>0</v>
      </c>
      <c r="G178" s="83">
        <f>JUNE!B178</f>
        <v>0</v>
      </c>
      <c r="H178" s="83">
        <f>JULY!B178</f>
        <v>0</v>
      </c>
      <c r="I178" s="83">
        <f>AUGUST!B178</f>
        <v>0</v>
      </c>
      <c r="J178" s="83">
        <f>SEPTEMBER!B178</f>
        <v>0</v>
      </c>
      <c r="K178" s="83">
        <f>OCTOBER!B178</f>
        <v>0</v>
      </c>
      <c r="L178" s="83">
        <f>NOVEMBER!B178</f>
        <v>0</v>
      </c>
      <c r="M178" s="83">
        <f>DECEMBER!B178</f>
        <v>0</v>
      </c>
      <c r="N178" s="187">
        <f t="shared" si="12"/>
        <v>0</v>
      </c>
      <c r="O178" s="187">
        <f t="shared" si="13"/>
        <v>0</v>
      </c>
      <c r="P178" s="187">
        <f t="shared" si="14"/>
        <v>0</v>
      </c>
      <c r="Q178" s="187">
        <f t="shared" si="15"/>
        <v>0</v>
      </c>
      <c r="R178" s="198">
        <f t="shared" si="16"/>
        <v>0</v>
      </c>
      <c r="S178" s="186">
        <f>TARGET!B178</f>
        <v>0</v>
      </c>
      <c r="T178" s="208" t="e">
        <f t="shared" si="17"/>
        <v>#DIV/0!</v>
      </c>
    </row>
    <row r="179" spans="1:21" ht="15.75" customHeight="1" x14ac:dyDescent="0.2">
      <c r="A179" s="62" t="s">
        <v>88</v>
      </c>
      <c r="B179" s="195">
        <f>JANUARY!B179</f>
        <v>0</v>
      </c>
      <c r="C179" s="83">
        <f>FEBRUARY!B179</f>
        <v>0</v>
      </c>
      <c r="D179" s="83">
        <f>MARCH!B179</f>
        <v>0</v>
      </c>
      <c r="E179" s="83">
        <f>APRIL!B179</f>
        <v>0</v>
      </c>
      <c r="F179" s="83">
        <f>MAY!B179</f>
        <v>0</v>
      </c>
      <c r="G179" s="83">
        <f>JUNE!B179</f>
        <v>0</v>
      </c>
      <c r="H179" s="83">
        <f>JULY!B179</f>
        <v>0</v>
      </c>
      <c r="I179" s="83">
        <f>AUGUST!B179</f>
        <v>0</v>
      </c>
      <c r="J179" s="83">
        <f>SEPTEMBER!B179</f>
        <v>0</v>
      </c>
      <c r="K179" s="83">
        <f>OCTOBER!B179</f>
        <v>0</v>
      </c>
      <c r="L179" s="83">
        <f>NOVEMBER!B179</f>
        <v>0</v>
      </c>
      <c r="M179" s="83">
        <f>DECEMBER!B179</f>
        <v>0</v>
      </c>
      <c r="N179" s="187">
        <f t="shared" si="12"/>
        <v>0</v>
      </c>
      <c r="O179" s="187">
        <f t="shared" si="13"/>
        <v>0</v>
      </c>
      <c r="P179" s="187">
        <f t="shared" si="14"/>
        <v>0</v>
      </c>
      <c r="Q179" s="187">
        <f t="shared" si="15"/>
        <v>0</v>
      </c>
      <c r="R179" s="198">
        <f t="shared" si="16"/>
        <v>0</v>
      </c>
      <c r="S179" s="186">
        <f>TARGET!B179</f>
        <v>0</v>
      </c>
      <c r="T179" s="208" t="e">
        <f t="shared" si="17"/>
        <v>#DIV/0!</v>
      </c>
    </row>
    <row r="180" spans="1:21" ht="15.75" customHeight="1" x14ac:dyDescent="0.25">
      <c r="A180" s="81" t="s">
        <v>15</v>
      </c>
      <c r="B180" s="162">
        <f>JANUARY!B180</f>
        <v>0</v>
      </c>
      <c r="C180" s="162">
        <f>FEBRUARY!B180</f>
        <v>0</v>
      </c>
      <c r="D180" s="162">
        <f>MARCH!B180</f>
        <v>0</v>
      </c>
      <c r="E180" s="162">
        <f>APRIL!B180</f>
        <v>0</v>
      </c>
      <c r="F180" s="162">
        <f>MAY!B180</f>
        <v>0</v>
      </c>
      <c r="G180" s="162">
        <f>JUNE!B180</f>
        <v>0</v>
      </c>
      <c r="H180" s="162">
        <f>JULY!B180</f>
        <v>0</v>
      </c>
      <c r="I180" s="162">
        <f>AUGUST!B180</f>
        <v>0</v>
      </c>
      <c r="J180" s="162">
        <f>SEPTEMBER!B180</f>
        <v>0</v>
      </c>
      <c r="K180" s="162">
        <f>OCTOBER!B180</f>
        <v>0</v>
      </c>
      <c r="L180" s="162">
        <f>NOVEMBER!B180</f>
        <v>0</v>
      </c>
      <c r="M180" s="162">
        <f>DECEMBER!B180</f>
        <v>0</v>
      </c>
      <c r="N180" s="185">
        <f t="shared" si="12"/>
        <v>0</v>
      </c>
      <c r="O180" s="185">
        <f t="shared" si="13"/>
        <v>0</v>
      </c>
      <c r="P180" s="185">
        <f t="shared" si="14"/>
        <v>0</v>
      </c>
      <c r="Q180" s="185">
        <f t="shared" si="15"/>
        <v>0</v>
      </c>
      <c r="R180" s="197">
        <f t="shared" si="16"/>
        <v>0</v>
      </c>
      <c r="S180" s="162">
        <f>TARGET!B180</f>
        <v>0</v>
      </c>
      <c r="T180" s="208" t="e">
        <f t="shared" si="17"/>
        <v>#DIV/0!</v>
      </c>
      <c r="U180" s="280">
        <f>R180</f>
        <v>0</v>
      </c>
    </row>
    <row r="181" spans="1:21" ht="15.75" customHeight="1" x14ac:dyDescent="0.2">
      <c r="A181" s="55" t="s">
        <v>16</v>
      </c>
      <c r="B181" s="195">
        <f>JANUARY!B181</f>
        <v>0</v>
      </c>
      <c r="C181" s="83">
        <f>FEBRUARY!B181</f>
        <v>0</v>
      </c>
      <c r="D181" s="83">
        <f>MARCH!B181</f>
        <v>0</v>
      </c>
      <c r="E181" s="83">
        <f>APRIL!B181</f>
        <v>0</v>
      </c>
      <c r="F181" s="83">
        <f>MAY!B181</f>
        <v>0</v>
      </c>
      <c r="G181" s="83">
        <f>JUNE!B181</f>
        <v>0</v>
      </c>
      <c r="H181" s="83">
        <f>JULY!B181</f>
        <v>0</v>
      </c>
      <c r="I181" s="83">
        <f>AUGUST!B181</f>
        <v>0</v>
      </c>
      <c r="J181" s="83">
        <f>SEPTEMBER!B181</f>
        <v>0</v>
      </c>
      <c r="K181" s="83">
        <f>OCTOBER!B181</f>
        <v>0</v>
      </c>
      <c r="L181" s="83">
        <f>NOVEMBER!B181</f>
        <v>0</v>
      </c>
      <c r="M181" s="83">
        <f>DECEMBER!B181</f>
        <v>0</v>
      </c>
      <c r="N181" s="187">
        <f t="shared" si="12"/>
        <v>0</v>
      </c>
      <c r="O181" s="187">
        <f t="shared" si="13"/>
        <v>0</v>
      </c>
      <c r="P181" s="187">
        <f t="shared" si="14"/>
        <v>0</v>
      </c>
      <c r="Q181" s="187">
        <f t="shared" si="15"/>
        <v>0</v>
      </c>
      <c r="R181" s="198">
        <f t="shared" si="16"/>
        <v>0</v>
      </c>
      <c r="S181" s="186">
        <f>TARGET!B181</f>
        <v>0</v>
      </c>
      <c r="T181" s="208" t="e">
        <f t="shared" si="17"/>
        <v>#DIV/0!</v>
      </c>
    </row>
    <row r="182" spans="1:21" ht="15.75" customHeight="1" x14ac:dyDescent="0.2">
      <c r="A182" s="55" t="s">
        <v>211</v>
      </c>
      <c r="B182" s="195">
        <f>JANUARY!B182</f>
        <v>0</v>
      </c>
      <c r="C182" s="83">
        <f>FEBRUARY!B182</f>
        <v>0</v>
      </c>
      <c r="D182" s="83">
        <f>MARCH!B182</f>
        <v>0</v>
      </c>
      <c r="E182" s="83">
        <f>APRIL!B182</f>
        <v>0</v>
      </c>
      <c r="F182" s="83">
        <f>MAY!B182</f>
        <v>0</v>
      </c>
      <c r="G182" s="83">
        <f>JUNE!B182</f>
        <v>0</v>
      </c>
      <c r="H182" s="83">
        <f>JULY!B182</f>
        <v>0</v>
      </c>
      <c r="I182" s="83">
        <f>AUGUST!B182</f>
        <v>0</v>
      </c>
      <c r="J182" s="83">
        <f>SEPTEMBER!B182</f>
        <v>0</v>
      </c>
      <c r="K182" s="83">
        <f>OCTOBER!B182</f>
        <v>0</v>
      </c>
      <c r="L182" s="83">
        <f>NOVEMBER!B182</f>
        <v>0</v>
      </c>
      <c r="M182" s="83">
        <f>DECEMBER!B182</f>
        <v>0</v>
      </c>
      <c r="N182" s="187">
        <f t="shared" si="12"/>
        <v>0</v>
      </c>
      <c r="O182" s="187">
        <f t="shared" si="13"/>
        <v>0</v>
      </c>
      <c r="P182" s="187">
        <f t="shared" si="14"/>
        <v>0</v>
      </c>
      <c r="Q182" s="187">
        <f t="shared" si="15"/>
        <v>0</v>
      </c>
      <c r="R182" s="198">
        <f t="shared" si="16"/>
        <v>0</v>
      </c>
      <c r="S182" s="186">
        <f>TARGET!B182</f>
        <v>0</v>
      </c>
      <c r="T182" s="208" t="e">
        <f t="shared" si="17"/>
        <v>#DIV/0!</v>
      </c>
    </row>
    <row r="183" spans="1:21" ht="15.75" customHeight="1" x14ac:dyDescent="0.2">
      <c r="A183" s="62" t="s">
        <v>124</v>
      </c>
      <c r="B183" s="195">
        <f>JANUARY!B183</f>
        <v>0</v>
      </c>
      <c r="C183" s="83">
        <f>FEBRUARY!B183</f>
        <v>0</v>
      </c>
      <c r="D183" s="83">
        <f>MARCH!B183</f>
        <v>0</v>
      </c>
      <c r="E183" s="83">
        <f>APRIL!B183</f>
        <v>0</v>
      </c>
      <c r="F183" s="83">
        <f>MAY!B183</f>
        <v>0</v>
      </c>
      <c r="G183" s="83">
        <f>JUNE!B183</f>
        <v>0</v>
      </c>
      <c r="H183" s="83">
        <f>JULY!B183</f>
        <v>0</v>
      </c>
      <c r="I183" s="83">
        <f>AUGUST!B183</f>
        <v>0</v>
      </c>
      <c r="J183" s="83">
        <f>SEPTEMBER!B183</f>
        <v>0</v>
      </c>
      <c r="K183" s="83">
        <f>OCTOBER!B183</f>
        <v>0</v>
      </c>
      <c r="L183" s="83">
        <f>NOVEMBER!B183</f>
        <v>0</v>
      </c>
      <c r="M183" s="83">
        <f>DECEMBER!B183</f>
        <v>0</v>
      </c>
      <c r="N183" s="187">
        <f t="shared" si="12"/>
        <v>0</v>
      </c>
      <c r="O183" s="187">
        <f t="shared" si="13"/>
        <v>0</v>
      </c>
      <c r="P183" s="187">
        <f t="shared" si="14"/>
        <v>0</v>
      </c>
      <c r="Q183" s="187">
        <f t="shared" si="15"/>
        <v>0</v>
      </c>
      <c r="R183" s="198">
        <f t="shared" si="16"/>
        <v>0</v>
      </c>
      <c r="S183" s="186">
        <f>TARGET!B183</f>
        <v>0</v>
      </c>
      <c r="T183" s="208" t="e">
        <f t="shared" si="17"/>
        <v>#DIV/0!</v>
      </c>
    </row>
    <row r="184" spans="1:21" ht="15.75" customHeight="1" x14ac:dyDescent="0.2">
      <c r="A184" s="62" t="s">
        <v>89</v>
      </c>
      <c r="B184" s="195">
        <f>JANUARY!B184</f>
        <v>0</v>
      </c>
      <c r="C184" s="83">
        <f>FEBRUARY!B184</f>
        <v>0</v>
      </c>
      <c r="D184" s="83">
        <f>MARCH!B184</f>
        <v>0</v>
      </c>
      <c r="E184" s="83">
        <f>APRIL!B184</f>
        <v>0</v>
      </c>
      <c r="F184" s="83">
        <f>MAY!B184</f>
        <v>0</v>
      </c>
      <c r="G184" s="83">
        <f>JUNE!B184</f>
        <v>0</v>
      </c>
      <c r="H184" s="83">
        <f>JULY!B184</f>
        <v>0</v>
      </c>
      <c r="I184" s="83">
        <f>AUGUST!B184</f>
        <v>0</v>
      </c>
      <c r="J184" s="83">
        <f>SEPTEMBER!B184</f>
        <v>0</v>
      </c>
      <c r="K184" s="83">
        <f>OCTOBER!B184</f>
        <v>0</v>
      </c>
      <c r="L184" s="83">
        <f>NOVEMBER!B184</f>
        <v>0</v>
      </c>
      <c r="M184" s="83">
        <f>DECEMBER!B184</f>
        <v>0</v>
      </c>
      <c r="N184" s="187">
        <f t="shared" si="12"/>
        <v>0</v>
      </c>
      <c r="O184" s="187">
        <f t="shared" si="13"/>
        <v>0</v>
      </c>
      <c r="P184" s="187">
        <f t="shared" si="14"/>
        <v>0</v>
      </c>
      <c r="Q184" s="187">
        <f t="shared" si="15"/>
        <v>0</v>
      </c>
      <c r="R184" s="198">
        <f t="shared" si="16"/>
        <v>0</v>
      </c>
      <c r="S184" s="186">
        <f>TARGET!B184</f>
        <v>0</v>
      </c>
      <c r="T184" s="208" t="e">
        <f>IF(R184/S184=0,"NONE",R184/S184)</f>
        <v>#DIV/0!</v>
      </c>
    </row>
    <row r="185" spans="1:21" ht="15.75" customHeight="1" x14ac:dyDescent="0.2">
      <c r="A185" s="62" t="s">
        <v>285</v>
      </c>
      <c r="B185" s="195">
        <f>JANUARY!B185</f>
        <v>0</v>
      </c>
      <c r="C185" s="83">
        <f>FEBRUARY!B185</f>
        <v>0</v>
      </c>
      <c r="D185" s="83">
        <f>MARCH!B185</f>
        <v>0</v>
      </c>
      <c r="E185" s="83">
        <f>APRIL!B185</f>
        <v>0</v>
      </c>
      <c r="F185" s="83">
        <f>MAY!B185</f>
        <v>0</v>
      </c>
      <c r="G185" s="83">
        <f>JUNE!B185</f>
        <v>0</v>
      </c>
      <c r="H185" s="83">
        <f>JULY!B185</f>
        <v>0</v>
      </c>
      <c r="I185" s="83">
        <f>AUGUST!B185</f>
        <v>0</v>
      </c>
      <c r="J185" s="83">
        <f>SEPTEMBER!B185</f>
        <v>0</v>
      </c>
      <c r="K185" s="83">
        <f>OCTOBER!B185</f>
        <v>0</v>
      </c>
      <c r="L185" s="83">
        <f>NOVEMBER!B185</f>
        <v>0</v>
      </c>
      <c r="M185" s="83">
        <f>DECEMBER!B185</f>
        <v>0</v>
      </c>
      <c r="N185" s="187">
        <f t="shared" si="12"/>
        <v>0</v>
      </c>
      <c r="O185" s="187">
        <f t="shared" si="13"/>
        <v>0</v>
      </c>
      <c r="P185" s="187">
        <f t="shared" si="14"/>
        <v>0</v>
      </c>
      <c r="Q185" s="187">
        <f t="shared" si="15"/>
        <v>0</v>
      </c>
      <c r="R185" s="198">
        <f>B185+C185+D185+E185+F185+G185+H185+I185+J185+K185+L185+M185</f>
        <v>0</v>
      </c>
      <c r="S185" s="186">
        <f>TARGET!B185</f>
        <v>0</v>
      </c>
      <c r="T185" s="208" t="e">
        <f>IF(R185/S185=0,"NONE",R185/S185)</f>
        <v>#DIV/0!</v>
      </c>
    </row>
    <row r="186" spans="1:21" ht="15.75" customHeight="1" x14ac:dyDescent="0.2">
      <c r="A186" s="81" t="s">
        <v>434</v>
      </c>
      <c r="B186" s="186">
        <f>JANUARY!B186</f>
        <v>0</v>
      </c>
      <c r="C186" s="262">
        <f>FEBRUARY!B188</f>
        <v>0</v>
      </c>
      <c r="D186" s="262">
        <f>MARCH!B188</f>
        <v>0</v>
      </c>
      <c r="E186" s="162">
        <f>APRIL!B186</f>
        <v>0</v>
      </c>
      <c r="F186" s="262">
        <f>MAY!B188</f>
        <v>0</v>
      </c>
      <c r="G186" s="262">
        <f>JUNE!B188</f>
        <v>0</v>
      </c>
      <c r="H186" s="262">
        <f>JULY!B188</f>
        <v>0</v>
      </c>
      <c r="I186" s="262">
        <f>AUGUST!B188</f>
        <v>0</v>
      </c>
      <c r="J186" s="262">
        <f>SEPTEMBER!B188</f>
        <v>0</v>
      </c>
      <c r="K186" s="262">
        <f>OCTOBER!B188</f>
        <v>8</v>
      </c>
      <c r="L186" s="262">
        <f>NOVEMBER!B188</f>
        <v>0</v>
      </c>
      <c r="M186" s="262">
        <f>DECEMBER!B188</f>
        <v>0</v>
      </c>
      <c r="N186" s="218">
        <f>B186+C186+D186</f>
        <v>0</v>
      </c>
      <c r="O186" s="218">
        <f>E186+F186+G186</f>
        <v>0</v>
      </c>
      <c r="P186" s="218">
        <f>H186+I186+J186</f>
        <v>0</v>
      </c>
      <c r="Q186" s="218">
        <f>K186+L186+M186</f>
        <v>8</v>
      </c>
      <c r="R186" s="198">
        <f>B186+C186+D186+E186+F186+G186+H186+I186+J186+K186+L186+M186</f>
        <v>8</v>
      </c>
      <c r="S186" s="186">
        <f>TARGET!B186</f>
        <v>0</v>
      </c>
      <c r="T186" s="208" t="e">
        <f>IF(R186/S186=0,"NONE",R186/S186)</f>
        <v>#DIV/0!</v>
      </c>
      <c r="U186" s="280">
        <f>R186</f>
        <v>8</v>
      </c>
    </row>
    <row r="187" spans="1:21" ht="15.75" customHeight="1" x14ac:dyDescent="0.2">
      <c r="A187" s="55" t="s">
        <v>435</v>
      </c>
      <c r="B187" s="195">
        <f>JANUARY!B187</f>
        <v>0</v>
      </c>
      <c r="C187" s="83">
        <f>FEBRUARY!B189</f>
        <v>0</v>
      </c>
      <c r="D187" s="83">
        <f>MARCH!B189</f>
        <v>0</v>
      </c>
      <c r="E187" s="83">
        <f>APRIL!B187</f>
        <v>0</v>
      </c>
      <c r="F187" s="83">
        <f>MAY!B189</f>
        <v>0</v>
      </c>
      <c r="G187" s="83">
        <f>JUNE!B189</f>
        <v>0</v>
      </c>
      <c r="H187" s="83">
        <f>JULY!B189</f>
        <v>0</v>
      </c>
      <c r="I187" s="83">
        <f>AUGUST!B189</f>
        <v>0</v>
      </c>
      <c r="J187" s="83">
        <f>SEPTEMBER!B189</f>
        <v>0</v>
      </c>
      <c r="K187" s="83">
        <f>OCTOBER!B189</f>
        <v>0</v>
      </c>
      <c r="L187" s="83">
        <f>NOVEMBER!B189</f>
        <v>0</v>
      </c>
      <c r="M187" s="83">
        <f>DECEMBER!B189</f>
        <v>0</v>
      </c>
      <c r="N187" s="187">
        <f>B187+C187+D187</f>
        <v>0</v>
      </c>
      <c r="O187" s="187">
        <f>E187+F187+G187</f>
        <v>0</v>
      </c>
      <c r="P187" s="187">
        <f>H187+I187+J187</f>
        <v>0</v>
      </c>
      <c r="Q187" s="187">
        <f>K187+L187+M187</f>
        <v>0</v>
      </c>
      <c r="R187" s="198">
        <f>B187+C187+D187+E187+F187+G187+H187+I187+J187+K187+L187+M187</f>
        <v>0</v>
      </c>
      <c r="S187" s="186">
        <f>TARGET!B187</f>
        <v>0</v>
      </c>
      <c r="T187" s="208" t="e">
        <f>IF(R187/S187=0,"NONE",R187/S187)</f>
        <v>#DIV/0!</v>
      </c>
    </row>
    <row r="188" spans="1:21" ht="15.75" customHeight="1" x14ac:dyDescent="0.25">
      <c r="A188" s="81" t="s">
        <v>436</v>
      </c>
      <c r="B188" s="162">
        <f>JANUARY!B188</f>
        <v>0</v>
      </c>
      <c r="C188" s="162">
        <f>FEBRUARY!B188</f>
        <v>0</v>
      </c>
      <c r="D188" s="162">
        <f>MARCH!B188</f>
        <v>0</v>
      </c>
      <c r="E188" s="162">
        <f>APRIL!B188</f>
        <v>0</v>
      </c>
      <c r="F188" s="162">
        <f>MAY!B188</f>
        <v>0</v>
      </c>
      <c r="G188" s="162">
        <f>JUNE!B188</f>
        <v>0</v>
      </c>
      <c r="H188" s="162">
        <f>JULY!B188</f>
        <v>0</v>
      </c>
      <c r="I188" s="162">
        <f>AUGUST!B188</f>
        <v>0</v>
      </c>
      <c r="J188" s="162">
        <f>SEPTEMBER!B188</f>
        <v>0</v>
      </c>
      <c r="K188" s="162">
        <f>OCTOBER!B188</f>
        <v>8</v>
      </c>
      <c r="L188" s="162">
        <f>NOVEMBER!B188</f>
        <v>0</v>
      </c>
      <c r="M188" s="162">
        <f>DECEMBER!B188</f>
        <v>0</v>
      </c>
      <c r="N188" s="185">
        <f t="shared" si="12"/>
        <v>0</v>
      </c>
      <c r="O188" s="185">
        <f t="shared" si="13"/>
        <v>0</v>
      </c>
      <c r="P188" s="185">
        <f t="shared" si="14"/>
        <v>0</v>
      </c>
      <c r="Q188" s="185">
        <f t="shared" si="15"/>
        <v>8</v>
      </c>
      <c r="R188" s="197">
        <f t="shared" si="16"/>
        <v>8</v>
      </c>
      <c r="S188" s="162">
        <f>TARGET!B188</f>
        <v>0</v>
      </c>
      <c r="T188" s="208" t="e">
        <f t="shared" si="17"/>
        <v>#DIV/0!</v>
      </c>
    </row>
    <row r="189" spans="1:21" ht="15.75" customHeight="1" x14ac:dyDescent="0.2">
      <c r="A189" s="55" t="s">
        <v>324</v>
      </c>
      <c r="B189" s="195">
        <f>JANUARY!B189</f>
        <v>0</v>
      </c>
      <c r="C189" s="83">
        <f>FEBRUARY!B189</f>
        <v>0</v>
      </c>
      <c r="D189" s="83">
        <f>MARCH!B189</f>
        <v>0</v>
      </c>
      <c r="E189" s="83">
        <f>APRIL!B189</f>
        <v>0</v>
      </c>
      <c r="F189" s="83">
        <f>MAY!B189</f>
        <v>0</v>
      </c>
      <c r="G189" s="83">
        <f>JUNE!B189</f>
        <v>0</v>
      </c>
      <c r="H189" s="83">
        <f>JULY!B189</f>
        <v>0</v>
      </c>
      <c r="I189" s="83">
        <f>AUGUST!B189</f>
        <v>0</v>
      </c>
      <c r="J189" s="83">
        <f>SEPTEMBER!B189</f>
        <v>0</v>
      </c>
      <c r="K189" s="83">
        <f>OCTOBER!B189</f>
        <v>0</v>
      </c>
      <c r="L189" s="83">
        <f>NOVEMBER!B189</f>
        <v>0</v>
      </c>
      <c r="M189" s="83">
        <f>DECEMBER!B189</f>
        <v>0</v>
      </c>
      <c r="N189" s="187">
        <f t="shared" si="12"/>
        <v>0</v>
      </c>
      <c r="O189" s="187">
        <f t="shared" si="13"/>
        <v>0</v>
      </c>
      <c r="P189" s="187">
        <f t="shared" si="14"/>
        <v>0</v>
      </c>
      <c r="Q189" s="187">
        <f t="shared" si="15"/>
        <v>0</v>
      </c>
      <c r="R189" s="198">
        <f t="shared" si="16"/>
        <v>0</v>
      </c>
      <c r="S189" s="186">
        <f>TARGET!B189</f>
        <v>0</v>
      </c>
      <c r="T189" s="208" t="e">
        <f t="shared" si="17"/>
        <v>#DIV/0!</v>
      </c>
    </row>
    <row r="190" spans="1:21" ht="15.75" customHeight="1" x14ac:dyDescent="0.2">
      <c r="A190" s="55" t="s">
        <v>437</v>
      </c>
      <c r="B190" s="195">
        <f>JANUARY!B190</f>
        <v>0</v>
      </c>
      <c r="C190" s="83">
        <f>FEBRUARY!B190</f>
        <v>0</v>
      </c>
      <c r="D190" s="83">
        <f>MARCH!B190</f>
        <v>0</v>
      </c>
      <c r="E190" s="83">
        <f>APRIL!B190</f>
        <v>0</v>
      </c>
      <c r="F190" s="83">
        <f>MAY!B190</f>
        <v>0</v>
      </c>
      <c r="G190" s="83">
        <f>JUNE!B190</f>
        <v>0</v>
      </c>
      <c r="H190" s="83">
        <f>JULY!B190</f>
        <v>0</v>
      </c>
      <c r="I190" s="83">
        <f>AUGUST!B190</f>
        <v>0</v>
      </c>
      <c r="J190" s="83">
        <f>SEPTEMBER!B190</f>
        <v>0</v>
      </c>
      <c r="K190" s="83">
        <f>OCTOBER!B190</f>
        <v>8</v>
      </c>
      <c r="L190" s="83">
        <f>NOVEMBER!B190</f>
        <v>0</v>
      </c>
      <c r="M190" s="83">
        <f>DECEMBER!B190</f>
        <v>0</v>
      </c>
      <c r="N190" s="187">
        <f t="shared" si="12"/>
        <v>0</v>
      </c>
      <c r="O190" s="187">
        <f t="shared" si="13"/>
        <v>0</v>
      </c>
      <c r="P190" s="187">
        <f t="shared" si="14"/>
        <v>0</v>
      </c>
      <c r="Q190" s="187">
        <f t="shared" si="15"/>
        <v>8</v>
      </c>
      <c r="R190" s="198">
        <f t="shared" si="16"/>
        <v>8</v>
      </c>
      <c r="S190" s="186">
        <f>TARGET!B190</f>
        <v>0</v>
      </c>
      <c r="T190" s="208" t="e">
        <f t="shared" si="17"/>
        <v>#DIV/0!</v>
      </c>
    </row>
    <row r="191" spans="1:21" ht="15.75" customHeight="1" x14ac:dyDescent="0.2">
      <c r="A191" s="55" t="s">
        <v>438</v>
      </c>
      <c r="B191" s="195">
        <f>JANUARY!B191</f>
        <v>0</v>
      </c>
      <c r="C191" s="83">
        <f>FEBRUARY!B191</f>
        <v>0</v>
      </c>
      <c r="D191" s="83">
        <f>MARCH!B191</f>
        <v>0</v>
      </c>
      <c r="E191" s="83">
        <f>APRIL!B191</f>
        <v>0</v>
      </c>
      <c r="F191" s="83">
        <f>MAY!B191</f>
        <v>0</v>
      </c>
      <c r="G191" s="83">
        <f>JUNE!B191</f>
        <v>0</v>
      </c>
      <c r="H191" s="83">
        <f>JULY!B191</f>
        <v>0</v>
      </c>
      <c r="I191" s="83">
        <f>AUGUST!B191</f>
        <v>0</v>
      </c>
      <c r="J191" s="83">
        <f>SEPTEMBER!B191</f>
        <v>0</v>
      </c>
      <c r="K191" s="83">
        <f>OCTOBER!B191</f>
        <v>0</v>
      </c>
      <c r="L191" s="83">
        <f>NOVEMBER!B191</f>
        <v>0</v>
      </c>
      <c r="M191" s="83">
        <f>DECEMBER!B191</f>
        <v>0</v>
      </c>
      <c r="N191" s="187">
        <f t="shared" si="12"/>
        <v>0</v>
      </c>
      <c r="O191" s="187">
        <f t="shared" si="13"/>
        <v>0</v>
      </c>
      <c r="P191" s="187">
        <f t="shared" si="14"/>
        <v>0</v>
      </c>
      <c r="Q191" s="187">
        <f t="shared" si="15"/>
        <v>0</v>
      </c>
      <c r="R191" s="198">
        <f t="shared" si="16"/>
        <v>0</v>
      </c>
      <c r="S191" s="186">
        <f>TARGET!B191</f>
        <v>0</v>
      </c>
      <c r="T191" s="208" t="e">
        <f t="shared" si="17"/>
        <v>#DIV/0!</v>
      </c>
    </row>
    <row r="192" spans="1:21" ht="15.75" customHeight="1" x14ac:dyDescent="0.25">
      <c r="A192" s="81" t="s">
        <v>439</v>
      </c>
      <c r="B192" s="162">
        <f>JANUARY!B192</f>
        <v>0</v>
      </c>
      <c r="C192" s="162">
        <f>FEBRUARY!B192</f>
        <v>0</v>
      </c>
      <c r="D192" s="162">
        <f>MARCH!B192</f>
        <v>0</v>
      </c>
      <c r="E192" s="162">
        <f>APRIL!B192</f>
        <v>0</v>
      </c>
      <c r="F192" s="162">
        <f>MAY!B192</f>
        <v>0</v>
      </c>
      <c r="G192" s="162">
        <f>JUNE!B192</f>
        <v>0</v>
      </c>
      <c r="H192" s="162">
        <f>JULY!B192</f>
        <v>0</v>
      </c>
      <c r="I192" s="162">
        <f>AUGUST!B192</f>
        <v>0</v>
      </c>
      <c r="J192" s="162">
        <f>SEPTEMBER!B192</f>
        <v>0</v>
      </c>
      <c r="K192" s="162">
        <f>OCTOBER!B192</f>
        <v>1989</v>
      </c>
      <c r="L192" s="162">
        <f>NOVEMBER!B192</f>
        <v>0</v>
      </c>
      <c r="M192" s="162">
        <f>DECEMBER!B192</f>
        <v>0</v>
      </c>
      <c r="N192" s="185">
        <f t="shared" si="12"/>
        <v>0</v>
      </c>
      <c r="O192" s="185">
        <f t="shared" si="13"/>
        <v>0</v>
      </c>
      <c r="P192" s="185">
        <f t="shared" si="14"/>
        <v>0</v>
      </c>
      <c r="Q192" s="185">
        <f t="shared" si="15"/>
        <v>1989</v>
      </c>
      <c r="R192" s="197">
        <f t="shared" si="16"/>
        <v>1989</v>
      </c>
      <c r="S192" s="162">
        <f>TARGET!B192</f>
        <v>0</v>
      </c>
      <c r="T192" s="208" t="e">
        <f t="shared" si="17"/>
        <v>#DIV/0!</v>
      </c>
    </row>
    <row r="193" spans="1:21" ht="15.75" customHeight="1" x14ac:dyDescent="0.2">
      <c r="A193" s="55" t="s">
        <v>440</v>
      </c>
      <c r="B193" s="195">
        <f>JANUARY!B193</f>
        <v>0</v>
      </c>
      <c r="C193" s="83">
        <f>FEBRUARY!B193</f>
        <v>0</v>
      </c>
      <c r="D193" s="83">
        <f>MARCH!B193</f>
        <v>0</v>
      </c>
      <c r="E193" s="83">
        <f>APRIL!B193</f>
        <v>0</v>
      </c>
      <c r="F193" s="83">
        <f>MAY!B193</f>
        <v>0</v>
      </c>
      <c r="G193" s="83">
        <f>JUNE!B193</f>
        <v>0</v>
      </c>
      <c r="H193" s="83">
        <f>JULY!B193</f>
        <v>0</v>
      </c>
      <c r="I193" s="83">
        <f>AUGUST!B193</f>
        <v>0</v>
      </c>
      <c r="J193" s="83">
        <f>SEPTEMBER!B193</f>
        <v>0</v>
      </c>
      <c r="K193" s="83">
        <f>OCTOBER!B193</f>
        <v>0</v>
      </c>
      <c r="L193" s="83">
        <f>NOVEMBER!B193</f>
        <v>0</v>
      </c>
      <c r="M193" s="83">
        <f>DECEMBER!B193</f>
        <v>0</v>
      </c>
      <c r="N193" s="187">
        <f t="shared" si="12"/>
        <v>0</v>
      </c>
      <c r="O193" s="187">
        <f t="shared" si="13"/>
        <v>0</v>
      </c>
      <c r="P193" s="187">
        <f t="shared" si="14"/>
        <v>0</v>
      </c>
      <c r="Q193" s="187">
        <f t="shared" si="15"/>
        <v>0</v>
      </c>
      <c r="R193" s="198">
        <f t="shared" si="16"/>
        <v>0</v>
      </c>
      <c r="S193" s="186">
        <f>TARGET!B193</f>
        <v>0</v>
      </c>
      <c r="T193" s="208" t="e">
        <f t="shared" si="17"/>
        <v>#DIV/0!</v>
      </c>
    </row>
    <row r="194" spans="1:21" ht="15.75" customHeight="1" x14ac:dyDescent="0.2">
      <c r="A194" s="55" t="s">
        <v>441</v>
      </c>
      <c r="B194" s="195">
        <f>JANUARY!B194</f>
        <v>0</v>
      </c>
      <c r="C194" s="83">
        <f>FEBRUARY!B194</f>
        <v>0</v>
      </c>
      <c r="D194" s="83">
        <f>MARCH!B194</f>
        <v>0</v>
      </c>
      <c r="E194" s="83">
        <f>APRIL!B194</f>
        <v>0</v>
      </c>
      <c r="F194" s="83">
        <f>MAY!B194</f>
        <v>0</v>
      </c>
      <c r="G194" s="83">
        <f>JUNE!B194</f>
        <v>0</v>
      </c>
      <c r="H194" s="83">
        <f>JULY!B194</f>
        <v>0</v>
      </c>
      <c r="I194" s="83">
        <f>AUGUST!B194</f>
        <v>0</v>
      </c>
      <c r="J194" s="83">
        <f>SEPTEMBER!B194</f>
        <v>0</v>
      </c>
      <c r="K194" s="83">
        <f>OCTOBER!B194</f>
        <v>1989</v>
      </c>
      <c r="L194" s="83">
        <f>NOVEMBER!B194</f>
        <v>0</v>
      </c>
      <c r="M194" s="83">
        <f>DECEMBER!B194</f>
        <v>0</v>
      </c>
      <c r="N194" s="187">
        <f t="shared" si="12"/>
        <v>0</v>
      </c>
      <c r="O194" s="187">
        <f t="shared" si="13"/>
        <v>0</v>
      </c>
      <c r="P194" s="187">
        <f t="shared" si="14"/>
        <v>0</v>
      </c>
      <c r="Q194" s="187">
        <f t="shared" si="15"/>
        <v>1989</v>
      </c>
      <c r="R194" s="198">
        <f t="shared" si="16"/>
        <v>1989</v>
      </c>
      <c r="S194" s="186">
        <f>TARGET!B194</f>
        <v>0</v>
      </c>
      <c r="T194" s="208" t="e">
        <f t="shared" si="17"/>
        <v>#DIV/0!</v>
      </c>
    </row>
    <row r="195" spans="1:21" ht="15.75" customHeight="1" x14ac:dyDescent="0.2">
      <c r="A195" s="55" t="s">
        <v>442</v>
      </c>
      <c r="B195" s="195">
        <f>JANUARY!B195</f>
        <v>0</v>
      </c>
      <c r="C195" s="83">
        <f>FEBRUARY!B195</f>
        <v>0</v>
      </c>
      <c r="D195" s="83">
        <f>MARCH!B195</f>
        <v>0</v>
      </c>
      <c r="E195" s="83">
        <f>APRIL!B195</f>
        <v>0</v>
      </c>
      <c r="F195" s="83">
        <f>MAY!B195</f>
        <v>0</v>
      </c>
      <c r="G195" s="83">
        <f>JUNE!B195</f>
        <v>0</v>
      </c>
      <c r="H195" s="83">
        <f>JULY!B195</f>
        <v>0</v>
      </c>
      <c r="I195" s="83">
        <f>AUGUST!B195</f>
        <v>0</v>
      </c>
      <c r="J195" s="83">
        <f>SEPTEMBER!B195</f>
        <v>0</v>
      </c>
      <c r="K195" s="83">
        <f>OCTOBER!B195</f>
        <v>0</v>
      </c>
      <c r="L195" s="83">
        <f>NOVEMBER!B195</f>
        <v>0</v>
      </c>
      <c r="M195" s="83">
        <f>DECEMBER!B195</f>
        <v>0</v>
      </c>
      <c r="N195" s="187">
        <f t="shared" si="12"/>
        <v>0</v>
      </c>
      <c r="O195" s="187">
        <f t="shared" si="13"/>
        <v>0</v>
      </c>
      <c r="P195" s="187">
        <f t="shared" si="14"/>
        <v>0</v>
      </c>
      <c r="Q195" s="187">
        <f t="shared" si="15"/>
        <v>0</v>
      </c>
      <c r="R195" s="198">
        <f t="shared" si="16"/>
        <v>0</v>
      </c>
      <c r="S195" s="186">
        <f>TARGET!B195</f>
        <v>0</v>
      </c>
      <c r="T195" s="208" t="e">
        <f t="shared" si="17"/>
        <v>#DIV/0!</v>
      </c>
    </row>
    <row r="196" spans="1:21" ht="15.75" customHeight="1" x14ac:dyDescent="0.25">
      <c r="A196" s="62" t="s">
        <v>90</v>
      </c>
      <c r="B196" s="162">
        <f>JANUARY!B196</f>
        <v>0</v>
      </c>
      <c r="C196" s="162">
        <f>FEBRUARY!B196</f>
        <v>0</v>
      </c>
      <c r="D196" s="162">
        <f>MARCH!B196</f>
        <v>0</v>
      </c>
      <c r="E196" s="162">
        <f>APRIL!B196</f>
        <v>0</v>
      </c>
      <c r="F196" s="162">
        <f>MAY!B196</f>
        <v>0</v>
      </c>
      <c r="G196" s="162">
        <f>JUNE!B196</f>
        <v>0</v>
      </c>
      <c r="H196" s="162">
        <f>JULY!B196</f>
        <v>0</v>
      </c>
      <c r="I196" s="162">
        <f>AUGUST!B196</f>
        <v>0</v>
      </c>
      <c r="J196" s="162">
        <f>SEPTEMBER!B196</f>
        <v>0</v>
      </c>
      <c r="K196" s="162">
        <f>OCTOBER!B196</f>
        <v>0</v>
      </c>
      <c r="L196" s="162">
        <f>NOVEMBER!B196</f>
        <v>0</v>
      </c>
      <c r="M196" s="162">
        <f>DECEMBER!B196</f>
        <v>0</v>
      </c>
      <c r="N196" s="185">
        <f t="shared" si="12"/>
        <v>0</v>
      </c>
      <c r="O196" s="185">
        <f t="shared" si="13"/>
        <v>0</v>
      </c>
      <c r="P196" s="185">
        <f t="shared" si="14"/>
        <v>0</v>
      </c>
      <c r="Q196" s="185">
        <f t="shared" si="15"/>
        <v>0</v>
      </c>
      <c r="R196" s="197">
        <f t="shared" si="16"/>
        <v>0</v>
      </c>
      <c r="S196" s="162">
        <f>TARGET!B196</f>
        <v>0</v>
      </c>
      <c r="T196" s="208" t="e">
        <f t="shared" si="17"/>
        <v>#DIV/0!</v>
      </c>
      <c r="U196" s="280">
        <f>R196</f>
        <v>0</v>
      </c>
    </row>
    <row r="197" spans="1:21" ht="15.75" customHeight="1" x14ac:dyDescent="0.25">
      <c r="A197" s="57" t="s">
        <v>91</v>
      </c>
      <c r="B197" s="162">
        <f>JANUARY!B197</f>
        <v>0</v>
      </c>
      <c r="C197" s="162">
        <f>FEBRUARY!B197</f>
        <v>0</v>
      </c>
      <c r="D197" s="162">
        <f>MARCH!B197</f>
        <v>0</v>
      </c>
      <c r="E197" s="162">
        <f>APRIL!B197</f>
        <v>0</v>
      </c>
      <c r="F197" s="162">
        <f>MAY!B197</f>
        <v>0</v>
      </c>
      <c r="G197" s="162">
        <f>JUNE!B197</f>
        <v>0</v>
      </c>
      <c r="H197" s="162">
        <f>JULY!B197</f>
        <v>0</v>
      </c>
      <c r="I197" s="162">
        <f>AUGUST!B197</f>
        <v>0</v>
      </c>
      <c r="J197" s="162">
        <f>SEPTEMBER!B197</f>
        <v>0</v>
      </c>
      <c r="K197" s="162">
        <f>OCTOBER!B197</f>
        <v>0</v>
      </c>
      <c r="L197" s="162">
        <f>NOVEMBER!B197</f>
        <v>0</v>
      </c>
      <c r="M197" s="162">
        <f>DECEMBER!B197</f>
        <v>0</v>
      </c>
      <c r="N197" s="185">
        <f t="shared" si="12"/>
        <v>0</v>
      </c>
      <c r="O197" s="185">
        <f t="shared" si="13"/>
        <v>0</v>
      </c>
      <c r="P197" s="185">
        <f t="shared" si="14"/>
        <v>0</v>
      </c>
      <c r="Q197" s="185">
        <f t="shared" si="15"/>
        <v>0</v>
      </c>
      <c r="R197" s="197">
        <f t="shared" si="16"/>
        <v>0</v>
      </c>
      <c r="S197" s="162">
        <f>TARGET!B197</f>
        <v>0</v>
      </c>
      <c r="T197" s="208" t="e">
        <f t="shared" si="17"/>
        <v>#DIV/0!</v>
      </c>
    </row>
    <row r="198" spans="1:21" ht="15.75" customHeight="1" x14ac:dyDescent="0.2">
      <c r="A198" s="55" t="s">
        <v>92</v>
      </c>
      <c r="B198" s="195">
        <f>JANUARY!B198</f>
        <v>0</v>
      </c>
      <c r="C198" s="83">
        <f>FEBRUARY!B198</f>
        <v>0</v>
      </c>
      <c r="D198" s="83">
        <f>MARCH!B198</f>
        <v>0</v>
      </c>
      <c r="E198" s="83">
        <f>APRIL!B198</f>
        <v>0</v>
      </c>
      <c r="F198" s="83">
        <f>MAY!B198</f>
        <v>0</v>
      </c>
      <c r="G198" s="83">
        <f>JUNE!B198</f>
        <v>0</v>
      </c>
      <c r="H198" s="83">
        <f>JULY!B198</f>
        <v>0</v>
      </c>
      <c r="I198" s="83">
        <f>AUGUST!B198</f>
        <v>0</v>
      </c>
      <c r="J198" s="83">
        <f>SEPTEMBER!B198</f>
        <v>0</v>
      </c>
      <c r="K198" s="83">
        <f>OCTOBER!B198</f>
        <v>0</v>
      </c>
      <c r="L198" s="83">
        <f>NOVEMBER!B198</f>
        <v>0</v>
      </c>
      <c r="M198" s="83">
        <f>DECEMBER!B198</f>
        <v>0</v>
      </c>
      <c r="N198" s="187">
        <f t="shared" si="12"/>
        <v>0</v>
      </c>
      <c r="O198" s="187">
        <f t="shared" si="13"/>
        <v>0</v>
      </c>
      <c r="P198" s="187">
        <f t="shared" si="14"/>
        <v>0</v>
      </c>
      <c r="Q198" s="187">
        <f t="shared" si="15"/>
        <v>0</v>
      </c>
      <c r="R198" s="198">
        <f t="shared" si="16"/>
        <v>0</v>
      </c>
      <c r="S198" s="186">
        <f>TARGET!B198</f>
        <v>0</v>
      </c>
      <c r="T198" s="208" t="e">
        <f t="shared" si="17"/>
        <v>#DIV/0!</v>
      </c>
    </row>
    <row r="199" spans="1:21" ht="15.75" customHeight="1" x14ac:dyDescent="0.2">
      <c r="A199" s="55" t="s">
        <v>93</v>
      </c>
      <c r="B199" s="195">
        <f>JANUARY!B199</f>
        <v>0</v>
      </c>
      <c r="C199" s="83">
        <f>FEBRUARY!B199</f>
        <v>0</v>
      </c>
      <c r="D199" s="83">
        <f>MARCH!B199</f>
        <v>0</v>
      </c>
      <c r="E199" s="83">
        <f>APRIL!B199</f>
        <v>0</v>
      </c>
      <c r="F199" s="83">
        <f>MAY!B199</f>
        <v>0</v>
      </c>
      <c r="G199" s="83">
        <f>JUNE!B199</f>
        <v>0</v>
      </c>
      <c r="H199" s="83">
        <f>JULY!B199</f>
        <v>0</v>
      </c>
      <c r="I199" s="83">
        <f>AUGUST!B199</f>
        <v>0</v>
      </c>
      <c r="J199" s="83">
        <f>SEPTEMBER!B199</f>
        <v>0</v>
      </c>
      <c r="K199" s="83">
        <f>OCTOBER!B199</f>
        <v>0</v>
      </c>
      <c r="L199" s="83">
        <f>NOVEMBER!B199</f>
        <v>0</v>
      </c>
      <c r="M199" s="83">
        <f>DECEMBER!B199</f>
        <v>0</v>
      </c>
      <c r="N199" s="187">
        <f t="shared" si="12"/>
        <v>0</v>
      </c>
      <c r="O199" s="187">
        <f t="shared" si="13"/>
        <v>0</v>
      </c>
      <c r="P199" s="187">
        <f t="shared" si="14"/>
        <v>0</v>
      </c>
      <c r="Q199" s="187">
        <f t="shared" si="15"/>
        <v>0</v>
      </c>
      <c r="R199" s="198">
        <f t="shared" si="16"/>
        <v>0</v>
      </c>
      <c r="S199" s="186">
        <f>TARGET!B199</f>
        <v>0</v>
      </c>
      <c r="T199" s="208" t="e">
        <f t="shared" si="17"/>
        <v>#DIV/0!</v>
      </c>
    </row>
    <row r="200" spans="1:21" ht="15.75" customHeight="1" x14ac:dyDescent="0.2">
      <c r="A200" s="55" t="s">
        <v>94</v>
      </c>
      <c r="B200" s="195">
        <f>JANUARY!B200</f>
        <v>0</v>
      </c>
      <c r="C200" s="83">
        <f>FEBRUARY!B200</f>
        <v>0</v>
      </c>
      <c r="D200" s="83">
        <f>MARCH!B200</f>
        <v>0</v>
      </c>
      <c r="E200" s="83">
        <f>APRIL!B200</f>
        <v>0</v>
      </c>
      <c r="F200" s="83">
        <f>MAY!B200</f>
        <v>0</v>
      </c>
      <c r="G200" s="83">
        <f>JUNE!B200</f>
        <v>0</v>
      </c>
      <c r="H200" s="83">
        <f>JULY!B200</f>
        <v>0</v>
      </c>
      <c r="I200" s="83">
        <f>AUGUST!B200</f>
        <v>0</v>
      </c>
      <c r="J200" s="83">
        <f>SEPTEMBER!B200</f>
        <v>0</v>
      </c>
      <c r="K200" s="83">
        <f>OCTOBER!B200</f>
        <v>0</v>
      </c>
      <c r="L200" s="83">
        <f>NOVEMBER!B200</f>
        <v>0</v>
      </c>
      <c r="M200" s="83">
        <f>DECEMBER!B200</f>
        <v>0</v>
      </c>
      <c r="N200" s="187">
        <f t="shared" si="12"/>
        <v>0</v>
      </c>
      <c r="O200" s="187">
        <f t="shared" si="13"/>
        <v>0</v>
      </c>
      <c r="P200" s="187">
        <f t="shared" si="14"/>
        <v>0</v>
      </c>
      <c r="Q200" s="187">
        <f t="shared" si="15"/>
        <v>0</v>
      </c>
      <c r="R200" s="198">
        <f t="shared" si="16"/>
        <v>0</v>
      </c>
      <c r="S200" s="186">
        <f>TARGET!B200</f>
        <v>0</v>
      </c>
      <c r="T200" s="208" t="e">
        <f t="shared" si="17"/>
        <v>#DIV/0!</v>
      </c>
    </row>
    <row r="201" spans="1:21" ht="15.75" customHeight="1" x14ac:dyDescent="0.25">
      <c r="A201" s="57" t="s">
        <v>95</v>
      </c>
      <c r="B201" s="162">
        <f>JANUARY!B201</f>
        <v>0</v>
      </c>
      <c r="C201" s="162">
        <f>FEBRUARY!B201</f>
        <v>0</v>
      </c>
      <c r="D201" s="162">
        <f>MARCH!B201</f>
        <v>0</v>
      </c>
      <c r="E201" s="162">
        <f>APRIL!B201</f>
        <v>0</v>
      </c>
      <c r="F201" s="162">
        <f>MAY!B201</f>
        <v>0</v>
      </c>
      <c r="G201" s="162">
        <f>JUNE!B201</f>
        <v>0</v>
      </c>
      <c r="H201" s="162">
        <f>JULY!B201</f>
        <v>0</v>
      </c>
      <c r="I201" s="162">
        <f>AUGUST!B201</f>
        <v>0</v>
      </c>
      <c r="J201" s="162">
        <f>SEPTEMBER!B201</f>
        <v>0</v>
      </c>
      <c r="K201" s="162">
        <f>OCTOBER!B201</f>
        <v>0</v>
      </c>
      <c r="L201" s="162">
        <f>NOVEMBER!B201</f>
        <v>0</v>
      </c>
      <c r="M201" s="162">
        <f>DECEMBER!B201</f>
        <v>0</v>
      </c>
      <c r="N201" s="185">
        <f t="shared" si="12"/>
        <v>0</v>
      </c>
      <c r="O201" s="185">
        <f t="shared" si="13"/>
        <v>0</v>
      </c>
      <c r="P201" s="185">
        <f t="shared" si="14"/>
        <v>0</v>
      </c>
      <c r="Q201" s="185">
        <f t="shared" si="15"/>
        <v>0</v>
      </c>
      <c r="R201" s="197">
        <f t="shared" si="16"/>
        <v>0</v>
      </c>
      <c r="S201" s="162">
        <f>TARGET!B201</f>
        <v>0</v>
      </c>
      <c r="T201" s="208" t="e">
        <f t="shared" si="17"/>
        <v>#DIV/0!</v>
      </c>
    </row>
    <row r="202" spans="1:21" ht="15.75" customHeight="1" x14ac:dyDescent="0.2">
      <c r="A202" s="55" t="s">
        <v>96</v>
      </c>
      <c r="B202" s="195">
        <f>JANUARY!B202</f>
        <v>0</v>
      </c>
      <c r="C202" s="83">
        <f>FEBRUARY!B202</f>
        <v>0</v>
      </c>
      <c r="D202" s="83">
        <f>MARCH!B202</f>
        <v>0</v>
      </c>
      <c r="E202" s="83">
        <f>APRIL!B202</f>
        <v>0</v>
      </c>
      <c r="F202" s="83">
        <f>MAY!B202</f>
        <v>0</v>
      </c>
      <c r="G202" s="83">
        <f>JUNE!B202</f>
        <v>0</v>
      </c>
      <c r="H202" s="83">
        <f>JULY!B202</f>
        <v>0</v>
      </c>
      <c r="I202" s="83">
        <f>AUGUST!B202</f>
        <v>0</v>
      </c>
      <c r="J202" s="83">
        <f>SEPTEMBER!B202</f>
        <v>0</v>
      </c>
      <c r="K202" s="83">
        <f>OCTOBER!B202</f>
        <v>0</v>
      </c>
      <c r="L202" s="83">
        <f>NOVEMBER!B202</f>
        <v>0</v>
      </c>
      <c r="M202" s="83">
        <f>DECEMBER!B202</f>
        <v>0</v>
      </c>
      <c r="N202" s="187">
        <f t="shared" si="12"/>
        <v>0</v>
      </c>
      <c r="O202" s="187">
        <f t="shared" si="13"/>
        <v>0</v>
      </c>
      <c r="P202" s="187">
        <f t="shared" si="14"/>
        <v>0</v>
      </c>
      <c r="Q202" s="187">
        <f t="shared" si="15"/>
        <v>0</v>
      </c>
      <c r="R202" s="198">
        <f t="shared" si="16"/>
        <v>0</v>
      </c>
      <c r="S202" s="186">
        <f>TARGET!B202</f>
        <v>0</v>
      </c>
      <c r="T202" s="208" t="e">
        <f t="shared" si="17"/>
        <v>#DIV/0!</v>
      </c>
    </row>
    <row r="203" spans="1:21" ht="15.75" customHeight="1" x14ac:dyDescent="0.2">
      <c r="A203" s="55" t="s">
        <v>98</v>
      </c>
      <c r="B203" s="195">
        <f>JANUARY!B203</f>
        <v>0</v>
      </c>
      <c r="C203" s="83">
        <f>FEBRUARY!B203</f>
        <v>0</v>
      </c>
      <c r="D203" s="83">
        <f>MARCH!B203</f>
        <v>0</v>
      </c>
      <c r="E203" s="83">
        <f>APRIL!B203</f>
        <v>0</v>
      </c>
      <c r="F203" s="83">
        <f>MAY!B203</f>
        <v>0</v>
      </c>
      <c r="G203" s="83">
        <f>JUNE!B203</f>
        <v>0</v>
      </c>
      <c r="H203" s="83">
        <f>JULY!B203</f>
        <v>0</v>
      </c>
      <c r="I203" s="83">
        <f>AUGUST!B203</f>
        <v>0</v>
      </c>
      <c r="J203" s="83">
        <f>SEPTEMBER!B203</f>
        <v>0</v>
      </c>
      <c r="K203" s="83">
        <f>OCTOBER!B203</f>
        <v>0</v>
      </c>
      <c r="L203" s="83">
        <f>NOVEMBER!B203</f>
        <v>0</v>
      </c>
      <c r="M203" s="83">
        <f>DECEMBER!B203</f>
        <v>0</v>
      </c>
      <c r="N203" s="187">
        <f t="shared" si="12"/>
        <v>0</v>
      </c>
      <c r="O203" s="187">
        <f t="shared" si="13"/>
        <v>0</v>
      </c>
      <c r="P203" s="187">
        <f t="shared" si="14"/>
        <v>0</v>
      </c>
      <c r="Q203" s="187">
        <f t="shared" si="15"/>
        <v>0</v>
      </c>
      <c r="R203" s="198">
        <f t="shared" si="16"/>
        <v>0</v>
      </c>
      <c r="S203" s="186">
        <f>TARGET!B203</f>
        <v>0</v>
      </c>
      <c r="T203" s="208" t="e">
        <f t="shared" si="17"/>
        <v>#DIV/0!</v>
      </c>
    </row>
    <row r="204" spans="1:21" ht="15.75" customHeight="1" x14ac:dyDescent="0.2">
      <c r="A204" s="55" t="s">
        <v>97</v>
      </c>
      <c r="B204" s="195">
        <f>JANUARY!B204</f>
        <v>0</v>
      </c>
      <c r="C204" s="83">
        <f>FEBRUARY!B204</f>
        <v>0</v>
      </c>
      <c r="D204" s="83">
        <f>MARCH!B204</f>
        <v>0</v>
      </c>
      <c r="E204" s="83">
        <f>APRIL!B204</f>
        <v>0</v>
      </c>
      <c r="F204" s="83">
        <f>MAY!B204</f>
        <v>0</v>
      </c>
      <c r="G204" s="83">
        <f>JUNE!B204</f>
        <v>0</v>
      </c>
      <c r="H204" s="83">
        <f>JULY!B204</f>
        <v>0</v>
      </c>
      <c r="I204" s="83">
        <f>AUGUST!B204</f>
        <v>0</v>
      </c>
      <c r="J204" s="83">
        <f>SEPTEMBER!B204</f>
        <v>0</v>
      </c>
      <c r="K204" s="83">
        <f>OCTOBER!B204</f>
        <v>0</v>
      </c>
      <c r="L204" s="83">
        <f>NOVEMBER!B204</f>
        <v>0</v>
      </c>
      <c r="M204" s="83">
        <f>DECEMBER!B204</f>
        <v>0</v>
      </c>
      <c r="N204" s="187">
        <f t="shared" si="12"/>
        <v>0</v>
      </c>
      <c r="O204" s="187">
        <f t="shared" si="13"/>
        <v>0</v>
      </c>
      <c r="P204" s="187">
        <f t="shared" si="14"/>
        <v>0</v>
      </c>
      <c r="Q204" s="187">
        <f t="shared" si="15"/>
        <v>0</v>
      </c>
      <c r="R204" s="198">
        <f t="shared" si="16"/>
        <v>0</v>
      </c>
      <c r="S204" s="186">
        <f>TARGET!B204</f>
        <v>0</v>
      </c>
      <c r="T204" s="208" t="e">
        <f t="shared" si="17"/>
        <v>#DIV/0!</v>
      </c>
    </row>
    <row r="205" spans="1:21" ht="15.75" customHeight="1" x14ac:dyDescent="0.2">
      <c r="A205" s="55" t="s">
        <v>99</v>
      </c>
      <c r="B205" s="195">
        <f>JANUARY!B205</f>
        <v>0</v>
      </c>
      <c r="C205" s="83">
        <f>FEBRUARY!B205</f>
        <v>0</v>
      </c>
      <c r="D205" s="83">
        <f>MARCH!B205</f>
        <v>0</v>
      </c>
      <c r="E205" s="83">
        <f>APRIL!B205</f>
        <v>0</v>
      </c>
      <c r="F205" s="83">
        <f>MAY!B205</f>
        <v>0</v>
      </c>
      <c r="G205" s="83">
        <f>JUNE!B205</f>
        <v>0</v>
      </c>
      <c r="H205" s="83">
        <f>JULY!B205</f>
        <v>0</v>
      </c>
      <c r="I205" s="83">
        <f>AUGUST!B205</f>
        <v>0</v>
      </c>
      <c r="J205" s="83">
        <f>SEPTEMBER!B205</f>
        <v>0</v>
      </c>
      <c r="K205" s="83">
        <f>OCTOBER!B205</f>
        <v>0</v>
      </c>
      <c r="L205" s="83">
        <f>NOVEMBER!B205</f>
        <v>0</v>
      </c>
      <c r="M205" s="83">
        <f>DECEMBER!B205</f>
        <v>0</v>
      </c>
      <c r="N205" s="187">
        <f t="shared" si="12"/>
        <v>0</v>
      </c>
      <c r="O205" s="187">
        <f t="shared" si="13"/>
        <v>0</v>
      </c>
      <c r="P205" s="187">
        <f t="shared" si="14"/>
        <v>0</v>
      </c>
      <c r="Q205" s="187">
        <f t="shared" si="15"/>
        <v>0</v>
      </c>
      <c r="R205" s="198">
        <f t="shared" si="16"/>
        <v>0</v>
      </c>
      <c r="S205" s="186">
        <f>TARGET!B205</f>
        <v>0</v>
      </c>
      <c r="T205" s="208" t="e">
        <f t="shared" si="17"/>
        <v>#DIV/0!</v>
      </c>
    </row>
    <row r="206" spans="1:21" ht="15.75" customHeight="1" x14ac:dyDescent="0.25">
      <c r="A206" s="57" t="s">
        <v>100</v>
      </c>
      <c r="B206" s="162">
        <f>JANUARY!B206</f>
        <v>0</v>
      </c>
      <c r="C206" s="162">
        <f>FEBRUARY!B206</f>
        <v>0</v>
      </c>
      <c r="D206" s="162">
        <f>MARCH!B206</f>
        <v>0</v>
      </c>
      <c r="E206" s="162">
        <f>APRIL!B206</f>
        <v>0</v>
      </c>
      <c r="F206" s="162">
        <f>MAY!B206</f>
        <v>0</v>
      </c>
      <c r="G206" s="162">
        <f>JUNE!B206</f>
        <v>0</v>
      </c>
      <c r="H206" s="162">
        <f>JULY!B206</f>
        <v>0</v>
      </c>
      <c r="I206" s="162">
        <f>AUGUST!B206</f>
        <v>0</v>
      </c>
      <c r="J206" s="162">
        <f>SEPTEMBER!B206</f>
        <v>0</v>
      </c>
      <c r="K206" s="162">
        <f>OCTOBER!B206</f>
        <v>0</v>
      </c>
      <c r="L206" s="162">
        <f>NOVEMBER!B206</f>
        <v>0</v>
      </c>
      <c r="M206" s="162">
        <f>DECEMBER!B206</f>
        <v>0</v>
      </c>
      <c r="N206" s="185">
        <f t="shared" si="12"/>
        <v>0</v>
      </c>
      <c r="O206" s="185">
        <f t="shared" si="13"/>
        <v>0</v>
      </c>
      <c r="P206" s="185">
        <f t="shared" si="14"/>
        <v>0</v>
      </c>
      <c r="Q206" s="185">
        <f t="shared" si="15"/>
        <v>0</v>
      </c>
      <c r="R206" s="197">
        <f t="shared" si="16"/>
        <v>0</v>
      </c>
      <c r="S206" s="162">
        <f>TARGET!B206</f>
        <v>0</v>
      </c>
      <c r="T206" s="208" t="e">
        <f t="shared" si="17"/>
        <v>#DIV/0!</v>
      </c>
    </row>
    <row r="207" spans="1:21" ht="15.75" customHeight="1" x14ac:dyDescent="0.2">
      <c r="A207" s="55" t="s">
        <v>101</v>
      </c>
      <c r="B207" s="195">
        <f>JANUARY!B207</f>
        <v>0</v>
      </c>
      <c r="C207" s="83">
        <f>FEBRUARY!B207</f>
        <v>0</v>
      </c>
      <c r="D207" s="83">
        <f>MARCH!B207</f>
        <v>0</v>
      </c>
      <c r="E207" s="83">
        <f>APRIL!B207</f>
        <v>0</v>
      </c>
      <c r="F207" s="83">
        <f>MAY!B207</f>
        <v>0</v>
      </c>
      <c r="G207" s="83">
        <f>JUNE!B207</f>
        <v>0</v>
      </c>
      <c r="H207" s="83">
        <f>JULY!B207</f>
        <v>0</v>
      </c>
      <c r="I207" s="83">
        <f>AUGUST!B207</f>
        <v>0</v>
      </c>
      <c r="J207" s="83">
        <f>SEPTEMBER!B207</f>
        <v>0</v>
      </c>
      <c r="K207" s="83">
        <f>OCTOBER!B207</f>
        <v>0</v>
      </c>
      <c r="L207" s="83">
        <f>NOVEMBER!B207</f>
        <v>0</v>
      </c>
      <c r="M207" s="83">
        <f>DECEMBER!B207</f>
        <v>0</v>
      </c>
      <c r="N207" s="187">
        <f t="shared" si="12"/>
        <v>0</v>
      </c>
      <c r="O207" s="187">
        <f t="shared" si="13"/>
        <v>0</v>
      </c>
      <c r="P207" s="187">
        <f t="shared" si="14"/>
        <v>0</v>
      </c>
      <c r="Q207" s="187">
        <f t="shared" si="15"/>
        <v>0</v>
      </c>
      <c r="R207" s="198">
        <f t="shared" si="16"/>
        <v>0</v>
      </c>
      <c r="S207" s="186">
        <f>TARGET!B207</f>
        <v>0</v>
      </c>
      <c r="T207" s="208" t="e">
        <f t="shared" si="17"/>
        <v>#DIV/0!</v>
      </c>
    </row>
    <row r="208" spans="1:21" ht="15.75" customHeight="1" x14ac:dyDescent="0.2">
      <c r="A208" s="55" t="s">
        <v>102</v>
      </c>
      <c r="B208" s="195">
        <f>JANUARY!B208</f>
        <v>0</v>
      </c>
      <c r="C208" s="83">
        <f>FEBRUARY!B208</f>
        <v>0</v>
      </c>
      <c r="D208" s="83">
        <f>MARCH!B208</f>
        <v>0</v>
      </c>
      <c r="E208" s="83">
        <f>APRIL!B208</f>
        <v>0</v>
      </c>
      <c r="F208" s="83">
        <f>MAY!B208</f>
        <v>0</v>
      </c>
      <c r="G208" s="83">
        <f>JUNE!B208</f>
        <v>0</v>
      </c>
      <c r="H208" s="83">
        <f>JULY!B208</f>
        <v>0</v>
      </c>
      <c r="I208" s="83">
        <f>AUGUST!B208</f>
        <v>0</v>
      </c>
      <c r="J208" s="83">
        <f>SEPTEMBER!B208</f>
        <v>0</v>
      </c>
      <c r="K208" s="83">
        <f>OCTOBER!B208</f>
        <v>0</v>
      </c>
      <c r="L208" s="83">
        <f>NOVEMBER!B208</f>
        <v>0</v>
      </c>
      <c r="M208" s="83">
        <f>DECEMBER!B208</f>
        <v>0</v>
      </c>
      <c r="N208" s="187">
        <f t="shared" si="12"/>
        <v>0</v>
      </c>
      <c r="O208" s="187">
        <f t="shared" si="13"/>
        <v>0</v>
      </c>
      <c r="P208" s="187">
        <f t="shared" si="14"/>
        <v>0</v>
      </c>
      <c r="Q208" s="187">
        <f t="shared" si="15"/>
        <v>0</v>
      </c>
      <c r="R208" s="198">
        <f t="shared" si="16"/>
        <v>0</v>
      </c>
      <c r="S208" s="186">
        <f>TARGET!B208</f>
        <v>0</v>
      </c>
      <c r="T208" s="208" t="e">
        <f t="shared" si="17"/>
        <v>#DIV/0!</v>
      </c>
    </row>
    <row r="209" spans="1:20" ht="15.75" customHeight="1" x14ac:dyDescent="0.2">
      <c r="A209" s="55" t="s">
        <v>103</v>
      </c>
      <c r="B209" s="195">
        <f>JANUARY!B209</f>
        <v>0</v>
      </c>
      <c r="C209" s="83">
        <f>FEBRUARY!B209</f>
        <v>0</v>
      </c>
      <c r="D209" s="83">
        <f>MARCH!B209</f>
        <v>0</v>
      </c>
      <c r="E209" s="83">
        <f>APRIL!B209</f>
        <v>0</v>
      </c>
      <c r="F209" s="83">
        <f>MAY!B209</f>
        <v>0</v>
      </c>
      <c r="G209" s="83">
        <f>JUNE!B209</f>
        <v>0</v>
      </c>
      <c r="H209" s="83">
        <f>JULY!B209</f>
        <v>0</v>
      </c>
      <c r="I209" s="83">
        <f>AUGUST!B209</f>
        <v>0</v>
      </c>
      <c r="J209" s="83">
        <f>SEPTEMBER!B209</f>
        <v>0</v>
      </c>
      <c r="K209" s="83">
        <f>OCTOBER!B209</f>
        <v>0</v>
      </c>
      <c r="L209" s="83">
        <f>NOVEMBER!B209</f>
        <v>0</v>
      </c>
      <c r="M209" s="83">
        <f>DECEMBER!B209</f>
        <v>0</v>
      </c>
      <c r="N209" s="187">
        <f t="shared" si="12"/>
        <v>0</v>
      </c>
      <c r="O209" s="187">
        <f t="shared" si="13"/>
        <v>0</v>
      </c>
      <c r="P209" s="187">
        <f t="shared" si="14"/>
        <v>0</v>
      </c>
      <c r="Q209" s="187">
        <f t="shared" si="15"/>
        <v>0</v>
      </c>
      <c r="R209" s="198">
        <f t="shared" si="16"/>
        <v>0</v>
      </c>
      <c r="S209" s="186">
        <f>TARGET!B209</f>
        <v>0</v>
      </c>
      <c r="T209" s="208" t="e">
        <f t="shared" si="17"/>
        <v>#DIV/0!</v>
      </c>
    </row>
    <row r="210" spans="1:20" ht="15.75" customHeight="1" x14ac:dyDescent="0.2">
      <c r="A210" s="55" t="s">
        <v>104</v>
      </c>
      <c r="B210" s="195">
        <f>JANUARY!B210</f>
        <v>0</v>
      </c>
      <c r="C210" s="83">
        <f>FEBRUARY!B210</f>
        <v>0</v>
      </c>
      <c r="D210" s="83">
        <f>MARCH!B210</f>
        <v>0</v>
      </c>
      <c r="E210" s="83">
        <f>APRIL!B210</f>
        <v>0</v>
      </c>
      <c r="F210" s="83">
        <f>MAY!B210</f>
        <v>0</v>
      </c>
      <c r="G210" s="83">
        <f>JUNE!B210</f>
        <v>0</v>
      </c>
      <c r="H210" s="83">
        <f>JULY!B210</f>
        <v>0</v>
      </c>
      <c r="I210" s="83">
        <f>AUGUST!B210</f>
        <v>0</v>
      </c>
      <c r="J210" s="83">
        <f>SEPTEMBER!B210</f>
        <v>0</v>
      </c>
      <c r="K210" s="83">
        <f>OCTOBER!B210</f>
        <v>0</v>
      </c>
      <c r="L210" s="83">
        <f>NOVEMBER!B210</f>
        <v>0</v>
      </c>
      <c r="M210" s="83">
        <f>DECEMBER!B210</f>
        <v>0</v>
      </c>
      <c r="N210" s="187">
        <f t="shared" ref="N210:N250" si="18">B210+C210+D210</f>
        <v>0</v>
      </c>
      <c r="O210" s="187">
        <f t="shared" ref="O210:O250" si="19">E210+F210+G210</f>
        <v>0</v>
      </c>
      <c r="P210" s="187">
        <f t="shared" ref="P210:P250" si="20">H210+I210+J210</f>
        <v>0</v>
      </c>
      <c r="Q210" s="187">
        <f t="shared" ref="Q210:Q250" si="21">K210+L210+M210</f>
        <v>0</v>
      </c>
      <c r="R210" s="198">
        <f t="shared" ref="R210:R250" si="22">B210+C210+D210+E210+F210+G210+H210+I210+J210+K210+L210+M210</f>
        <v>0</v>
      </c>
      <c r="S210" s="186">
        <f>TARGET!B210</f>
        <v>0</v>
      </c>
      <c r="T210" s="208" t="e">
        <f t="shared" ref="T210:T273" si="23">IF(R210/S210=0,"NONE",R210/S210)</f>
        <v>#DIV/0!</v>
      </c>
    </row>
    <row r="211" spans="1:20" ht="15.75" customHeight="1" x14ac:dyDescent="0.25">
      <c r="A211" s="57" t="s">
        <v>105</v>
      </c>
      <c r="B211" s="162">
        <f>JANUARY!B211</f>
        <v>0</v>
      </c>
      <c r="C211" s="162">
        <f>FEBRUARY!B211</f>
        <v>0</v>
      </c>
      <c r="D211" s="162">
        <f>MARCH!B211</f>
        <v>0</v>
      </c>
      <c r="E211" s="162">
        <f>APRIL!B211</f>
        <v>0</v>
      </c>
      <c r="F211" s="162">
        <f>MAY!B211</f>
        <v>0</v>
      </c>
      <c r="G211" s="162">
        <f>JUNE!B211</f>
        <v>0</v>
      </c>
      <c r="H211" s="162">
        <f>JULY!B211</f>
        <v>0</v>
      </c>
      <c r="I211" s="162">
        <f>AUGUST!B211</f>
        <v>0</v>
      </c>
      <c r="J211" s="162">
        <f>SEPTEMBER!B211</f>
        <v>0</v>
      </c>
      <c r="K211" s="162">
        <f>OCTOBER!B211</f>
        <v>0</v>
      </c>
      <c r="L211" s="162">
        <f>NOVEMBER!B211</f>
        <v>0</v>
      </c>
      <c r="M211" s="162">
        <f>DECEMBER!B211</f>
        <v>0</v>
      </c>
      <c r="N211" s="185">
        <f t="shared" si="18"/>
        <v>0</v>
      </c>
      <c r="O211" s="185">
        <f t="shared" si="19"/>
        <v>0</v>
      </c>
      <c r="P211" s="185">
        <f t="shared" si="20"/>
        <v>0</v>
      </c>
      <c r="Q211" s="185">
        <f t="shared" si="21"/>
        <v>0</v>
      </c>
      <c r="R211" s="197">
        <f t="shared" si="22"/>
        <v>0</v>
      </c>
      <c r="S211" s="162">
        <f>TARGET!B211</f>
        <v>0</v>
      </c>
      <c r="T211" s="208" t="e">
        <f t="shared" si="23"/>
        <v>#DIV/0!</v>
      </c>
    </row>
    <row r="212" spans="1:20" ht="15.75" customHeight="1" x14ac:dyDescent="0.25">
      <c r="A212" s="55" t="s">
        <v>106</v>
      </c>
      <c r="B212" s="162">
        <f>JANUARY!B212</f>
        <v>0</v>
      </c>
      <c r="C212" s="162">
        <f>FEBRUARY!B212</f>
        <v>0</v>
      </c>
      <c r="D212" s="162">
        <f>MARCH!B212</f>
        <v>0</v>
      </c>
      <c r="E212" s="162">
        <f>APRIL!B212</f>
        <v>0</v>
      </c>
      <c r="F212" s="162">
        <f>MAY!B212</f>
        <v>0</v>
      </c>
      <c r="G212" s="162">
        <f>JUNE!B212</f>
        <v>0</v>
      </c>
      <c r="H212" s="162">
        <f>JULY!B212</f>
        <v>0</v>
      </c>
      <c r="I212" s="162">
        <f>AUGUST!B212</f>
        <v>0</v>
      </c>
      <c r="J212" s="162">
        <f>SEPTEMBER!B212</f>
        <v>0</v>
      </c>
      <c r="K212" s="162">
        <f>OCTOBER!B212</f>
        <v>0</v>
      </c>
      <c r="L212" s="162">
        <f>NOVEMBER!B212</f>
        <v>0</v>
      </c>
      <c r="M212" s="162">
        <f>DECEMBER!B212</f>
        <v>0</v>
      </c>
      <c r="N212" s="185">
        <f t="shared" si="18"/>
        <v>0</v>
      </c>
      <c r="O212" s="185">
        <f t="shared" si="19"/>
        <v>0</v>
      </c>
      <c r="P212" s="185">
        <f t="shared" si="20"/>
        <v>0</v>
      </c>
      <c r="Q212" s="185">
        <f t="shared" si="21"/>
        <v>0</v>
      </c>
      <c r="R212" s="197">
        <f t="shared" si="22"/>
        <v>0</v>
      </c>
      <c r="S212" s="162">
        <f>TARGET!B212</f>
        <v>0</v>
      </c>
      <c r="T212" s="208" t="e">
        <f t="shared" si="23"/>
        <v>#DIV/0!</v>
      </c>
    </row>
    <row r="213" spans="1:20" ht="15.75" customHeight="1" x14ac:dyDescent="0.2">
      <c r="A213" s="55" t="s">
        <v>107</v>
      </c>
      <c r="B213" s="195">
        <f>JANUARY!B213</f>
        <v>0</v>
      </c>
      <c r="C213" s="83">
        <f>FEBRUARY!B213</f>
        <v>0</v>
      </c>
      <c r="D213" s="83">
        <f>MARCH!B213</f>
        <v>0</v>
      </c>
      <c r="E213" s="83">
        <f>APRIL!B213</f>
        <v>0</v>
      </c>
      <c r="F213" s="83">
        <f>MAY!B213</f>
        <v>0</v>
      </c>
      <c r="G213" s="83">
        <f>JUNE!B213</f>
        <v>0</v>
      </c>
      <c r="H213" s="83">
        <f>JULY!B213</f>
        <v>0</v>
      </c>
      <c r="I213" s="83">
        <f>AUGUST!B213</f>
        <v>0</v>
      </c>
      <c r="J213" s="83">
        <f>SEPTEMBER!B213</f>
        <v>0</v>
      </c>
      <c r="K213" s="83">
        <f>OCTOBER!B213</f>
        <v>0</v>
      </c>
      <c r="L213" s="83">
        <f>NOVEMBER!B213</f>
        <v>0</v>
      </c>
      <c r="M213" s="83">
        <f>DECEMBER!B213</f>
        <v>0</v>
      </c>
      <c r="N213" s="187">
        <f t="shared" si="18"/>
        <v>0</v>
      </c>
      <c r="O213" s="187">
        <f t="shared" si="19"/>
        <v>0</v>
      </c>
      <c r="P213" s="187">
        <f t="shared" si="20"/>
        <v>0</v>
      </c>
      <c r="Q213" s="187">
        <f t="shared" si="21"/>
        <v>0</v>
      </c>
      <c r="R213" s="198">
        <f t="shared" si="22"/>
        <v>0</v>
      </c>
      <c r="S213" s="186">
        <f>TARGET!B213</f>
        <v>0</v>
      </c>
      <c r="T213" s="208" t="e">
        <f t="shared" si="23"/>
        <v>#DIV/0!</v>
      </c>
    </row>
    <row r="214" spans="1:20" ht="15.75" customHeight="1" x14ac:dyDescent="0.2">
      <c r="A214" s="55" t="s">
        <v>259</v>
      </c>
      <c r="B214" s="195">
        <f>JANUARY!B214</f>
        <v>0</v>
      </c>
      <c r="C214" s="83">
        <f>FEBRUARY!B214</f>
        <v>0</v>
      </c>
      <c r="D214" s="83">
        <f>MARCH!B214</f>
        <v>0</v>
      </c>
      <c r="E214" s="83">
        <f>APRIL!B214</f>
        <v>0</v>
      </c>
      <c r="F214" s="83">
        <f>MAY!B214</f>
        <v>0</v>
      </c>
      <c r="G214" s="83">
        <f>JUNE!B214</f>
        <v>0</v>
      </c>
      <c r="H214" s="83">
        <f>JULY!B214</f>
        <v>0</v>
      </c>
      <c r="I214" s="83">
        <f>AUGUST!B214</f>
        <v>0</v>
      </c>
      <c r="J214" s="83">
        <f>SEPTEMBER!B214</f>
        <v>0</v>
      </c>
      <c r="K214" s="83">
        <f>OCTOBER!B214</f>
        <v>0</v>
      </c>
      <c r="L214" s="83">
        <f>NOVEMBER!B214</f>
        <v>0</v>
      </c>
      <c r="M214" s="83">
        <f>DECEMBER!B214</f>
        <v>0</v>
      </c>
      <c r="N214" s="187">
        <f t="shared" si="18"/>
        <v>0</v>
      </c>
      <c r="O214" s="187">
        <f t="shared" si="19"/>
        <v>0</v>
      </c>
      <c r="P214" s="187">
        <f t="shared" si="20"/>
        <v>0</v>
      </c>
      <c r="Q214" s="187">
        <f t="shared" si="21"/>
        <v>0</v>
      </c>
      <c r="R214" s="198">
        <f t="shared" si="22"/>
        <v>0</v>
      </c>
      <c r="S214" s="186">
        <f>TARGET!B214</f>
        <v>0</v>
      </c>
      <c r="T214" s="208" t="e">
        <f t="shared" si="23"/>
        <v>#DIV/0!</v>
      </c>
    </row>
    <row r="215" spans="1:20" ht="15.75" customHeight="1" x14ac:dyDescent="0.25">
      <c r="A215" s="55" t="s">
        <v>108</v>
      </c>
      <c r="B215" s="162">
        <f>JANUARY!B215</f>
        <v>0</v>
      </c>
      <c r="C215" s="162">
        <f>FEBRUARY!B215</f>
        <v>0</v>
      </c>
      <c r="D215" s="162">
        <f>MARCH!B215</f>
        <v>0</v>
      </c>
      <c r="E215" s="162">
        <f>APRIL!B215</f>
        <v>0</v>
      </c>
      <c r="F215" s="162">
        <f>MAY!B215</f>
        <v>0</v>
      </c>
      <c r="G215" s="162">
        <f>JUNE!B215</f>
        <v>0</v>
      </c>
      <c r="H215" s="162">
        <f>JULY!B215</f>
        <v>0</v>
      </c>
      <c r="I215" s="162">
        <f>AUGUST!B215</f>
        <v>0</v>
      </c>
      <c r="J215" s="162">
        <f>SEPTEMBER!B215</f>
        <v>0</v>
      </c>
      <c r="K215" s="162">
        <f>OCTOBER!B215</f>
        <v>0</v>
      </c>
      <c r="L215" s="162">
        <f>NOVEMBER!B215</f>
        <v>0</v>
      </c>
      <c r="M215" s="162">
        <f>DECEMBER!B215</f>
        <v>0</v>
      </c>
      <c r="N215" s="185">
        <f t="shared" si="18"/>
        <v>0</v>
      </c>
      <c r="O215" s="185">
        <f t="shared" si="19"/>
        <v>0</v>
      </c>
      <c r="P215" s="185">
        <f t="shared" si="20"/>
        <v>0</v>
      </c>
      <c r="Q215" s="185">
        <f t="shared" si="21"/>
        <v>0</v>
      </c>
      <c r="R215" s="197">
        <f t="shared" si="22"/>
        <v>0</v>
      </c>
      <c r="S215" s="162">
        <f>TARGET!B215</f>
        <v>0</v>
      </c>
      <c r="T215" s="208" t="e">
        <f t="shared" si="23"/>
        <v>#DIV/0!</v>
      </c>
    </row>
    <row r="216" spans="1:20" ht="15.75" customHeight="1" x14ac:dyDescent="0.2">
      <c r="A216" s="55" t="s">
        <v>111</v>
      </c>
      <c r="B216" s="195">
        <f>JANUARY!B216</f>
        <v>0</v>
      </c>
      <c r="C216" s="83">
        <f>FEBRUARY!B216</f>
        <v>0</v>
      </c>
      <c r="D216" s="83">
        <f>MARCH!B216</f>
        <v>0</v>
      </c>
      <c r="E216" s="83">
        <f>APRIL!B216</f>
        <v>0</v>
      </c>
      <c r="F216" s="83">
        <f>MAY!B216</f>
        <v>0</v>
      </c>
      <c r="G216" s="83">
        <f>JUNE!B216</f>
        <v>0</v>
      </c>
      <c r="H216" s="83">
        <f>JULY!B216</f>
        <v>0</v>
      </c>
      <c r="I216" s="83">
        <f>AUGUST!B216</f>
        <v>0</v>
      </c>
      <c r="J216" s="83">
        <f>SEPTEMBER!B216</f>
        <v>0</v>
      </c>
      <c r="K216" s="83">
        <f>OCTOBER!B216</f>
        <v>0</v>
      </c>
      <c r="L216" s="83">
        <f>NOVEMBER!B216</f>
        <v>0</v>
      </c>
      <c r="M216" s="83">
        <f>DECEMBER!B216</f>
        <v>0</v>
      </c>
      <c r="N216" s="187">
        <f t="shared" si="18"/>
        <v>0</v>
      </c>
      <c r="O216" s="187">
        <f t="shared" si="19"/>
        <v>0</v>
      </c>
      <c r="P216" s="187">
        <f t="shared" si="20"/>
        <v>0</v>
      </c>
      <c r="Q216" s="187">
        <f t="shared" si="21"/>
        <v>0</v>
      </c>
      <c r="R216" s="198">
        <f t="shared" si="22"/>
        <v>0</v>
      </c>
      <c r="S216" s="186">
        <f>TARGET!B216</f>
        <v>0</v>
      </c>
      <c r="T216" s="208" t="e">
        <f t="shared" si="23"/>
        <v>#DIV/0!</v>
      </c>
    </row>
    <row r="217" spans="1:20" ht="15.75" customHeight="1" x14ac:dyDescent="0.2">
      <c r="A217" s="55" t="s">
        <v>212</v>
      </c>
      <c r="B217" s="195">
        <f>JANUARY!B217</f>
        <v>0</v>
      </c>
      <c r="C217" s="83">
        <f>FEBRUARY!B217</f>
        <v>0</v>
      </c>
      <c r="D217" s="83">
        <f>MARCH!B217</f>
        <v>0</v>
      </c>
      <c r="E217" s="83">
        <f>APRIL!B217</f>
        <v>0</v>
      </c>
      <c r="F217" s="83">
        <f>MAY!B217</f>
        <v>0</v>
      </c>
      <c r="G217" s="83">
        <f>JUNE!B217</f>
        <v>0</v>
      </c>
      <c r="H217" s="83">
        <f>JULY!B217</f>
        <v>0</v>
      </c>
      <c r="I217" s="83">
        <f>AUGUST!B217</f>
        <v>0</v>
      </c>
      <c r="J217" s="83">
        <f>SEPTEMBER!B217</f>
        <v>0</v>
      </c>
      <c r="K217" s="83">
        <f>OCTOBER!B217</f>
        <v>0</v>
      </c>
      <c r="L217" s="83">
        <f>NOVEMBER!B217</f>
        <v>0</v>
      </c>
      <c r="M217" s="83">
        <f>DECEMBER!B217</f>
        <v>0</v>
      </c>
      <c r="N217" s="187">
        <f t="shared" si="18"/>
        <v>0</v>
      </c>
      <c r="O217" s="187">
        <f t="shared" si="19"/>
        <v>0</v>
      </c>
      <c r="P217" s="187">
        <f t="shared" si="20"/>
        <v>0</v>
      </c>
      <c r="Q217" s="187">
        <f t="shared" si="21"/>
        <v>0</v>
      </c>
      <c r="R217" s="198">
        <f t="shared" si="22"/>
        <v>0</v>
      </c>
      <c r="S217" s="186">
        <f>TARGET!B217</f>
        <v>0</v>
      </c>
      <c r="T217" s="208" t="e">
        <f t="shared" si="23"/>
        <v>#DIV/0!</v>
      </c>
    </row>
    <row r="218" spans="1:20" ht="15.75" customHeight="1" x14ac:dyDescent="0.25">
      <c r="A218" s="55" t="s">
        <v>109</v>
      </c>
      <c r="B218" s="162">
        <f>JANUARY!B218</f>
        <v>0</v>
      </c>
      <c r="C218" s="162">
        <f>FEBRUARY!B218</f>
        <v>0</v>
      </c>
      <c r="D218" s="162">
        <f>MARCH!B218</f>
        <v>0</v>
      </c>
      <c r="E218" s="162">
        <f>APRIL!B218</f>
        <v>0</v>
      </c>
      <c r="F218" s="162">
        <f>MAY!B218</f>
        <v>0</v>
      </c>
      <c r="G218" s="162">
        <f>JUNE!B218</f>
        <v>0</v>
      </c>
      <c r="H218" s="162">
        <f>JULY!B218</f>
        <v>0</v>
      </c>
      <c r="I218" s="162">
        <f>AUGUST!B218</f>
        <v>0</v>
      </c>
      <c r="J218" s="162">
        <f>SEPTEMBER!B218</f>
        <v>0</v>
      </c>
      <c r="K218" s="162">
        <f>OCTOBER!B218</f>
        <v>0</v>
      </c>
      <c r="L218" s="162">
        <f>NOVEMBER!B218</f>
        <v>0</v>
      </c>
      <c r="M218" s="162">
        <f>DECEMBER!B218</f>
        <v>0</v>
      </c>
      <c r="N218" s="185">
        <f t="shared" si="18"/>
        <v>0</v>
      </c>
      <c r="O218" s="185">
        <f t="shared" si="19"/>
        <v>0</v>
      </c>
      <c r="P218" s="185">
        <f t="shared" si="20"/>
        <v>0</v>
      </c>
      <c r="Q218" s="185">
        <f t="shared" si="21"/>
        <v>0</v>
      </c>
      <c r="R218" s="197">
        <f t="shared" si="22"/>
        <v>0</v>
      </c>
      <c r="S218" s="162">
        <f>TARGET!B218</f>
        <v>0</v>
      </c>
      <c r="T218" s="208" t="e">
        <f t="shared" si="23"/>
        <v>#DIV/0!</v>
      </c>
    </row>
    <row r="219" spans="1:20" ht="15.75" customHeight="1" x14ac:dyDescent="0.2">
      <c r="A219" s="55" t="s">
        <v>110</v>
      </c>
      <c r="B219" s="195">
        <f>JANUARY!B219</f>
        <v>0</v>
      </c>
      <c r="C219" s="83">
        <f>FEBRUARY!B219</f>
        <v>0</v>
      </c>
      <c r="D219" s="83">
        <f>MARCH!B219</f>
        <v>0</v>
      </c>
      <c r="E219" s="83">
        <f>APRIL!B219</f>
        <v>0</v>
      </c>
      <c r="F219" s="83">
        <f>MAY!B219</f>
        <v>0</v>
      </c>
      <c r="G219" s="83">
        <f>JUNE!B219</f>
        <v>0</v>
      </c>
      <c r="H219" s="83">
        <f>JULY!B219</f>
        <v>0</v>
      </c>
      <c r="I219" s="83">
        <f>AUGUST!B219</f>
        <v>0</v>
      </c>
      <c r="J219" s="83">
        <f>SEPTEMBER!B219</f>
        <v>0</v>
      </c>
      <c r="K219" s="83">
        <f>OCTOBER!B219</f>
        <v>0</v>
      </c>
      <c r="L219" s="83">
        <f>NOVEMBER!B219</f>
        <v>0</v>
      </c>
      <c r="M219" s="83">
        <f>DECEMBER!B219</f>
        <v>0</v>
      </c>
      <c r="N219" s="187">
        <f t="shared" si="18"/>
        <v>0</v>
      </c>
      <c r="O219" s="187">
        <f t="shared" si="19"/>
        <v>0</v>
      </c>
      <c r="P219" s="187">
        <f t="shared" si="20"/>
        <v>0</v>
      </c>
      <c r="Q219" s="187">
        <f t="shared" si="21"/>
        <v>0</v>
      </c>
      <c r="R219" s="198">
        <f t="shared" si="22"/>
        <v>0</v>
      </c>
      <c r="S219" s="186">
        <f>TARGET!B219</f>
        <v>0</v>
      </c>
      <c r="T219" s="208" t="e">
        <f t="shared" si="23"/>
        <v>#DIV/0!</v>
      </c>
    </row>
    <row r="220" spans="1:20" ht="15.75" customHeight="1" x14ac:dyDescent="0.2">
      <c r="A220" s="55" t="s">
        <v>213</v>
      </c>
      <c r="B220" s="195">
        <f>JANUARY!B220</f>
        <v>0</v>
      </c>
      <c r="C220" s="83">
        <f>FEBRUARY!B220</f>
        <v>0</v>
      </c>
      <c r="D220" s="83">
        <f>MARCH!B220</f>
        <v>0</v>
      </c>
      <c r="E220" s="83">
        <f>APRIL!B220</f>
        <v>0</v>
      </c>
      <c r="F220" s="83">
        <f>MAY!B220</f>
        <v>0</v>
      </c>
      <c r="G220" s="83">
        <f>JUNE!B220</f>
        <v>0</v>
      </c>
      <c r="H220" s="83">
        <f>JULY!B220</f>
        <v>0</v>
      </c>
      <c r="I220" s="83">
        <f>AUGUST!B220</f>
        <v>0</v>
      </c>
      <c r="J220" s="83">
        <f>SEPTEMBER!B220</f>
        <v>0</v>
      </c>
      <c r="K220" s="83">
        <f>OCTOBER!B220</f>
        <v>0</v>
      </c>
      <c r="L220" s="83">
        <f>NOVEMBER!B220</f>
        <v>0</v>
      </c>
      <c r="M220" s="83">
        <f>DECEMBER!B220</f>
        <v>0</v>
      </c>
      <c r="N220" s="187">
        <f t="shared" si="18"/>
        <v>0</v>
      </c>
      <c r="O220" s="187">
        <f t="shared" si="19"/>
        <v>0</v>
      </c>
      <c r="P220" s="187">
        <f t="shared" si="20"/>
        <v>0</v>
      </c>
      <c r="Q220" s="187">
        <f t="shared" si="21"/>
        <v>0</v>
      </c>
      <c r="R220" s="198">
        <f t="shared" si="22"/>
        <v>0</v>
      </c>
      <c r="S220" s="186">
        <f>TARGET!B220</f>
        <v>0</v>
      </c>
      <c r="T220" s="208" t="e">
        <f t="shared" si="23"/>
        <v>#DIV/0!</v>
      </c>
    </row>
    <row r="221" spans="1:20" ht="15.75" customHeight="1" x14ac:dyDescent="0.25">
      <c r="A221" s="55" t="s">
        <v>112</v>
      </c>
      <c r="B221" s="162">
        <f>JANUARY!B221</f>
        <v>0</v>
      </c>
      <c r="C221" s="162">
        <f>FEBRUARY!B221</f>
        <v>0</v>
      </c>
      <c r="D221" s="162">
        <f>MARCH!B221</f>
        <v>0</v>
      </c>
      <c r="E221" s="162">
        <f>APRIL!B221</f>
        <v>0</v>
      </c>
      <c r="F221" s="162">
        <f>MAY!B221</f>
        <v>0</v>
      </c>
      <c r="G221" s="162">
        <f>JUNE!B221</f>
        <v>0</v>
      </c>
      <c r="H221" s="162">
        <f>JULY!B221</f>
        <v>0</v>
      </c>
      <c r="I221" s="162">
        <f>AUGUST!B221</f>
        <v>0</v>
      </c>
      <c r="J221" s="162">
        <f>SEPTEMBER!B221</f>
        <v>0</v>
      </c>
      <c r="K221" s="162">
        <f>OCTOBER!B221</f>
        <v>0</v>
      </c>
      <c r="L221" s="162">
        <f>NOVEMBER!B221</f>
        <v>0</v>
      </c>
      <c r="M221" s="162">
        <f>DECEMBER!B221</f>
        <v>0</v>
      </c>
      <c r="N221" s="185">
        <f t="shared" si="18"/>
        <v>0</v>
      </c>
      <c r="O221" s="185">
        <f t="shared" si="19"/>
        <v>0</v>
      </c>
      <c r="P221" s="185">
        <f t="shared" si="20"/>
        <v>0</v>
      </c>
      <c r="Q221" s="185">
        <f t="shared" si="21"/>
        <v>0</v>
      </c>
      <c r="R221" s="197">
        <f t="shared" si="22"/>
        <v>0</v>
      </c>
      <c r="S221" s="162">
        <f>TARGET!B221</f>
        <v>0</v>
      </c>
      <c r="T221" s="208" t="e">
        <f t="shared" si="23"/>
        <v>#DIV/0!</v>
      </c>
    </row>
    <row r="222" spans="1:20" ht="15.75" customHeight="1" x14ac:dyDescent="0.2">
      <c r="A222" s="55" t="s">
        <v>113</v>
      </c>
      <c r="B222" s="195">
        <f>JANUARY!B222</f>
        <v>0</v>
      </c>
      <c r="C222" s="83">
        <f>FEBRUARY!B222</f>
        <v>0</v>
      </c>
      <c r="D222" s="83">
        <f>MARCH!B222</f>
        <v>0</v>
      </c>
      <c r="E222" s="83">
        <f>APRIL!B222</f>
        <v>0</v>
      </c>
      <c r="F222" s="83">
        <f>MAY!B222</f>
        <v>0</v>
      </c>
      <c r="G222" s="83">
        <f>JUNE!B222</f>
        <v>0</v>
      </c>
      <c r="H222" s="83">
        <f>JULY!B222</f>
        <v>0</v>
      </c>
      <c r="I222" s="83">
        <f>AUGUST!B222</f>
        <v>0</v>
      </c>
      <c r="J222" s="83">
        <f>SEPTEMBER!B222</f>
        <v>0</v>
      </c>
      <c r="K222" s="83">
        <f>OCTOBER!B222</f>
        <v>0</v>
      </c>
      <c r="L222" s="83">
        <f>NOVEMBER!B222</f>
        <v>0</v>
      </c>
      <c r="M222" s="83">
        <f>DECEMBER!B222</f>
        <v>0</v>
      </c>
      <c r="N222" s="187">
        <f t="shared" si="18"/>
        <v>0</v>
      </c>
      <c r="O222" s="187">
        <f t="shared" si="19"/>
        <v>0</v>
      </c>
      <c r="P222" s="187">
        <f t="shared" si="20"/>
        <v>0</v>
      </c>
      <c r="Q222" s="187">
        <f t="shared" si="21"/>
        <v>0</v>
      </c>
      <c r="R222" s="198">
        <f t="shared" si="22"/>
        <v>0</v>
      </c>
      <c r="S222" s="186">
        <f>TARGET!B222</f>
        <v>0</v>
      </c>
      <c r="T222" s="208" t="e">
        <f t="shared" si="23"/>
        <v>#DIV/0!</v>
      </c>
    </row>
    <row r="223" spans="1:20" ht="15.75" customHeight="1" x14ac:dyDescent="0.2">
      <c r="A223" s="55" t="s">
        <v>214</v>
      </c>
      <c r="B223" s="195">
        <f>JANUARY!B223</f>
        <v>0</v>
      </c>
      <c r="C223" s="83">
        <f>FEBRUARY!B223</f>
        <v>0</v>
      </c>
      <c r="D223" s="83">
        <f>MARCH!B223</f>
        <v>0</v>
      </c>
      <c r="E223" s="83">
        <f>APRIL!B223</f>
        <v>0</v>
      </c>
      <c r="F223" s="83">
        <f>MAY!B223</f>
        <v>0</v>
      </c>
      <c r="G223" s="83">
        <f>JUNE!B223</f>
        <v>0</v>
      </c>
      <c r="H223" s="83">
        <f>JULY!B223</f>
        <v>0</v>
      </c>
      <c r="I223" s="83">
        <f>AUGUST!B223</f>
        <v>0</v>
      </c>
      <c r="J223" s="83">
        <f>SEPTEMBER!B223</f>
        <v>0</v>
      </c>
      <c r="K223" s="83">
        <f>OCTOBER!B223</f>
        <v>0</v>
      </c>
      <c r="L223" s="83">
        <f>NOVEMBER!B223</f>
        <v>0</v>
      </c>
      <c r="M223" s="83">
        <f>DECEMBER!B223</f>
        <v>0</v>
      </c>
      <c r="N223" s="187">
        <f t="shared" si="18"/>
        <v>0</v>
      </c>
      <c r="O223" s="187">
        <f t="shared" si="19"/>
        <v>0</v>
      </c>
      <c r="P223" s="187">
        <f t="shared" si="20"/>
        <v>0</v>
      </c>
      <c r="Q223" s="187">
        <f t="shared" si="21"/>
        <v>0</v>
      </c>
      <c r="R223" s="198">
        <f t="shared" si="22"/>
        <v>0</v>
      </c>
      <c r="S223" s="186">
        <f>TARGET!B223</f>
        <v>0</v>
      </c>
      <c r="T223" s="208" t="e">
        <f t="shared" si="23"/>
        <v>#DIV/0!</v>
      </c>
    </row>
    <row r="224" spans="1:20" ht="15.75" customHeight="1" x14ac:dyDescent="0.25">
      <c r="A224" s="57" t="s">
        <v>114</v>
      </c>
      <c r="B224" s="162">
        <f>JANUARY!B224</f>
        <v>0</v>
      </c>
      <c r="C224" s="162">
        <f>FEBRUARY!B224</f>
        <v>0</v>
      </c>
      <c r="D224" s="162">
        <f>MARCH!B224</f>
        <v>0</v>
      </c>
      <c r="E224" s="162">
        <f>APRIL!B224</f>
        <v>0</v>
      </c>
      <c r="F224" s="162">
        <f>MAY!B224</f>
        <v>0</v>
      </c>
      <c r="G224" s="162">
        <f>JUNE!B224</f>
        <v>0</v>
      </c>
      <c r="H224" s="162">
        <f>JULY!B224</f>
        <v>0</v>
      </c>
      <c r="I224" s="162">
        <f>AUGUST!B224</f>
        <v>0</v>
      </c>
      <c r="J224" s="162">
        <f>SEPTEMBER!B224</f>
        <v>0</v>
      </c>
      <c r="K224" s="162">
        <f>OCTOBER!B224</f>
        <v>0</v>
      </c>
      <c r="L224" s="162">
        <f>NOVEMBER!B224</f>
        <v>0</v>
      </c>
      <c r="M224" s="162">
        <f>DECEMBER!B224</f>
        <v>0</v>
      </c>
      <c r="N224" s="185">
        <f t="shared" si="18"/>
        <v>0</v>
      </c>
      <c r="O224" s="185">
        <f t="shared" si="19"/>
        <v>0</v>
      </c>
      <c r="P224" s="185">
        <f t="shared" si="20"/>
        <v>0</v>
      </c>
      <c r="Q224" s="185">
        <f t="shared" si="21"/>
        <v>0</v>
      </c>
      <c r="R224" s="197">
        <f t="shared" si="22"/>
        <v>0</v>
      </c>
      <c r="S224" s="162">
        <f>TARGET!B224</f>
        <v>0</v>
      </c>
      <c r="T224" s="208" t="e">
        <f t="shared" si="23"/>
        <v>#DIV/0!</v>
      </c>
    </row>
    <row r="225" spans="1:20" ht="15.75" customHeight="1" x14ac:dyDescent="0.25">
      <c r="A225" s="55" t="s">
        <v>115</v>
      </c>
      <c r="B225" s="162">
        <f>JANUARY!B225</f>
        <v>0</v>
      </c>
      <c r="C225" s="162">
        <f>FEBRUARY!B225</f>
        <v>0</v>
      </c>
      <c r="D225" s="162">
        <f>MARCH!B225</f>
        <v>0</v>
      </c>
      <c r="E225" s="162">
        <f>APRIL!B225</f>
        <v>0</v>
      </c>
      <c r="F225" s="162">
        <f>MAY!B225</f>
        <v>0</v>
      </c>
      <c r="G225" s="162">
        <f>JUNE!B225</f>
        <v>0</v>
      </c>
      <c r="H225" s="162">
        <f>JULY!B225</f>
        <v>0</v>
      </c>
      <c r="I225" s="162">
        <f>AUGUST!B225</f>
        <v>0</v>
      </c>
      <c r="J225" s="162">
        <f>SEPTEMBER!B225</f>
        <v>0</v>
      </c>
      <c r="K225" s="162">
        <f>OCTOBER!B225</f>
        <v>0</v>
      </c>
      <c r="L225" s="162">
        <f>NOVEMBER!B225</f>
        <v>0</v>
      </c>
      <c r="M225" s="162">
        <f>DECEMBER!B225</f>
        <v>0</v>
      </c>
      <c r="N225" s="185">
        <f t="shared" si="18"/>
        <v>0</v>
      </c>
      <c r="O225" s="185">
        <f t="shared" si="19"/>
        <v>0</v>
      </c>
      <c r="P225" s="185">
        <f t="shared" si="20"/>
        <v>0</v>
      </c>
      <c r="Q225" s="185">
        <f t="shared" si="21"/>
        <v>0</v>
      </c>
      <c r="R225" s="197">
        <f t="shared" si="22"/>
        <v>0</v>
      </c>
      <c r="S225" s="162">
        <f>TARGET!B225</f>
        <v>0</v>
      </c>
      <c r="T225" s="208" t="e">
        <f t="shared" si="23"/>
        <v>#DIV/0!</v>
      </c>
    </row>
    <row r="226" spans="1:20" ht="15.75" customHeight="1" x14ac:dyDescent="0.2">
      <c r="A226" s="55" t="s">
        <v>116</v>
      </c>
      <c r="B226" s="195">
        <f>JANUARY!B226</f>
        <v>0</v>
      </c>
      <c r="C226" s="83">
        <f>FEBRUARY!B226</f>
        <v>0</v>
      </c>
      <c r="D226" s="83">
        <f>MARCH!B226</f>
        <v>0</v>
      </c>
      <c r="E226" s="83">
        <f>APRIL!B226</f>
        <v>0</v>
      </c>
      <c r="F226" s="83">
        <f>MAY!B226</f>
        <v>0</v>
      </c>
      <c r="G226" s="83">
        <f>JUNE!B226</f>
        <v>0</v>
      </c>
      <c r="H226" s="83">
        <f>JULY!B226</f>
        <v>0</v>
      </c>
      <c r="I226" s="83">
        <f>AUGUST!B226</f>
        <v>0</v>
      </c>
      <c r="J226" s="83">
        <f>SEPTEMBER!B226</f>
        <v>0</v>
      </c>
      <c r="K226" s="83">
        <f>OCTOBER!B226</f>
        <v>0</v>
      </c>
      <c r="L226" s="83">
        <f>NOVEMBER!B226</f>
        <v>0</v>
      </c>
      <c r="M226" s="83">
        <f>DECEMBER!B226</f>
        <v>0</v>
      </c>
      <c r="N226" s="187">
        <f t="shared" si="18"/>
        <v>0</v>
      </c>
      <c r="O226" s="187">
        <f t="shared" si="19"/>
        <v>0</v>
      </c>
      <c r="P226" s="187">
        <f t="shared" si="20"/>
        <v>0</v>
      </c>
      <c r="Q226" s="187">
        <f t="shared" si="21"/>
        <v>0</v>
      </c>
      <c r="R226" s="198">
        <f t="shared" si="22"/>
        <v>0</v>
      </c>
      <c r="S226" s="186">
        <f>TARGET!B226</f>
        <v>0</v>
      </c>
      <c r="T226" s="208" t="e">
        <f t="shared" si="23"/>
        <v>#DIV/0!</v>
      </c>
    </row>
    <row r="227" spans="1:20" ht="15.75" customHeight="1" x14ac:dyDescent="0.2">
      <c r="A227" s="55" t="s">
        <v>215</v>
      </c>
      <c r="B227" s="195">
        <f>JANUARY!B227</f>
        <v>0</v>
      </c>
      <c r="C227" s="83">
        <f>FEBRUARY!B227</f>
        <v>0</v>
      </c>
      <c r="D227" s="83">
        <f>MARCH!B227</f>
        <v>0</v>
      </c>
      <c r="E227" s="83">
        <f>APRIL!B227</f>
        <v>0</v>
      </c>
      <c r="F227" s="83">
        <f>MAY!B227</f>
        <v>0</v>
      </c>
      <c r="G227" s="83">
        <f>JUNE!B227</f>
        <v>0</v>
      </c>
      <c r="H227" s="83">
        <f>JULY!B227</f>
        <v>0</v>
      </c>
      <c r="I227" s="83">
        <f>AUGUST!B227</f>
        <v>0</v>
      </c>
      <c r="J227" s="83">
        <f>SEPTEMBER!B227</f>
        <v>0</v>
      </c>
      <c r="K227" s="83">
        <f>OCTOBER!B227</f>
        <v>0</v>
      </c>
      <c r="L227" s="83">
        <f>NOVEMBER!B227</f>
        <v>0</v>
      </c>
      <c r="M227" s="83">
        <f>DECEMBER!B227</f>
        <v>0</v>
      </c>
      <c r="N227" s="187">
        <f t="shared" si="18"/>
        <v>0</v>
      </c>
      <c r="O227" s="187">
        <f t="shared" si="19"/>
        <v>0</v>
      </c>
      <c r="P227" s="187">
        <f t="shared" si="20"/>
        <v>0</v>
      </c>
      <c r="Q227" s="187">
        <f t="shared" si="21"/>
        <v>0</v>
      </c>
      <c r="R227" s="198">
        <f t="shared" si="22"/>
        <v>0</v>
      </c>
      <c r="S227" s="186">
        <f>TARGET!B227</f>
        <v>0</v>
      </c>
      <c r="T227" s="208" t="e">
        <f t="shared" si="23"/>
        <v>#DIV/0!</v>
      </c>
    </row>
    <row r="228" spans="1:20" ht="15.75" customHeight="1" x14ac:dyDescent="0.25">
      <c r="A228" s="55" t="s">
        <v>117</v>
      </c>
      <c r="B228" s="162">
        <f>JANUARY!B228</f>
        <v>0</v>
      </c>
      <c r="C228" s="162">
        <f>FEBRUARY!B228</f>
        <v>0</v>
      </c>
      <c r="D228" s="162">
        <f>MARCH!B228</f>
        <v>0</v>
      </c>
      <c r="E228" s="162">
        <f>APRIL!B228</f>
        <v>0</v>
      </c>
      <c r="F228" s="162">
        <f>MAY!B228</f>
        <v>0</v>
      </c>
      <c r="G228" s="162">
        <f>JUNE!B228</f>
        <v>0</v>
      </c>
      <c r="H228" s="162">
        <f>JULY!B228</f>
        <v>0</v>
      </c>
      <c r="I228" s="162">
        <f>AUGUST!B228</f>
        <v>0</v>
      </c>
      <c r="J228" s="162">
        <f>SEPTEMBER!B228</f>
        <v>0</v>
      </c>
      <c r="K228" s="162">
        <f>OCTOBER!B228</f>
        <v>0</v>
      </c>
      <c r="L228" s="162">
        <f>NOVEMBER!B228</f>
        <v>0</v>
      </c>
      <c r="M228" s="162">
        <f>DECEMBER!B228</f>
        <v>0</v>
      </c>
      <c r="N228" s="185">
        <f t="shared" si="18"/>
        <v>0</v>
      </c>
      <c r="O228" s="185">
        <f t="shared" si="19"/>
        <v>0</v>
      </c>
      <c r="P228" s="185">
        <f t="shared" si="20"/>
        <v>0</v>
      </c>
      <c r="Q228" s="185">
        <f t="shared" si="21"/>
        <v>0</v>
      </c>
      <c r="R228" s="197">
        <f t="shared" si="22"/>
        <v>0</v>
      </c>
      <c r="S228" s="162">
        <f>TARGET!B228</f>
        <v>0</v>
      </c>
      <c r="T228" s="208" t="e">
        <f t="shared" si="23"/>
        <v>#DIV/0!</v>
      </c>
    </row>
    <row r="229" spans="1:20" ht="15.75" customHeight="1" x14ac:dyDescent="0.2">
      <c r="A229" s="55" t="s">
        <v>118</v>
      </c>
      <c r="B229" s="195">
        <f>JANUARY!B229</f>
        <v>0</v>
      </c>
      <c r="C229" s="83">
        <f>FEBRUARY!B229</f>
        <v>0</v>
      </c>
      <c r="D229" s="83">
        <f>MARCH!B229</f>
        <v>0</v>
      </c>
      <c r="E229" s="83">
        <f>APRIL!B229</f>
        <v>0</v>
      </c>
      <c r="F229" s="83">
        <f>MAY!B229</f>
        <v>0</v>
      </c>
      <c r="G229" s="83">
        <f>JUNE!B229</f>
        <v>0</v>
      </c>
      <c r="H229" s="83">
        <f>JULY!B229</f>
        <v>0</v>
      </c>
      <c r="I229" s="83">
        <f>AUGUST!B229</f>
        <v>0</v>
      </c>
      <c r="J229" s="83">
        <f>SEPTEMBER!B229</f>
        <v>0</v>
      </c>
      <c r="K229" s="83">
        <f>OCTOBER!B229</f>
        <v>0</v>
      </c>
      <c r="L229" s="83">
        <f>NOVEMBER!B229</f>
        <v>0</v>
      </c>
      <c r="M229" s="83">
        <f>DECEMBER!B229</f>
        <v>0</v>
      </c>
      <c r="N229" s="187">
        <f t="shared" si="18"/>
        <v>0</v>
      </c>
      <c r="O229" s="187">
        <f t="shared" si="19"/>
        <v>0</v>
      </c>
      <c r="P229" s="187">
        <f t="shared" si="20"/>
        <v>0</v>
      </c>
      <c r="Q229" s="187">
        <f t="shared" si="21"/>
        <v>0</v>
      </c>
      <c r="R229" s="198">
        <f t="shared" si="22"/>
        <v>0</v>
      </c>
      <c r="S229" s="186">
        <f>TARGET!B229</f>
        <v>0</v>
      </c>
      <c r="T229" s="208" t="e">
        <f t="shared" si="23"/>
        <v>#DIV/0!</v>
      </c>
    </row>
    <row r="230" spans="1:20" ht="15.75" customHeight="1" x14ac:dyDescent="0.2">
      <c r="A230" s="55" t="s">
        <v>216</v>
      </c>
      <c r="B230" s="195">
        <f>JANUARY!B230</f>
        <v>0</v>
      </c>
      <c r="C230" s="83">
        <f>FEBRUARY!B230</f>
        <v>0</v>
      </c>
      <c r="D230" s="83">
        <f>MARCH!B230</f>
        <v>0</v>
      </c>
      <c r="E230" s="83">
        <f>APRIL!B230</f>
        <v>0</v>
      </c>
      <c r="F230" s="83">
        <f>MAY!B230</f>
        <v>0</v>
      </c>
      <c r="G230" s="83">
        <f>JUNE!B230</f>
        <v>0</v>
      </c>
      <c r="H230" s="83">
        <f>JULY!B230</f>
        <v>0</v>
      </c>
      <c r="I230" s="83">
        <f>AUGUST!B230</f>
        <v>0</v>
      </c>
      <c r="J230" s="83">
        <f>SEPTEMBER!B230</f>
        <v>0</v>
      </c>
      <c r="K230" s="83">
        <f>OCTOBER!B230</f>
        <v>0</v>
      </c>
      <c r="L230" s="83">
        <f>NOVEMBER!B230</f>
        <v>0</v>
      </c>
      <c r="M230" s="83">
        <f>DECEMBER!B230</f>
        <v>0</v>
      </c>
      <c r="N230" s="187">
        <f t="shared" si="18"/>
        <v>0</v>
      </c>
      <c r="O230" s="187">
        <f t="shared" si="19"/>
        <v>0</v>
      </c>
      <c r="P230" s="187">
        <f t="shared" si="20"/>
        <v>0</v>
      </c>
      <c r="Q230" s="187">
        <f t="shared" si="21"/>
        <v>0</v>
      </c>
      <c r="R230" s="198">
        <f t="shared" si="22"/>
        <v>0</v>
      </c>
      <c r="S230" s="186">
        <f>TARGET!B230</f>
        <v>0</v>
      </c>
      <c r="T230" s="208" t="e">
        <f t="shared" si="23"/>
        <v>#DIV/0!</v>
      </c>
    </row>
    <row r="231" spans="1:20" ht="15.75" customHeight="1" x14ac:dyDescent="0.25">
      <c r="A231" s="55" t="s">
        <v>119</v>
      </c>
      <c r="B231" s="162">
        <f>JANUARY!B231</f>
        <v>0</v>
      </c>
      <c r="C231" s="162">
        <f>FEBRUARY!B231</f>
        <v>0</v>
      </c>
      <c r="D231" s="162">
        <f>MARCH!B231</f>
        <v>0</v>
      </c>
      <c r="E231" s="162">
        <f>APRIL!B231</f>
        <v>0</v>
      </c>
      <c r="F231" s="162">
        <f>MAY!B231</f>
        <v>0</v>
      </c>
      <c r="G231" s="162">
        <f>JUNE!B231</f>
        <v>0</v>
      </c>
      <c r="H231" s="162">
        <f>JULY!B231</f>
        <v>0</v>
      </c>
      <c r="I231" s="162">
        <f>AUGUST!B231</f>
        <v>0</v>
      </c>
      <c r="J231" s="162">
        <f>SEPTEMBER!B231</f>
        <v>0</v>
      </c>
      <c r="K231" s="162">
        <f>OCTOBER!B231</f>
        <v>0</v>
      </c>
      <c r="L231" s="162">
        <f>NOVEMBER!B231</f>
        <v>0</v>
      </c>
      <c r="M231" s="162">
        <f>DECEMBER!B231</f>
        <v>0</v>
      </c>
      <c r="N231" s="185">
        <f t="shared" si="18"/>
        <v>0</v>
      </c>
      <c r="O231" s="185">
        <f t="shared" si="19"/>
        <v>0</v>
      </c>
      <c r="P231" s="185">
        <f t="shared" si="20"/>
        <v>0</v>
      </c>
      <c r="Q231" s="185">
        <f t="shared" si="21"/>
        <v>0</v>
      </c>
      <c r="R231" s="197">
        <f t="shared" si="22"/>
        <v>0</v>
      </c>
      <c r="S231" s="162">
        <f>TARGET!B231</f>
        <v>0</v>
      </c>
      <c r="T231" s="208" t="e">
        <f t="shared" si="23"/>
        <v>#DIV/0!</v>
      </c>
    </row>
    <row r="232" spans="1:20" ht="15.75" customHeight="1" x14ac:dyDescent="0.2">
      <c r="A232" s="55" t="s">
        <v>120</v>
      </c>
      <c r="B232" s="195">
        <f>JANUARY!B232</f>
        <v>0</v>
      </c>
      <c r="C232" s="83">
        <f>FEBRUARY!B232</f>
        <v>0</v>
      </c>
      <c r="D232" s="83">
        <f>MARCH!B232</f>
        <v>0</v>
      </c>
      <c r="E232" s="83">
        <f>APRIL!B232</f>
        <v>0</v>
      </c>
      <c r="F232" s="83">
        <f>MAY!B232</f>
        <v>0</v>
      </c>
      <c r="G232" s="83">
        <f>JUNE!B232</f>
        <v>0</v>
      </c>
      <c r="H232" s="83">
        <f>JULY!B232</f>
        <v>0</v>
      </c>
      <c r="I232" s="83">
        <f>AUGUST!B232</f>
        <v>0</v>
      </c>
      <c r="J232" s="83">
        <f>SEPTEMBER!B232</f>
        <v>0</v>
      </c>
      <c r="K232" s="83">
        <f>OCTOBER!B232</f>
        <v>0</v>
      </c>
      <c r="L232" s="83">
        <f>NOVEMBER!B232</f>
        <v>0</v>
      </c>
      <c r="M232" s="83">
        <f>DECEMBER!B232</f>
        <v>0</v>
      </c>
      <c r="N232" s="187">
        <f t="shared" si="18"/>
        <v>0</v>
      </c>
      <c r="O232" s="187">
        <f t="shared" si="19"/>
        <v>0</v>
      </c>
      <c r="P232" s="187">
        <f t="shared" si="20"/>
        <v>0</v>
      </c>
      <c r="Q232" s="187">
        <f t="shared" si="21"/>
        <v>0</v>
      </c>
      <c r="R232" s="198">
        <f t="shared" si="22"/>
        <v>0</v>
      </c>
      <c r="S232" s="186">
        <f>TARGET!B232</f>
        <v>0</v>
      </c>
      <c r="T232" s="208" t="e">
        <f t="shared" si="23"/>
        <v>#DIV/0!</v>
      </c>
    </row>
    <row r="233" spans="1:20" ht="15.75" customHeight="1" x14ac:dyDescent="0.2">
      <c r="A233" s="55" t="s">
        <v>217</v>
      </c>
      <c r="B233" s="195">
        <f>JANUARY!B233</f>
        <v>0</v>
      </c>
      <c r="C233" s="83">
        <f>FEBRUARY!B233</f>
        <v>0</v>
      </c>
      <c r="D233" s="83">
        <f>MARCH!B233</f>
        <v>0</v>
      </c>
      <c r="E233" s="83">
        <f>APRIL!B233</f>
        <v>0</v>
      </c>
      <c r="F233" s="83">
        <f>MAY!B233</f>
        <v>0</v>
      </c>
      <c r="G233" s="83">
        <f>JUNE!B233</f>
        <v>0</v>
      </c>
      <c r="H233" s="83">
        <f>JULY!B233</f>
        <v>0</v>
      </c>
      <c r="I233" s="83">
        <f>AUGUST!B233</f>
        <v>0</v>
      </c>
      <c r="J233" s="83">
        <f>SEPTEMBER!B233</f>
        <v>0</v>
      </c>
      <c r="K233" s="83">
        <f>OCTOBER!B233</f>
        <v>0</v>
      </c>
      <c r="L233" s="83">
        <f>NOVEMBER!B233</f>
        <v>0</v>
      </c>
      <c r="M233" s="83">
        <f>DECEMBER!B233</f>
        <v>0</v>
      </c>
      <c r="N233" s="187">
        <f t="shared" si="18"/>
        <v>0</v>
      </c>
      <c r="O233" s="187">
        <f t="shared" si="19"/>
        <v>0</v>
      </c>
      <c r="P233" s="187">
        <f t="shared" si="20"/>
        <v>0</v>
      </c>
      <c r="Q233" s="187">
        <f t="shared" si="21"/>
        <v>0</v>
      </c>
      <c r="R233" s="198">
        <f t="shared" si="22"/>
        <v>0</v>
      </c>
      <c r="S233" s="186">
        <f>TARGET!B233</f>
        <v>0</v>
      </c>
      <c r="T233" s="208" t="e">
        <f t="shared" si="23"/>
        <v>#DIV/0!</v>
      </c>
    </row>
    <row r="234" spans="1:20" ht="15.75" customHeight="1" x14ac:dyDescent="0.2">
      <c r="A234" s="57" t="s">
        <v>121</v>
      </c>
      <c r="B234" s="162">
        <f>JANUARY!B234</f>
        <v>0</v>
      </c>
      <c r="C234" s="162">
        <f>FEBRUARY!B234</f>
        <v>0</v>
      </c>
      <c r="D234" s="162">
        <f>MARCH!B234</f>
        <v>0</v>
      </c>
      <c r="E234" s="162">
        <f>APRIL!B234</f>
        <v>0</v>
      </c>
      <c r="F234" s="162">
        <f>MAY!B234</f>
        <v>0</v>
      </c>
      <c r="G234" s="162">
        <f>JUNE!B234</f>
        <v>0</v>
      </c>
      <c r="H234" s="162">
        <f>JULY!B234</f>
        <v>0</v>
      </c>
      <c r="I234" s="162">
        <f>AUGUST!B234</f>
        <v>0</v>
      </c>
      <c r="J234" s="162">
        <f>SEPTEMBER!B234</f>
        <v>0</v>
      </c>
      <c r="K234" s="162">
        <f>OCTOBER!B234</f>
        <v>0</v>
      </c>
      <c r="L234" s="162">
        <f>NOVEMBER!B234</f>
        <v>0</v>
      </c>
      <c r="M234" s="162">
        <f>DECEMBER!B234</f>
        <v>0</v>
      </c>
      <c r="N234" s="218">
        <f t="shared" si="18"/>
        <v>0</v>
      </c>
      <c r="O234" s="218">
        <f t="shared" si="19"/>
        <v>0</v>
      </c>
      <c r="P234" s="218">
        <f t="shared" si="20"/>
        <v>0</v>
      </c>
      <c r="Q234" s="218">
        <f t="shared" si="21"/>
        <v>0</v>
      </c>
      <c r="R234" s="198">
        <f t="shared" si="22"/>
        <v>0</v>
      </c>
      <c r="S234" s="186">
        <f>TARGET!B234</f>
        <v>0</v>
      </c>
      <c r="T234" s="208" t="e">
        <f t="shared" si="23"/>
        <v>#DIV/0!</v>
      </c>
    </row>
    <row r="235" spans="1:20" ht="15.75" customHeight="1" x14ac:dyDescent="0.25">
      <c r="A235" s="55" t="s">
        <v>122</v>
      </c>
      <c r="B235" s="162">
        <f>JANUARY!B235</f>
        <v>0</v>
      </c>
      <c r="C235" s="162">
        <f>FEBRUARY!B235</f>
        <v>0</v>
      </c>
      <c r="D235" s="162">
        <f>MARCH!B235</f>
        <v>0</v>
      </c>
      <c r="E235" s="162">
        <f>APRIL!B235</f>
        <v>0</v>
      </c>
      <c r="F235" s="162">
        <f>MAY!B235</f>
        <v>0</v>
      </c>
      <c r="G235" s="162">
        <f>JUNE!B235</f>
        <v>0</v>
      </c>
      <c r="H235" s="162">
        <f>JULY!B235</f>
        <v>0</v>
      </c>
      <c r="I235" s="162">
        <f>AUGUST!B235</f>
        <v>0</v>
      </c>
      <c r="J235" s="162">
        <f>SEPTEMBER!B235</f>
        <v>0</v>
      </c>
      <c r="K235" s="162">
        <f>OCTOBER!B235</f>
        <v>0</v>
      </c>
      <c r="L235" s="162">
        <f>NOVEMBER!B235</f>
        <v>0</v>
      </c>
      <c r="M235" s="162">
        <f>DECEMBER!B235</f>
        <v>0</v>
      </c>
      <c r="N235" s="185">
        <f t="shared" si="18"/>
        <v>0</v>
      </c>
      <c r="O235" s="185">
        <f t="shared" si="19"/>
        <v>0</v>
      </c>
      <c r="P235" s="185">
        <f t="shared" si="20"/>
        <v>0</v>
      </c>
      <c r="Q235" s="185">
        <f t="shared" si="21"/>
        <v>0</v>
      </c>
      <c r="R235" s="197">
        <f t="shared" si="22"/>
        <v>0</v>
      </c>
      <c r="S235" s="162">
        <f>TARGET!B235</f>
        <v>0</v>
      </c>
      <c r="T235" s="208" t="e">
        <f t="shared" si="23"/>
        <v>#DIV/0!</v>
      </c>
    </row>
    <row r="236" spans="1:20" ht="15.75" customHeight="1" x14ac:dyDescent="0.2">
      <c r="A236" s="55" t="s">
        <v>123</v>
      </c>
      <c r="B236" s="195">
        <f>JANUARY!B236</f>
        <v>0</v>
      </c>
      <c r="C236" s="83">
        <f>FEBRUARY!B236</f>
        <v>0</v>
      </c>
      <c r="D236" s="83">
        <f>MARCH!B236</f>
        <v>0</v>
      </c>
      <c r="E236" s="83">
        <f>APRIL!B236</f>
        <v>0</v>
      </c>
      <c r="F236" s="83">
        <f>MAY!B236</f>
        <v>0</v>
      </c>
      <c r="G236" s="83">
        <f>JUNE!B236</f>
        <v>0</v>
      </c>
      <c r="H236" s="83">
        <f>JULY!B236</f>
        <v>0</v>
      </c>
      <c r="I236" s="83">
        <f>AUGUST!B236</f>
        <v>0</v>
      </c>
      <c r="J236" s="83">
        <f>SEPTEMBER!B236</f>
        <v>0</v>
      </c>
      <c r="K236" s="83">
        <f>OCTOBER!B236</f>
        <v>0</v>
      </c>
      <c r="L236" s="83">
        <f>NOVEMBER!B236</f>
        <v>0</v>
      </c>
      <c r="M236" s="83">
        <f>DECEMBER!B236</f>
        <v>0</v>
      </c>
      <c r="N236" s="187">
        <f t="shared" si="18"/>
        <v>0</v>
      </c>
      <c r="O236" s="187">
        <f t="shared" si="19"/>
        <v>0</v>
      </c>
      <c r="P236" s="187">
        <f t="shared" si="20"/>
        <v>0</v>
      </c>
      <c r="Q236" s="187">
        <f t="shared" si="21"/>
        <v>0</v>
      </c>
      <c r="R236" s="198">
        <f t="shared" si="22"/>
        <v>0</v>
      </c>
      <c r="S236" s="186">
        <f>TARGET!B236</f>
        <v>0</v>
      </c>
      <c r="T236" s="208" t="e">
        <f t="shared" si="23"/>
        <v>#DIV/0!</v>
      </c>
    </row>
    <row r="237" spans="1:20" ht="15.75" customHeight="1" x14ac:dyDescent="0.2">
      <c r="A237" s="55" t="s">
        <v>218</v>
      </c>
      <c r="B237" s="195">
        <f>JANUARY!B237</f>
        <v>0</v>
      </c>
      <c r="C237" s="83">
        <f>FEBRUARY!B237</f>
        <v>0</v>
      </c>
      <c r="D237" s="83">
        <f>MARCH!B237</f>
        <v>0</v>
      </c>
      <c r="E237" s="83">
        <f>APRIL!B237</f>
        <v>0</v>
      </c>
      <c r="F237" s="83">
        <f>MAY!B237</f>
        <v>0</v>
      </c>
      <c r="G237" s="83">
        <f>JUNE!B237</f>
        <v>0</v>
      </c>
      <c r="H237" s="83">
        <f>JULY!B237</f>
        <v>0</v>
      </c>
      <c r="I237" s="83">
        <f>AUGUST!B237</f>
        <v>0</v>
      </c>
      <c r="J237" s="83">
        <f>SEPTEMBER!B237</f>
        <v>0</v>
      </c>
      <c r="K237" s="83">
        <f>OCTOBER!B237</f>
        <v>0</v>
      </c>
      <c r="L237" s="83">
        <f>NOVEMBER!B237</f>
        <v>0</v>
      </c>
      <c r="M237" s="83">
        <f>DECEMBER!B237</f>
        <v>0</v>
      </c>
      <c r="N237" s="187">
        <f t="shared" si="18"/>
        <v>0</v>
      </c>
      <c r="O237" s="187">
        <f t="shared" si="19"/>
        <v>0</v>
      </c>
      <c r="P237" s="187">
        <f t="shared" si="20"/>
        <v>0</v>
      </c>
      <c r="Q237" s="187">
        <f t="shared" si="21"/>
        <v>0</v>
      </c>
      <c r="R237" s="198">
        <f t="shared" si="22"/>
        <v>0</v>
      </c>
      <c r="S237" s="186">
        <f>TARGET!B237</f>
        <v>0</v>
      </c>
      <c r="T237" s="208" t="e">
        <f t="shared" si="23"/>
        <v>#DIV/0!</v>
      </c>
    </row>
    <row r="238" spans="1:20" ht="15.75" customHeight="1" x14ac:dyDescent="0.25">
      <c r="A238" s="55" t="s">
        <v>125</v>
      </c>
      <c r="B238" s="162">
        <f>JANUARY!B238</f>
        <v>0</v>
      </c>
      <c r="C238" s="162">
        <f>FEBRUARY!B238</f>
        <v>0</v>
      </c>
      <c r="D238" s="162">
        <f>MARCH!B238</f>
        <v>0</v>
      </c>
      <c r="E238" s="162">
        <f>APRIL!B238</f>
        <v>0</v>
      </c>
      <c r="F238" s="162">
        <f>MAY!B238</f>
        <v>0</v>
      </c>
      <c r="G238" s="162">
        <f>JUNE!B238</f>
        <v>0</v>
      </c>
      <c r="H238" s="162">
        <f>JULY!B238</f>
        <v>0</v>
      </c>
      <c r="I238" s="162">
        <f>AUGUST!B238</f>
        <v>0</v>
      </c>
      <c r="J238" s="162">
        <f>SEPTEMBER!B238</f>
        <v>0</v>
      </c>
      <c r="K238" s="162">
        <f>OCTOBER!B238</f>
        <v>0</v>
      </c>
      <c r="L238" s="162">
        <f>NOVEMBER!B238</f>
        <v>0</v>
      </c>
      <c r="M238" s="162">
        <f>DECEMBER!B238</f>
        <v>0</v>
      </c>
      <c r="N238" s="185">
        <f t="shared" si="18"/>
        <v>0</v>
      </c>
      <c r="O238" s="185">
        <f t="shared" si="19"/>
        <v>0</v>
      </c>
      <c r="P238" s="185">
        <f t="shared" si="20"/>
        <v>0</v>
      </c>
      <c r="Q238" s="185">
        <f t="shared" si="21"/>
        <v>0</v>
      </c>
      <c r="R238" s="197">
        <f t="shared" si="22"/>
        <v>0</v>
      </c>
      <c r="S238" s="162">
        <f>TARGET!B238</f>
        <v>0</v>
      </c>
      <c r="T238" s="208" t="e">
        <f t="shared" si="23"/>
        <v>#DIV/0!</v>
      </c>
    </row>
    <row r="239" spans="1:20" ht="15.75" customHeight="1" x14ac:dyDescent="0.2">
      <c r="A239" s="55" t="s">
        <v>126</v>
      </c>
      <c r="B239" s="195">
        <f>JANUARY!B239</f>
        <v>0</v>
      </c>
      <c r="C239" s="83">
        <f>FEBRUARY!B239</f>
        <v>0</v>
      </c>
      <c r="D239" s="83">
        <f>MARCH!B239</f>
        <v>0</v>
      </c>
      <c r="E239" s="83">
        <f>APRIL!B239</f>
        <v>0</v>
      </c>
      <c r="F239" s="83">
        <f>MAY!B239</f>
        <v>0</v>
      </c>
      <c r="G239" s="83">
        <f>JUNE!B239</f>
        <v>0</v>
      </c>
      <c r="H239" s="83">
        <f>JULY!B239</f>
        <v>0</v>
      </c>
      <c r="I239" s="83">
        <f>AUGUST!B239</f>
        <v>0</v>
      </c>
      <c r="J239" s="83">
        <f>SEPTEMBER!B239</f>
        <v>0</v>
      </c>
      <c r="K239" s="83">
        <f>OCTOBER!B239</f>
        <v>0</v>
      </c>
      <c r="L239" s="83">
        <f>NOVEMBER!B239</f>
        <v>0</v>
      </c>
      <c r="M239" s="83">
        <f>DECEMBER!B239</f>
        <v>0</v>
      </c>
      <c r="N239" s="187">
        <f t="shared" si="18"/>
        <v>0</v>
      </c>
      <c r="O239" s="187">
        <f t="shared" si="19"/>
        <v>0</v>
      </c>
      <c r="P239" s="187">
        <f t="shared" si="20"/>
        <v>0</v>
      </c>
      <c r="Q239" s="187">
        <f t="shared" si="21"/>
        <v>0</v>
      </c>
      <c r="R239" s="198">
        <f t="shared" si="22"/>
        <v>0</v>
      </c>
      <c r="S239" s="186">
        <f>TARGET!B239</f>
        <v>0</v>
      </c>
      <c r="T239" s="208" t="e">
        <f t="shared" si="23"/>
        <v>#DIV/0!</v>
      </c>
    </row>
    <row r="240" spans="1:20" ht="15.75" customHeight="1" x14ac:dyDescent="0.2">
      <c r="A240" s="55" t="s">
        <v>219</v>
      </c>
      <c r="B240" s="195">
        <f>JANUARY!B240</f>
        <v>0</v>
      </c>
      <c r="C240" s="83">
        <f>FEBRUARY!B240</f>
        <v>0</v>
      </c>
      <c r="D240" s="83">
        <f>MARCH!B240</f>
        <v>0</v>
      </c>
      <c r="E240" s="83">
        <f>APRIL!B240</f>
        <v>0</v>
      </c>
      <c r="F240" s="83">
        <f>MAY!B240</f>
        <v>0</v>
      </c>
      <c r="G240" s="83">
        <f>JUNE!B240</f>
        <v>0</v>
      </c>
      <c r="H240" s="83">
        <f>JULY!B240</f>
        <v>0</v>
      </c>
      <c r="I240" s="83">
        <f>AUGUST!B240</f>
        <v>0</v>
      </c>
      <c r="J240" s="83">
        <f>SEPTEMBER!B240</f>
        <v>0</v>
      </c>
      <c r="K240" s="83">
        <f>OCTOBER!B240</f>
        <v>0</v>
      </c>
      <c r="L240" s="83">
        <f>NOVEMBER!B240</f>
        <v>0</v>
      </c>
      <c r="M240" s="83">
        <f>DECEMBER!B240</f>
        <v>0</v>
      </c>
      <c r="N240" s="187">
        <f t="shared" si="18"/>
        <v>0</v>
      </c>
      <c r="O240" s="187">
        <f t="shared" si="19"/>
        <v>0</v>
      </c>
      <c r="P240" s="187">
        <f t="shared" si="20"/>
        <v>0</v>
      </c>
      <c r="Q240" s="187">
        <f t="shared" si="21"/>
        <v>0</v>
      </c>
      <c r="R240" s="198">
        <f t="shared" si="22"/>
        <v>0</v>
      </c>
      <c r="S240" s="186">
        <f>TARGET!B240</f>
        <v>0</v>
      </c>
      <c r="T240" s="208" t="e">
        <f t="shared" si="23"/>
        <v>#DIV/0!</v>
      </c>
    </row>
    <row r="241" spans="1:21" ht="15.75" customHeight="1" x14ac:dyDescent="0.25">
      <c r="A241" s="55" t="s">
        <v>127</v>
      </c>
      <c r="B241" s="162">
        <f>JANUARY!B241</f>
        <v>0</v>
      </c>
      <c r="C241" s="162">
        <f>FEBRUARY!B241</f>
        <v>0</v>
      </c>
      <c r="D241" s="162">
        <f>MARCH!B241</f>
        <v>0</v>
      </c>
      <c r="E241" s="162">
        <f>APRIL!B241</f>
        <v>0</v>
      </c>
      <c r="F241" s="162">
        <f>MAY!B241</f>
        <v>0</v>
      </c>
      <c r="G241" s="162">
        <f>JUNE!B241</f>
        <v>0</v>
      </c>
      <c r="H241" s="162">
        <f>JULY!B241</f>
        <v>0</v>
      </c>
      <c r="I241" s="162">
        <f>AUGUST!B241</f>
        <v>0</v>
      </c>
      <c r="J241" s="162">
        <f>SEPTEMBER!B241</f>
        <v>0</v>
      </c>
      <c r="K241" s="162">
        <f>OCTOBER!B241</f>
        <v>0</v>
      </c>
      <c r="L241" s="162">
        <f>NOVEMBER!B241</f>
        <v>0</v>
      </c>
      <c r="M241" s="162">
        <f>DECEMBER!B241</f>
        <v>0</v>
      </c>
      <c r="N241" s="185">
        <f t="shared" si="18"/>
        <v>0</v>
      </c>
      <c r="O241" s="185">
        <f t="shared" si="19"/>
        <v>0</v>
      </c>
      <c r="P241" s="185">
        <f t="shared" si="20"/>
        <v>0</v>
      </c>
      <c r="Q241" s="185">
        <f t="shared" si="21"/>
        <v>0</v>
      </c>
      <c r="R241" s="197">
        <f t="shared" si="22"/>
        <v>0</v>
      </c>
      <c r="S241" s="162">
        <f>TARGET!B241</f>
        <v>0</v>
      </c>
      <c r="T241" s="208" t="e">
        <f t="shared" si="23"/>
        <v>#DIV/0!</v>
      </c>
    </row>
    <row r="242" spans="1:21" ht="15.75" customHeight="1" x14ac:dyDescent="0.2">
      <c r="A242" s="55" t="s">
        <v>128</v>
      </c>
      <c r="B242" s="195">
        <f>JANUARY!B242</f>
        <v>0</v>
      </c>
      <c r="C242" s="83">
        <f>FEBRUARY!B242</f>
        <v>0</v>
      </c>
      <c r="D242" s="83">
        <f>MARCH!B242</f>
        <v>0</v>
      </c>
      <c r="E242" s="83">
        <f>APRIL!B242</f>
        <v>0</v>
      </c>
      <c r="F242" s="83">
        <f>MAY!B242</f>
        <v>0</v>
      </c>
      <c r="G242" s="83">
        <f>JUNE!B242</f>
        <v>0</v>
      </c>
      <c r="H242" s="83">
        <f>JULY!B242</f>
        <v>0</v>
      </c>
      <c r="I242" s="83">
        <f>AUGUST!B242</f>
        <v>0</v>
      </c>
      <c r="J242" s="83">
        <f>SEPTEMBER!B242</f>
        <v>0</v>
      </c>
      <c r="K242" s="83">
        <f>OCTOBER!B242</f>
        <v>0</v>
      </c>
      <c r="L242" s="83">
        <f>NOVEMBER!B242</f>
        <v>0</v>
      </c>
      <c r="M242" s="83">
        <f>DECEMBER!B242</f>
        <v>0</v>
      </c>
      <c r="N242" s="187">
        <f t="shared" si="18"/>
        <v>0</v>
      </c>
      <c r="O242" s="187">
        <f t="shared" si="19"/>
        <v>0</v>
      </c>
      <c r="P242" s="187">
        <f t="shared" si="20"/>
        <v>0</v>
      </c>
      <c r="Q242" s="187">
        <f t="shared" si="21"/>
        <v>0</v>
      </c>
      <c r="R242" s="198">
        <f t="shared" si="22"/>
        <v>0</v>
      </c>
      <c r="S242" s="186">
        <f>TARGET!B242</f>
        <v>0</v>
      </c>
      <c r="T242" s="208" t="e">
        <f t="shared" si="23"/>
        <v>#DIV/0!</v>
      </c>
    </row>
    <row r="243" spans="1:21" ht="15.75" customHeight="1" x14ac:dyDescent="0.2">
      <c r="A243" s="55" t="s">
        <v>220</v>
      </c>
      <c r="B243" s="195">
        <f>JANUARY!B243</f>
        <v>0</v>
      </c>
      <c r="C243" s="83">
        <f>FEBRUARY!B243</f>
        <v>0</v>
      </c>
      <c r="D243" s="83">
        <f>MARCH!B243</f>
        <v>0</v>
      </c>
      <c r="E243" s="83">
        <f>APRIL!B243</f>
        <v>0</v>
      </c>
      <c r="F243" s="83">
        <f>MAY!B243</f>
        <v>0</v>
      </c>
      <c r="G243" s="83">
        <f>JUNE!B243</f>
        <v>0</v>
      </c>
      <c r="H243" s="83">
        <f>JULY!B243</f>
        <v>0</v>
      </c>
      <c r="I243" s="83">
        <f>AUGUST!B243</f>
        <v>0</v>
      </c>
      <c r="J243" s="83">
        <f>SEPTEMBER!B243</f>
        <v>0</v>
      </c>
      <c r="K243" s="83">
        <f>OCTOBER!B243</f>
        <v>0</v>
      </c>
      <c r="L243" s="83">
        <f>NOVEMBER!B243</f>
        <v>0</v>
      </c>
      <c r="M243" s="83">
        <f>DECEMBER!B243</f>
        <v>0</v>
      </c>
      <c r="N243" s="187">
        <f t="shared" si="18"/>
        <v>0</v>
      </c>
      <c r="O243" s="187">
        <f t="shared" si="19"/>
        <v>0</v>
      </c>
      <c r="P243" s="187">
        <f t="shared" si="20"/>
        <v>0</v>
      </c>
      <c r="Q243" s="187">
        <f t="shared" si="21"/>
        <v>0</v>
      </c>
      <c r="R243" s="198">
        <f t="shared" si="22"/>
        <v>0</v>
      </c>
      <c r="S243" s="186">
        <f>TARGET!B243</f>
        <v>0</v>
      </c>
      <c r="T243" s="208" t="e">
        <f t="shared" si="23"/>
        <v>#DIV/0!</v>
      </c>
    </row>
    <row r="244" spans="1:21" ht="15.75" customHeight="1" x14ac:dyDescent="0.2">
      <c r="A244" s="57" t="s">
        <v>284</v>
      </c>
      <c r="B244" s="195">
        <f>JANUARY!B244</f>
        <v>4</v>
      </c>
      <c r="C244" s="83">
        <f>FEBRUARY!B244</f>
        <v>1</v>
      </c>
      <c r="D244" s="83">
        <f>MARCH!B244</f>
        <v>2</v>
      </c>
      <c r="E244" s="83">
        <f>APRIL!B244</f>
        <v>1</v>
      </c>
      <c r="F244" s="83">
        <f>MAY!B244</f>
        <v>2</v>
      </c>
      <c r="G244" s="83">
        <f>JUNE!B244</f>
        <v>1</v>
      </c>
      <c r="H244" s="83">
        <f>JULY!B244</f>
        <v>3</v>
      </c>
      <c r="I244" s="83">
        <f>AUGUST!B244</f>
        <v>0</v>
      </c>
      <c r="J244" s="83">
        <f>SEPTEMBER!B244</f>
        <v>0</v>
      </c>
      <c r="K244" s="83">
        <f>OCTOBER!B244</f>
        <v>0</v>
      </c>
      <c r="L244" s="83">
        <f>NOVEMBER!B244</f>
        <v>0</v>
      </c>
      <c r="M244" s="83">
        <f>DECEMBER!B244</f>
        <v>0</v>
      </c>
      <c r="N244" s="187">
        <f t="shared" si="18"/>
        <v>7</v>
      </c>
      <c r="O244" s="187">
        <f t="shared" si="19"/>
        <v>4</v>
      </c>
      <c r="P244" s="187">
        <f t="shared" si="20"/>
        <v>3</v>
      </c>
      <c r="Q244" s="187">
        <f t="shared" si="21"/>
        <v>0</v>
      </c>
      <c r="R244" s="198">
        <f t="shared" si="22"/>
        <v>14</v>
      </c>
      <c r="S244" s="186">
        <f>TARGET!B244</f>
        <v>0</v>
      </c>
      <c r="T244" s="208" t="e">
        <f t="shared" si="23"/>
        <v>#DIV/0!</v>
      </c>
    </row>
    <row r="245" spans="1:21" ht="15.75" customHeight="1" x14ac:dyDescent="0.25">
      <c r="A245" s="58" t="s">
        <v>129</v>
      </c>
      <c r="B245" s="162">
        <f>JANUARY!B245</f>
        <v>34</v>
      </c>
      <c r="C245" s="162">
        <f>FEBRUARY!B245</f>
        <v>1</v>
      </c>
      <c r="D245" s="162">
        <f>MARCH!B245</f>
        <v>26</v>
      </c>
      <c r="E245" s="162">
        <f>APRIL!B245</f>
        <v>7</v>
      </c>
      <c r="F245" s="162">
        <f>MAY!B245</f>
        <v>14</v>
      </c>
      <c r="G245" s="162">
        <f>JUNE!B245</f>
        <v>5</v>
      </c>
      <c r="H245" s="162">
        <f>JULY!B245</f>
        <v>37</v>
      </c>
      <c r="I245" s="162">
        <f>AUGUST!B245</f>
        <v>10</v>
      </c>
      <c r="J245" s="162">
        <f>SEPTEMBER!B245</f>
        <v>0</v>
      </c>
      <c r="K245" s="162">
        <f>OCTOBER!B245</f>
        <v>0</v>
      </c>
      <c r="L245" s="162">
        <f>NOVEMBER!B245</f>
        <v>0</v>
      </c>
      <c r="M245" s="162">
        <f>DECEMBER!B245</f>
        <v>0</v>
      </c>
      <c r="N245" s="185">
        <f t="shared" si="18"/>
        <v>61</v>
      </c>
      <c r="O245" s="185">
        <f t="shared" si="19"/>
        <v>26</v>
      </c>
      <c r="P245" s="185">
        <f t="shared" si="20"/>
        <v>47</v>
      </c>
      <c r="Q245" s="185">
        <f t="shared" si="21"/>
        <v>0</v>
      </c>
      <c r="R245" s="197">
        <f t="shared" si="22"/>
        <v>134</v>
      </c>
      <c r="S245" s="162">
        <f>TARGET!B245</f>
        <v>0</v>
      </c>
      <c r="T245" s="208" t="e">
        <f t="shared" si="23"/>
        <v>#DIV/0!</v>
      </c>
      <c r="U245" s="280">
        <f>R245</f>
        <v>134</v>
      </c>
    </row>
    <row r="246" spans="1:21" ht="15.75" customHeight="1" x14ac:dyDescent="0.2">
      <c r="A246" s="55" t="s">
        <v>260</v>
      </c>
      <c r="B246" s="195">
        <f>JANUARY!B246</f>
        <v>33</v>
      </c>
      <c r="C246" s="83">
        <f>FEBRUARY!B246</f>
        <v>1</v>
      </c>
      <c r="D246" s="83">
        <f>MARCH!B246</f>
        <v>26</v>
      </c>
      <c r="E246" s="83">
        <f>APRIL!B246</f>
        <v>7</v>
      </c>
      <c r="F246" s="83">
        <f>MAY!B246</f>
        <v>14</v>
      </c>
      <c r="G246" s="83">
        <f>JUNE!B246</f>
        <v>5</v>
      </c>
      <c r="H246" s="83">
        <f>JULY!B246</f>
        <v>37</v>
      </c>
      <c r="I246" s="83">
        <f>AUGUST!B246</f>
        <v>10</v>
      </c>
      <c r="J246" s="83">
        <f>SEPTEMBER!B246</f>
        <v>0</v>
      </c>
      <c r="K246" s="83">
        <f>OCTOBER!B246</f>
        <v>0</v>
      </c>
      <c r="L246" s="83">
        <f>NOVEMBER!B246</f>
        <v>0</v>
      </c>
      <c r="M246" s="83">
        <f>DECEMBER!B246</f>
        <v>0</v>
      </c>
      <c r="N246" s="187">
        <f t="shared" si="18"/>
        <v>60</v>
      </c>
      <c r="O246" s="187">
        <f t="shared" si="19"/>
        <v>26</v>
      </c>
      <c r="P246" s="187">
        <f t="shared" si="20"/>
        <v>47</v>
      </c>
      <c r="Q246" s="187">
        <f t="shared" si="21"/>
        <v>0</v>
      </c>
      <c r="R246" s="198">
        <f t="shared" si="22"/>
        <v>133</v>
      </c>
      <c r="S246" s="186">
        <f>TARGET!B246</f>
        <v>0</v>
      </c>
      <c r="T246" s="208" t="e">
        <f t="shared" si="23"/>
        <v>#DIV/0!</v>
      </c>
    </row>
    <row r="247" spans="1:21" ht="15.75" customHeight="1" x14ac:dyDescent="0.2">
      <c r="A247" s="55" t="s">
        <v>261</v>
      </c>
      <c r="B247" s="195">
        <f>JANUARY!B247</f>
        <v>1</v>
      </c>
      <c r="C247" s="83">
        <f>FEBRUARY!B247</f>
        <v>0</v>
      </c>
      <c r="D247" s="83">
        <f>MARCH!B247</f>
        <v>0</v>
      </c>
      <c r="E247" s="83">
        <f>APRIL!B247</f>
        <v>0</v>
      </c>
      <c r="F247" s="83">
        <f>MAY!B247</f>
        <v>0</v>
      </c>
      <c r="G247" s="83">
        <f>JUNE!B247</f>
        <v>0</v>
      </c>
      <c r="H247" s="83">
        <f>JULY!B247</f>
        <v>0</v>
      </c>
      <c r="I247" s="83">
        <f>AUGUST!B247</f>
        <v>0</v>
      </c>
      <c r="J247" s="83">
        <f>SEPTEMBER!B247</f>
        <v>0</v>
      </c>
      <c r="K247" s="83">
        <f>OCTOBER!B247</f>
        <v>0</v>
      </c>
      <c r="L247" s="83">
        <f>NOVEMBER!B247</f>
        <v>0</v>
      </c>
      <c r="M247" s="83">
        <f>DECEMBER!B247</f>
        <v>0</v>
      </c>
      <c r="N247" s="187">
        <f t="shared" si="18"/>
        <v>1</v>
      </c>
      <c r="O247" s="187">
        <f t="shared" si="19"/>
        <v>0</v>
      </c>
      <c r="P247" s="187">
        <f t="shared" si="20"/>
        <v>0</v>
      </c>
      <c r="Q247" s="187">
        <f t="shared" si="21"/>
        <v>0</v>
      </c>
      <c r="R247" s="198">
        <f t="shared" si="22"/>
        <v>1</v>
      </c>
      <c r="S247" s="186">
        <f>TARGET!B247</f>
        <v>0</v>
      </c>
      <c r="T247" s="208" t="e">
        <f t="shared" si="23"/>
        <v>#DIV/0!</v>
      </c>
    </row>
    <row r="248" spans="1:21" ht="15.75" customHeight="1" x14ac:dyDescent="0.25">
      <c r="A248" s="55" t="s">
        <v>130</v>
      </c>
      <c r="B248" s="162">
        <f>JANUARY!B248</f>
        <v>0</v>
      </c>
      <c r="C248" s="162">
        <f>FEBRUARY!B248</f>
        <v>0</v>
      </c>
      <c r="D248" s="162">
        <f>MARCH!B248</f>
        <v>2</v>
      </c>
      <c r="E248" s="162">
        <f>APRIL!B248</f>
        <v>0</v>
      </c>
      <c r="F248" s="162">
        <f>MAY!B248</f>
        <v>0</v>
      </c>
      <c r="G248" s="162">
        <f>JUNE!B248</f>
        <v>0</v>
      </c>
      <c r="H248" s="162">
        <f>JULY!B248</f>
        <v>5</v>
      </c>
      <c r="I248" s="162">
        <f>AUGUST!B248</f>
        <v>0</v>
      </c>
      <c r="J248" s="162">
        <f>SEPTEMBER!B248</f>
        <v>0</v>
      </c>
      <c r="K248" s="162">
        <f>OCTOBER!B248</f>
        <v>0</v>
      </c>
      <c r="L248" s="162">
        <f>NOVEMBER!B248</f>
        <v>0</v>
      </c>
      <c r="M248" s="162">
        <f>DECEMBER!B248</f>
        <v>0</v>
      </c>
      <c r="N248" s="185">
        <f t="shared" si="18"/>
        <v>2</v>
      </c>
      <c r="O248" s="185">
        <f t="shared" si="19"/>
        <v>0</v>
      </c>
      <c r="P248" s="185">
        <f t="shared" si="20"/>
        <v>5</v>
      </c>
      <c r="Q248" s="185">
        <f t="shared" si="21"/>
        <v>0</v>
      </c>
      <c r="R248" s="197">
        <f t="shared" si="22"/>
        <v>7</v>
      </c>
      <c r="S248" s="162">
        <f>TARGET!B248</f>
        <v>0</v>
      </c>
      <c r="T248" s="208" t="e">
        <f t="shared" si="23"/>
        <v>#DIV/0!</v>
      </c>
    </row>
    <row r="249" spans="1:21" ht="15.75" customHeight="1" x14ac:dyDescent="0.2">
      <c r="A249" s="55" t="s">
        <v>262</v>
      </c>
      <c r="B249" s="195">
        <f>JANUARY!B249</f>
        <v>0</v>
      </c>
      <c r="C249" s="83">
        <f>FEBRUARY!B249</f>
        <v>0</v>
      </c>
      <c r="D249" s="83">
        <f>MARCH!B249</f>
        <v>2</v>
      </c>
      <c r="E249" s="83">
        <f>APRIL!B249</f>
        <v>0</v>
      </c>
      <c r="F249" s="83">
        <f>MAY!B249</f>
        <v>0</v>
      </c>
      <c r="G249" s="83">
        <f>JUNE!B249</f>
        <v>0</v>
      </c>
      <c r="H249" s="83">
        <f>JULY!B249</f>
        <v>5</v>
      </c>
      <c r="I249" s="83">
        <f>AUGUST!B249</f>
        <v>0</v>
      </c>
      <c r="J249" s="83">
        <f>SEPTEMBER!B249</f>
        <v>0</v>
      </c>
      <c r="K249" s="83">
        <f>OCTOBER!B249</f>
        <v>0</v>
      </c>
      <c r="L249" s="83">
        <f>NOVEMBER!B249</f>
        <v>0</v>
      </c>
      <c r="M249" s="83">
        <f>DECEMBER!B249</f>
        <v>0</v>
      </c>
      <c r="N249" s="187">
        <f t="shared" si="18"/>
        <v>2</v>
      </c>
      <c r="O249" s="187">
        <f t="shared" si="19"/>
        <v>0</v>
      </c>
      <c r="P249" s="187">
        <f t="shared" si="20"/>
        <v>5</v>
      </c>
      <c r="Q249" s="187">
        <f t="shared" si="21"/>
        <v>0</v>
      </c>
      <c r="R249" s="198">
        <f t="shared" si="22"/>
        <v>7</v>
      </c>
      <c r="S249" s="186">
        <f>TARGET!B249</f>
        <v>0</v>
      </c>
      <c r="T249" s="208" t="e">
        <f t="shared" si="23"/>
        <v>#DIV/0!</v>
      </c>
    </row>
    <row r="250" spans="1:21" ht="15.75" customHeight="1" x14ac:dyDescent="0.2">
      <c r="A250" s="55" t="s">
        <v>263</v>
      </c>
      <c r="B250" s="195">
        <f>JANUARY!B250</f>
        <v>0</v>
      </c>
      <c r="C250" s="91">
        <f>FEBRUARY!B250</f>
        <v>0</v>
      </c>
      <c r="D250" s="91">
        <f>MARCH!B250</f>
        <v>0</v>
      </c>
      <c r="E250" s="91">
        <f>APRIL!B250</f>
        <v>0</v>
      </c>
      <c r="F250" s="91">
        <f>MAY!B250</f>
        <v>0</v>
      </c>
      <c r="G250" s="91">
        <f>JUNE!B250</f>
        <v>0</v>
      </c>
      <c r="H250" s="91">
        <f>JULY!B250</f>
        <v>0</v>
      </c>
      <c r="I250" s="91">
        <f>AUGUST!B250</f>
        <v>0</v>
      </c>
      <c r="J250" s="91">
        <f>SEPTEMBER!B250</f>
        <v>0</v>
      </c>
      <c r="K250" s="91">
        <f>OCTOBER!B250</f>
        <v>0</v>
      </c>
      <c r="L250" s="91">
        <f>NOVEMBER!B250</f>
        <v>0</v>
      </c>
      <c r="M250" s="91">
        <f>DECEMBER!B250</f>
        <v>0</v>
      </c>
      <c r="N250" s="219">
        <f t="shared" si="18"/>
        <v>0</v>
      </c>
      <c r="O250" s="219">
        <f t="shared" si="19"/>
        <v>0</v>
      </c>
      <c r="P250" s="219">
        <f t="shared" si="20"/>
        <v>0</v>
      </c>
      <c r="Q250" s="219">
        <f t="shared" si="21"/>
        <v>0</v>
      </c>
      <c r="R250" s="220">
        <f t="shared" si="22"/>
        <v>0</v>
      </c>
      <c r="S250" s="186">
        <f>TARGET!B250</f>
        <v>0</v>
      </c>
      <c r="T250" s="208" t="e">
        <f t="shared" si="23"/>
        <v>#DIV/0!</v>
      </c>
    </row>
    <row r="251" spans="1:21" ht="15.75" customHeight="1" x14ac:dyDescent="0.2">
      <c r="A251" s="62" t="s">
        <v>325</v>
      </c>
      <c r="B251" s="195">
        <f>JANUARY!B251</f>
        <v>0</v>
      </c>
      <c r="C251" s="91">
        <f>FEBRUARY!B251</f>
        <v>0</v>
      </c>
      <c r="D251" s="91">
        <f>MARCH!B251</f>
        <v>0</v>
      </c>
      <c r="E251" s="91">
        <f>APRIL!B251</f>
        <v>0</v>
      </c>
      <c r="F251" s="91">
        <f>MAY!B251</f>
        <v>0</v>
      </c>
      <c r="G251" s="91">
        <f>JUNE!B251</f>
        <v>0</v>
      </c>
      <c r="H251" s="91">
        <f>JULY!B251</f>
        <v>0</v>
      </c>
      <c r="I251" s="91">
        <f>AUGUST!B251</f>
        <v>0</v>
      </c>
      <c r="J251" s="91">
        <f>SEPTEMBER!B251</f>
        <v>0</v>
      </c>
      <c r="K251" s="91">
        <f>OCTOBER!B251</f>
        <v>0</v>
      </c>
      <c r="L251" s="91">
        <f>NOVEMBER!B251</f>
        <v>0</v>
      </c>
      <c r="M251" s="91">
        <f>DECEMBER!B251</f>
        <v>0</v>
      </c>
      <c r="N251" s="219">
        <f>B251+C251+D251</f>
        <v>0</v>
      </c>
      <c r="O251" s="219">
        <f>E251+F251+G251</f>
        <v>0</v>
      </c>
      <c r="P251" s="219">
        <f>H251+I251+J251</f>
        <v>0</v>
      </c>
      <c r="Q251" s="219">
        <f>K251+L251+M251</f>
        <v>0</v>
      </c>
      <c r="R251" s="220">
        <f>B251+C251+D251+E251+F251+G251+H251+I251+J251+K251+L251+M251</f>
        <v>0</v>
      </c>
      <c r="S251" s="186">
        <f>TARGET!B251</f>
        <v>0</v>
      </c>
      <c r="T251" s="208" t="e">
        <f t="shared" si="23"/>
        <v>#DIV/0!</v>
      </c>
    </row>
    <row r="252" spans="1:21" ht="15.75" customHeight="1" x14ac:dyDescent="0.2">
      <c r="A252" s="62" t="s">
        <v>326</v>
      </c>
      <c r="B252" s="195">
        <f>JANUARY!B252</f>
        <v>0</v>
      </c>
      <c r="C252" s="33">
        <f>FEBRUARY!B252</f>
        <v>0</v>
      </c>
      <c r="D252" s="33">
        <f>MARCH!B252</f>
        <v>0</v>
      </c>
      <c r="E252" s="33">
        <f>APRIL!B252</f>
        <v>0</v>
      </c>
      <c r="F252" s="33">
        <f>MAY!B252</f>
        <v>0</v>
      </c>
      <c r="G252" s="33">
        <f>JUNE!B252</f>
        <v>0</v>
      </c>
      <c r="H252" s="33">
        <f>JULY!B252</f>
        <v>0</v>
      </c>
      <c r="I252" s="33">
        <f>AUGUST!B252</f>
        <v>0</v>
      </c>
      <c r="J252" s="33">
        <f>SEPTEMBER!B252</f>
        <v>0</v>
      </c>
      <c r="K252" s="33">
        <f>OCTOBER!B252</f>
        <v>0</v>
      </c>
      <c r="L252" s="33">
        <f>NOVEMBER!B252</f>
        <v>0</v>
      </c>
      <c r="M252" s="33">
        <f>DECEMBER!B252</f>
        <v>0</v>
      </c>
      <c r="N252" s="221">
        <f>B252+C252+D252</f>
        <v>0</v>
      </c>
      <c r="O252" s="221">
        <f>E252+F252+G252</f>
        <v>0</v>
      </c>
      <c r="P252" s="221">
        <f>H252+I252+J252</f>
        <v>0</v>
      </c>
      <c r="Q252" s="221">
        <f>K252+L252+M252</f>
        <v>0</v>
      </c>
      <c r="R252" s="199">
        <f>B252+C252+D252+E252+F252+G252+H252+I252+J252+K252+L252+M252</f>
        <v>0</v>
      </c>
      <c r="S252" s="186">
        <f>TARGET!B252</f>
        <v>0</v>
      </c>
      <c r="T252" s="208" t="e">
        <f t="shared" si="23"/>
        <v>#DIV/0!</v>
      </c>
    </row>
    <row r="253" spans="1:21" ht="15.75" customHeight="1" x14ac:dyDescent="0.2">
      <c r="A253" s="62" t="s">
        <v>327</v>
      </c>
      <c r="B253" s="162">
        <f>JANUARY!B253</f>
        <v>0</v>
      </c>
      <c r="C253" s="163">
        <f>FEBRUARY!B253</f>
        <v>0</v>
      </c>
      <c r="D253" s="188">
        <f>MARCH!B253</f>
        <v>0</v>
      </c>
      <c r="E253" s="188">
        <f>APRIL!B253</f>
        <v>0</v>
      </c>
      <c r="F253" s="188">
        <f>MAY!B253</f>
        <v>0</v>
      </c>
      <c r="G253" s="188">
        <f>JUNE!B253</f>
        <v>0</v>
      </c>
      <c r="H253" s="188">
        <f>JULY!B253</f>
        <v>0</v>
      </c>
      <c r="I253" s="188">
        <f>AUGUST!B253</f>
        <v>0</v>
      </c>
      <c r="J253" s="188">
        <f>SEPTEMBER!B253</f>
        <v>0</v>
      </c>
      <c r="K253" s="188">
        <f>OCTOBER!B253</f>
        <v>0</v>
      </c>
      <c r="L253" s="188">
        <f>NOVEMBER!B253</f>
        <v>0</v>
      </c>
      <c r="M253" s="188">
        <f>DECEMBER!B253</f>
        <v>0</v>
      </c>
      <c r="N253" s="189">
        <f t="shared" ref="N253:N258" si="24">B253+C253+D253</f>
        <v>0</v>
      </c>
      <c r="O253" s="189">
        <f t="shared" ref="O253:O258" si="25">E253+F253+G253</f>
        <v>0</v>
      </c>
      <c r="P253" s="189">
        <f t="shared" ref="P253:P258" si="26">H253+I253+J253</f>
        <v>0</v>
      </c>
      <c r="Q253" s="189">
        <f t="shared" ref="Q253:Q258" si="27">K253+L253+M253</f>
        <v>0</v>
      </c>
      <c r="R253" s="199">
        <f t="shared" ref="R253:R258" si="28">B253+C253+D253+E253+F253+G253+H253+I253+J253+K253+L253+M253</f>
        <v>0</v>
      </c>
      <c r="S253" s="162">
        <f>TARGET!B253</f>
        <v>0</v>
      </c>
      <c r="T253" s="208" t="e">
        <f t="shared" si="23"/>
        <v>#DIV/0!</v>
      </c>
      <c r="U253" s="280">
        <f>R253</f>
        <v>0</v>
      </c>
    </row>
    <row r="254" spans="1:21" ht="15.75" customHeight="1" x14ac:dyDescent="0.2">
      <c r="A254" s="55" t="s">
        <v>329</v>
      </c>
      <c r="B254" s="195">
        <f>JANUARY!B254</f>
        <v>0</v>
      </c>
      <c r="C254" s="33">
        <f>FEBRUARY!B254</f>
        <v>0</v>
      </c>
      <c r="D254" s="33">
        <f>MARCH!B254</f>
        <v>0</v>
      </c>
      <c r="E254" s="33">
        <f>APRIL!B254</f>
        <v>0</v>
      </c>
      <c r="F254" s="33">
        <f>MAY!B254</f>
        <v>0</v>
      </c>
      <c r="G254" s="33">
        <f>JUNE!B254</f>
        <v>0</v>
      </c>
      <c r="H254" s="33">
        <f>JULY!B254</f>
        <v>0</v>
      </c>
      <c r="I254" s="33">
        <f>AUGUST!B254</f>
        <v>0</v>
      </c>
      <c r="J254" s="33">
        <f>SEPTEMBER!B254</f>
        <v>0</v>
      </c>
      <c r="K254" s="33">
        <f>OCTOBER!B254</f>
        <v>0</v>
      </c>
      <c r="L254" s="33">
        <f>NOVEMBER!B254</f>
        <v>0</v>
      </c>
      <c r="M254" s="33">
        <f>DECEMBER!B254</f>
        <v>0</v>
      </c>
      <c r="N254" s="221">
        <f t="shared" si="24"/>
        <v>0</v>
      </c>
      <c r="O254" s="221">
        <f t="shared" si="25"/>
        <v>0</v>
      </c>
      <c r="P254" s="221">
        <f t="shared" si="26"/>
        <v>0</v>
      </c>
      <c r="Q254" s="221">
        <f t="shared" si="27"/>
        <v>0</v>
      </c>
      <c r="R254" s="199">
        <f t="shared" si="28"/>
        <v>0</v>
      </c>
      <c r="S254" s="186">
        <f>TARGET!B254</f>
        <v>0</v>
      </c>
      <c r="T254" s="208" t="e">
        <f t="shared" si="23"/>
        <v>#DIV/0!</v>
      </c>
    </row>
    <row r="255" spans="1:21" ht="15.75" customHeight="1" x14ac:dyDescent="0.2">
      <c r="A255" s="55" t="s">
        <v>328</v>
      </c>
      <c r="B255" s="195">
        <f>JANUARY!B255</f>
        <v>0</v>
      </c>
      <c r="C255" s="33">
        <f>FEBRUARY!B255</f>
        <v>0</v>
      </c>
      <c r="D255" s="33">
        <f>MARCH!B255</f>
        <v>0</v>
      </c>
      <c r="E255" s="33">
        <f>APRIL!B255</f>
        <v>0</v>
      </c>
      <c r="F255" s="33">
        <f>MAY!B255</f>
        <v>0</v>
      </c>
      <c r="G255" s="33">
        <f>JUNE!B255</f>
        <v>0</v>
      </c>
      <c r="H255" s="33">
        <f>JULY!B255</f>
        <v>0</v>
      </c>
      <c r="I255" s="33">
        <f>AUGUST!B255</f>
        <v>0</v>
      </c>
      <c r="J255" s="33">
        <f>SEPTEMBER!B255</f>
        <v>0</v>
      </c>
      <c r="K255" s="33">
        <f>OCTOBER!B255</f>
        <v>0</v>
      </c>
      <c r="L255" s="33">
        <f>NOVEMBER!B255</f>
        <v>0</v>
      </c>
      <c r="M255" s="33">
        <f>DECEMBER!B255</f>
        <v>0</v>
      </c>
      <c r="N255" s="221">
        <f t="shared" si="24"/>
        <v>0</v>
      </c>
      <c r="O255" s="221">
        <f t="shared" si="25"/>
        <v>0</v>
      </c>
      <c r="P255" s="221">
        <f t="shared" si="26"/>
        <v>0</v>
      </c>
      <c r="Q255" s="221">
        <f t="shared" si="27"/>
        <v>0</v>
      </c>
      <c r="R255" s="199">
        <f t="shared" si="28"/>
        <v>0</v>
      </c>
      <c r="S255" s="186">
        <f>TARGET!B255</f>
        <v>0</v>
      </c>
      <c r="T255" s="208" t="e">
        <f t="shared" si="23"/>
        <v>#DIV/0!</v>
      </c>
    </row>
    <row r="256" spans="1:21" ht="15.75" customHeight="1" x14ac:dyDescent="0.2">
      <c r="A256" s="55" t="s">
        <v>330</v>
      </c>
      <c r="B256" s="195">
        <f>JANUARY!B256</f>
        <v>0</v>
      </c>
      <c r="C256" s="33">
        <f>FEBRUARY!B256</f>
        <v>0</v>
      </c>
      <c r="D256" s="33">
        <f>MARCH!B256</f>
        <v>0</v>
      </c>
      <c r="E256" s="33">
        <f>APRIL!B256</f>
        <v>0</v>
      </c>
      <c r="F256" s="33">
        <f>MAY!B256</f>
        <v>0</v>
      </c>
      <c r="G256" s="33">
        <f>JUNE!B256</f>
        <v>0</v>
      </c>
      <c r="H256" s="33">
        <f>JULY!B256</f>
        <v>0</v>
      </c>
      <c r="I256" s="33">
        <f>AUGUST!B256</f>
        <v>0</v>
      </c>
      <c r="J256" s="33">
        <f>SEPTEMBER!B256</f>
        <v>0</v>
      </c>
      <c r="K256" s="33">
        <f>OCTOBER!B256</f>
        <v>0</v>
      </c>
      <c r="L256" s="33">
        <f>NOVEMBER!B256</f>
        <v>0</v>
      </c>
      <c r="M256" s="33">
        <f>DECEMBER!B256</f>
        <v>0</v>
      </c>
      <c r="N256" s="221">
        <f t="shared" si="24"/>
        <v>0</v>
      </c>
      <c r="O256" s="221">
        <f t="shared" si="25"/>
        <v>0</v>
      </c>
      <c r="P256" s="221">
        <f t="shared" si="26"/>
        <v>0</v>
      </c>
      <c r="Q256" s="221">
        <f t="shared" si="27"/>
        <v>0</v>
      </c>
      <c r="R256" s="199">
        <f t="shared" si="28"/>
        <v>0</v>
      </c>
      <c r="S256" s="186">
        <f>TARGET!B256</f>
        <v>0</v>
      </c>
      <c r="T256" s="208" t="e">
        <f t="shared" si="23"/>
        <v>#DIV/0!</v>
      </c>
    </row>
    <row r="257" spans="1:21" ht="15.75" customHeight="1" x14ac:dyDescent="0.2">
      <c r="A257" s="55" t="s">
        <v>331</v>
      </c>
      <c r="B257" s="195">
        <f>JANUARY!B257</f>
        <v>0</v>
      </c>
      <c r="C257" s="33">
        <f>FEBRUARY!B257</f>
        <v>0</v>
      </c>
      <c r="D257" s="33">
        <f>MARCH!B257</f>
        <v>0</v>
      </c>
      <c r="E257" s="33">
        <f>APRIL!B257</f>
        <v>0</v>
      </c>
      <c r="F257" s="33">
        <f>MAY!B257</f>
        <v>0</v>
      </c>
      <c r="G257" s="33">
        <f>JUNE!B257</f>
        <v>0</v>
      </c>
      <c r="H257" s="33">
        <f>JULY!B257</f>
        <v>0</v>
      </c>
      <c r="I257" s="33">
        <f>AUGUST!B257</f>
        <v>0</v>
      </c>
      <c r="J257" s="33">
        <f>SEPTEMBER!B257</f>
        <v>0</v>
      </c>
      <c r="K257" s="33">
        <f>OCTOBER!B257</f>
        <v>0</v>
      </c>
      <c r="L257" s="33">
        <f>NOVEMBER!B257</f>
        <v>0</v>
      </c>
      <c r="M257" s="33">
        <f>DECEMBER!B257</f>
        <v>0</v>
      </c>
      <c r="N257" s="221">
        <f t="shared" si="24"/>
        <v>0</v>
      </c>
      <c r="O257" s="221">
        <f t="shared" si="25"/>
        <v>0</v>
      </c>
      <c r="P257" s="221">
        <f t="shared" si="26"/>
        <v>0</v>
      </c>
      <c r="Q257" s="221">
        <f t="shared" si="27"/>
        <v>0</v>
      </c>
      <c r="R257" s="199">
        <f t="shared" si="28"/>
        <v>0</v>
      </c>
      <c r="S257" s="186">
        <f>TARGET!B257</f>
        <v>0</v>
      </c>
      <c r="T257" s="208" t="e">
        <f t="shared" si="23"/>
        <v>#DIV/0!</v>
      </c>
    </row>
    <row r="258" spans="1:21" ht="15.75" customHeight="1" x14ac:dyDescent="0.2">
      <c r="A258" s="55" t="s">
        <v>332</v>
      </c>
      <c r="B258" s="195">
        <f>JANUARY!B258</f>
        <v>0</v>
      </c>
      <c r="C258" s="33">
        <f>FEBRUARY!B258</f>
        <v>0</v>
      </c>
      <c r="D258" s="33">
        <f>MARCH!B258</f>
        <v>0</v>
      </c>
      <c r="E258" s="33">
        <f>APRIL!B258</f>
        <v>0</v>
      </c>
      <c r="F258" s="33">
        <f>MAY!B258</f>
        <v>0</v>
      </c>
      <c r="G258" s="33">
        <f>JUNE!B258</f>
        <v>0</v>
      </c>
      <c r="H258" s="33">
        <f>JULY!B258</f>
        <v>0</v>
      </c>
      <c r="I258" s="33">
        <f>AUGUST!B258</f>
        <v>0</v>
      </c>
      <c r="J258" s="33">
        <f>SEPTEMBER!B258</f>
        <v>0</v>
      </c>
      <c r="K258" s="33">
        <f>OCTOBER!B258</f>
        <v>0</v>
      </c>
      <c r="L258" s="33">
        <f>NOVEMBER!B258</f>
        <v>0</v>
      </c>
      <c r="M258" s="33">
        <f>DECEMBER!B258</f>
        <v>0</v>
      </c>
      <c r="N258" s="221">
        <f t="shared" si="24"/>
        <v>0</v>
      </c>
      <c r="O258" s="221">
        <f t="shared" si="25"/>
        <v>0</v>
      </c>
      <c r="P258" s="221">
        <f t="shared" si="26"/>
        <v>0</v>
      </c>
      <c r="Q258" s="221">
        <f t="shared" si="27"/>
        <v>0</v>
      </c>
      <c r="R258" s="199">
        <f t="shared" si="28"/>
        <v>0</v>
      </c>
      <c r="S258" s="186">
        <f>TARGET!B258</f>
        <v>0</v>
      </c>
      <c r="T258" s="208" t="e">
        <f t="shared" si="23"/>
        <v>#DIV/0!</v>
      </c>
    </row>
    <row r="259" spans="1:21" ht="15.75" customHeight="1" x14ac:dyDescent="0.2">
      <c r="A259" s="55" t="s">
        <v>333</v>
      </c>
      <c r="B259" s="195">
        <f>JANUARY!B259</f>
        <v>0</v>
      </c>
      <c r="C259" s="33">
        <f>FEBRUARY!B259</f>
        <v>0</v>
      </c>
      <c r="D259" s="33">
        <f>MARCH!B259</f>
        <v>0</v>
      </c>
      <c r="E259" s="33">
        <f>APRIL!B259</f>
        <v>0</v>
      </c>
      <c r="F259" s="33">
        <f>MAY!B259</f>
        <v>0</v>
      </c>
      <c r="G259" s="33">
        <f>JUNE!B259</f>
        <v>0</v>
      </c>
      <c r="H259" s="33">
        <f>JULY!B259</f>
        <v>0</v>
      </c>
      <c r="I259" s="33">
        <f>AUGUST!B259</f>
        <v>0</v>
      </c>
      <c r="J259" s="33">
        <f>SEPTEMBER!B259</f>
        <v>0</v>
      </c>
      <c r="K259" s="33">
        <f>OCTOBER!B259</f>
        <v>0</v>
      </c>
      <c r="L259" s="33">
        <f>NOVEMBER!B259</f>
        <v>0</v>
      </c>
      <c r="M259" s="33">
        <f>DECEMBER!B259</f>
        <v>0</v>
      </c>
      <c r="N259" s="221">
        <f>B259+C259+D259</f>
        <v>0</v>
      </c>
      <c r="O259" s="221">
        <f>E259+F259+G259</f>
        <v>0</v>
      </c>
      <c r="P259" s="221">
        <f>H259+I259+J259</f>
        <v>0</v>
      </c>
      <c r="Q259" s="221">
        <f>K259+L259+M259</f>
        <v>0</v>
      </c>
      <c r="R259" s="199">
        <f>B259+C259+D259+E259+F259+G259+H259+I259+J259+K259+L259+M259</f>
        <v>0</v>
      </c>
      <c r="S259" s="186">
        <f>TARGET!B259</f>
        <v>0</v>
      </c>
      <c r="T259" s="208" t="e">
        <f t="shared" si="23"/>
        <v>#DIV/0!</v>
      </c>
    </row>
    <row r="260" spans="1:21" ht="15.75" customHeight="1" x14ac:dyDescent="0.2">
      <c r="A260" s="55" t="s">
        <v>334</v>
      </c>
      <c r="B260" s="195">
        <f>JANUARY!B260</f>
        <v>0</v>
      </c>
      <c r="C260" s="33">
        <f>FEBRUARY!B260</f>
        <v>0</v>
      </c>
      <c r="D260" s="33">
        <f>MARCH!B260</f>
        <v>0</v>
      </c>
      <c r="E260" s="33">
        <f>APRIL!B260</f>
        <v>0</v>
      </c>
      <c r="F260" s="33">
        <f>MAY!B260</f>
        <v>0</v>
      </c>
      <c r="G260" s="33">
        <f>JUNE!B260</f>
        <v>0</v>
      </c>
      <c r="H260" s="33">
        <f>JULY!B260</f>
        <v>0</v>
      </c>
      <c r="I260" s="33">
        <f>AUGUST!B260</f>
        <v>0</v>
      </c>
      <c r="J260" s="33">
        <f>SEPTEMBER!B260</f>
        <v>0</v>
      </c>
      <c r="K260" s="33">
        <f>OCTOBER!B260</f>
        <v>0</v>
      </c>
      <c r="L260" s="33">
        <f>NOVEMBER!B260</f>
        <v>0</v>
      </c>
      <c r="M260" s="33">
        <f>DECEMBER!B260</f>
        <v>0</v>
      </c>
      <c r="N260" s="221">
        <f>B260+C260+D260</f>
        <v>0</v>
      </c>
      <c r="O260" s="221">
        <f>E260+F260+G260</f>
        <v>0</v>
      </c>
      <c r="P260" s="221">
        <f>H260+I260+J260</f>
        <v>0</v>
      </c>
      <c r="Q260" s="221">
        <f>K260+L260+M260</f>
        <v>0</v>
      </c>
      <c r="R260" s="199">
        <f>B260+C260+D260+E260+F260+G260+H260+I260+J260+K260+L260+M260</f>
        <v>0</v>
      </c>
      <c r="S260" s="186">
        <f>TARGET!B260</f>
        <v>0</v>
      </c>
      <c r="T260" s="208" t="e">
        <f t="shared" si="23"/>
        <v>#DIV/0!</v>
      </c>
    </row>
    <row r="261" spans="1:21" ht="15.75" customHeight="1" x14ac:dyDescent="0.2">
      <c r="A261" s="55" t="s">
        <v>335</v>
      </c>
      <c r="B261" s="195">
        <f>JANUARY!B261</f>
        <v>0</v>
      </c>
      <c r="C261" s="33">
        <f>FEBRUARY!B261</f>
        <v>0</v>
      </c>
      <c r="D261" s="33">
        <f>MARCH!B261</f>
        <v>0</v>
      </c>
      <c r="E261" s="33">
        <f>APRIL!B261</f>
        <v>0</v>
      </c>
      <c r="F261" s="33">
        <f>MAY!B261</f>
        <v>0</v>
      </c>
      <c r="G261" s="33">
        <f>JUNE!B261</f>
        <v>0</v>
      </c>
      <c r="H261" s="33">
        <f>JULY!B261</f>
        <v>0</v>
      </c>
      <c r="I261" s="33">
        <f>AUGUST!B261</f>
        <v>0</v>
      </c>
      <c r="J261" s="33">
        <f>SEPTEMBER!B261</f>
        <v>0</v>
      </c>
      <c r="K261" s="33">
        <f>OCTOBER!B261</f>
        <v>0</v>
      </c>
      <c r="L261" s="33">
        <f>NOVEMBER!B261</f>
        <v>0</v>
      </c>
      <c r="M261" s="33">
        <f>DECEMBER!B261</f>
        <v>0</v>
      </c>
      <c r="N261" s="221">
        <f>B261+C261+D261</f>
        <v>0</v>
      </c>
      <c r="O261" s="221">
        <f>E261+F261+G261</f>
        <v>0</v>
      </c>
      <c r="P261" s="221">
        <f>H261+I261+J261</f>
        <v>0</v>
      </c>
      <c r="Q261" s="221">
        <f>K261+L261+M261</f>
        <v>0</v>
      </c>
      <c r="R261" s="199">
        <f>B261+C261+D261+E261+F261+G261+H261+I261+J261+K261+L261+M261</f>
        <v>0</v>
      </c>
      <c r="S261" s="186">
        <f>TARGET!B261</f>
        <v>0</v>
      </c>
      <c r="T261" s="208" t="e">
        <f t="shared" si="23"/>
        <v>#DIV/0!</v>
      </c>
    </row>
    <row r="262" spans="1:21" ht="15.75" customHeight="1" x14ac:dyDescent="0.2">
      <c r="A262" s="55" t="s">
        <v>336</v>
      </c>
      <c r="B262" s="195">
        <f>JANUARY!B262</f>
        <v>0</v>
      </c>
      <c r="C262" s="82">
        <f>FEBRUARY!B262</f>
        <v>0</v>
      </c>
      <c r="D262" s="82">
        <f>MARCH!B262</f>
        <v>0</v>
      </c>
      <c r="E262" s="82">
        <f>APRIL!B262</f>
        <v>0</v>
      </c>
      <c r="F262" s="82">
        <f>MAY!B262</f>
        <v>0</v>
      </c>
      <c r="G262" s="82">
        <f>JUNE!B262</f>
        <v>0</v>
      </c>
      <c r="H262" s="82">
        <f>JULY!B262</f>
        <v>0</v>
      </c>
      <c r="I262" s="82">
        <f>AUGUST!B262</f>
        <v>0</v>
      </c>
      <c r="J262" s="82">
        <f>SEPTEMBER!B262</f>
        <v>0</v>
      </c>
      <c r="K262" s="82">
        <f>OCTOBER!B262</f>
        <v>0</v>
      </c>
      <c r="L262" s="82">
        <f>NOVEMBER!B262</f>
        <v>0</v>
      </c>
      <c r="M262" s="82">
        <f>DECEMBER!B262</f>
        <v>0</v>
      </c>
      <c r="N262" s="192">
        <f>B262+C262+D262</f>
        <v>0</v>
      </c>
      <c r="O262" s="192">
        <f>E262+F262+G262</f>
        <v>0</v>
      </c>
      <c r="P262" s="192">
        <f>H262+I262+J262</f>
        <v>0</v>
      </c>
      <c r="Q262" s="192">
        <f>K262+L262+M262</f>
        <v>0</v>
      </c>
      <c r="R262" s="206">
        <f>B262+C262+D262+E262+F262+G262+H262+I262+J262+K262+L262+M262</f>
        <v>0</v>
      </c>
      <c r="S262" s="186">
        <f>TARGET!B262</f>
        <v>0</v>
      </c>
      <c r="T262" s="208" t="e">
        <f t="shared" si="23"/>
        <v>#DIV/0!</v>
      </c>
    </row>
    <row r="263" spans="1:21" ht="15.75" customHeight="1" x14ac:dyDescent="0.2">
      <c r="A263" s="76" t="s">
        <v>337</v>
      </c>
      <c r="B263" s="166"/>
      <c r="C263" s="167"/>
      <c r="D263" s="167"/>
      <c r="E263" s="167"/>
      <c r="F263" s="167"/>
      <c r="G263" s="167"/>
      <c r="H263" s="167"/>
      <c r="I263" s="167"/>
      <c r="J263" s="167"/>
      <c r="K263" s="167"/>
      <c r="L263" s="167"/>
      <c r="M263" s="167"/>
      <c r="N263" s="167"/>
      <c r="O263" s="167"/>
      <c r="P263" s="167"/>
      <c r="Q263" s="167"/>
      <c r="R263" s="201"/>
      <c r="S263" s="167"/>
      <c r="T263" s="209"/>
    </row>
    <row r="264" spans="1:21" ht="15.75" customHeight="1" x14ac:dyDescent="0.25">
      <c r="A264" s="57" t="s">
        <v>131</v>
      </c>
      <c r="B264" s="162">
        <f>JANUARY!B264</f>
        <v>0</v>
      </c>
      <c r="C264" s="182">
        <f>FEBRUARY!B264</f>
        <v>0</v>
      </c>
      <c r="D264" s="164">
        <f>MARCH!B264</f>
        <v>0</v>
      </c>
      <c r="E264" s="164">
        <f>APRIL!B264</f>
        <v>0</v>
      </c>
      <c r="F264" s="164">
        <f>MAY!B264</f>
        <v>0</v>
      </c>
      <c r="G264" s="164">
        <f>JUNE!B264</f>
        <v>0</v>
      </c>
      <c r="H264" s="164">
        <f>JULY!B264</f>
        <v>0</v>
      </c>
      <c r="I264" s="164">
        <f>AUGUST!B264</f>
        <v>0</v>
      </c>
      <c r="J264" s="164">
        <f>SEPTEMBER!B264</f>
        <v>0</v>
      </c>
      <c r="K264" s="164">
        <f>OCTOBER!B264</f>
        <v>0</v>
      </c>
      <c r="L264" s="164">
        <f>NOVEMBER!B264</f>
        <v>0</v>
      </c>
      <c r="M264" s="164">
        <f>DECEMBER!B264</f>
        <v>0</v>
      </c>
      <c r="N264" s="190">
        <f>B264+C264+D264</f>
        <v>0</v>
      </c>
      <c r="O264" s="190">
        <f>E264+F264+G264</f>
        <v>0</v>
      </c>
      <c r="P264" s="190">
        <f>H264+I264+J264</f>
        <v>0</v>
      </c>
      <c r="Q264" s="190">
        <f>K264+L264+M264</f>
        <v>0</v>
      </c>
      <c r="R264" s="200">
        <f>B264+C264+D264+E264+F264+G264+H264+I264+J264+K264+L264+M264</f>
        <v>0</v>
      </c>
      <c r="S264" s="162">
        <f>TARGET!B264</f>
        <v>0</v>
      </c>
      <c r="T264" s="208" t="e">
        <f t="shared" si="23"/>
        <v>#DIV/0!</v>
      </c>
      <c r="U264" s="279">
        <f>COUNTIF(B264:M264, "&gt;0")</f>
        <v>0</v>
      </c>
    </row>
    <row r="265" spans="1:21" ht="15.75" customHeight="1" x14ac:dyDescent="0.2">
      <c r="A265" s="55" t="s">
        <v>431</v>
      </c>
      <c r="B265" s="195">
        <f>JANUARY!B265</f>
        <v>0</v>
      </c>
      <c r="C265" s="82">
        <f>FEBRUARY!B265</f>
        <v>0</v>
      </c>
      <c r="D265" s="82">
        <f>MARCH!B265</f>
        <v>0</v>
      </c>
      <c r="E265" s="82">
        <f>APRIL!B265</f>
        <v>0</v>
      </c>
      <c r="F265" s="82">
        <f>MAY!B265</f>
        <v>0</v>
      </c>
      <c r="G265" s="82">
        <f>JUNE!B265</f>
        <v>0</v>
      </c>
      <c r="H265" s="82">
        <f>JULY!B265</f>
        <v>0</v>
      </c>
      <c r="I265" s="82">
        <f>AUGUST!B265</f>
        <v>0</v>
      </c>
      <c r="J265" s="82">
        <f>SEPTEMBER!B265</f>
        <v>0</v>
      </c>
      <c r="K265" s="82">
        <f>OCTOBER!B265</f>
        <v>0</v>
      </c>
      <c r="L265" s="82">
        <f>NOVEMBER!B265</f>
        <v>0</v>
      </c>
      <c r="M265" s="82">
        <f>DECEMBER!B265</f>
        <v>0</v>
      </c>
      <c r="N265" s="192">
        <f>B265+C265+D265</f>
        <v>0</v>
      </c>
      <c r="O265" s="192">
        <f>E265+F265+G265</f>
        <v>0</v>
      </c>
      <c r="P265" s="192">
        <f>H265+I265+J265</f>
        <v>0</v>
      </c>
      <c r="Q265" s="192">
        <f>K265+L265+M265</f>
        <v>0</v>
      </c>
      <c r="R265" s="206">
        <f>B265+C265+D265+E265+F265+G265+H265+I265+J265+K265+L265+M265</f>
        <v>0</v>
      </c>
      <c r="S265" s="186">
        <f>TARGET!B265</f>
        <v>0</v>
      </c>
      <c r="T265" s="208" t="e">
        <f t="shared" si="23"/>
        <v>#DIV/0!</v>
      </c>
    </row>
    <row r="266" spans="1:21" ht="15.75" customHeight="1" x14ac:dyDescent="0.2">
      <c r="A266" s="55" t="s">
        <v>432</v>
      </c>
      <c r="B266" s="195">
        <f>JANUARY!B266</f>
        <v>0</v>
      </c>
      <c r="C266" s="82">
        <f>FEBRUARY!B266</f>
        <v>0</v>
      </c>
      <c r="D266" s="82">
        <f>MARCH!B266</f>
        <v>0</v>
      </c>
      <c r="E266" s="82">
        <f>APRIL!B266</f>
        <v>0</v>
      </c>
      <c r="F266" s="82">
        <f>MAY!B266</f>
        <v>0</v>
      </c>
      <c r="G266" s="82">
        <f>JUNE!B266</f>
        <v>0</v>
      </c>
      <c r="H266" s="82">
        <f>JULY!B266</f>
        <v>0</v>
      </c>
      <c r="I266" s="82">
        <f>AUGUST!B266</f>
        <v>0</v>
      </c>
      <c r="J266" s="82">
        <f>SEPTEMBER!B266</f>
        <v>0</v>
      </c>
      <c r="K266" s="82">
        <f>OCTOBER!B266</f>
        <v>0</v>
      </c>
      <c r="L266" s="82">
        <f>NOVEMBER!B266</f>
        <v>0</v>
      </c>
      <c r="M266" s="82">
        <f>DECEMBER!B266</f>
        <v>0</v>
      </c>
      <c r="N266" s="192">
        <f t="shared" ref="N266:N286" si="29">B266+C266+D266</f>
        <v>0</v>
      </c>
      <c r="O266" s="192">
        <f t="shared" ref="O266:O286" si="30">E266+F266+G266</f>
        <v>0</v>
      </c>
      <c r="P266" s="192">
        <f t="shared" ref="P266:P286" si="31">H266+I266+J266</f>
        <v>0</v>
      </c>
      <c r="Q266" s="192">
        <f t="shared" ref="Q266:Q286" si="32">K266+L266+M266</f>
        <v>0</v>
      </c>
      <c r="R266" s="206">
        <f t="shared" ref="R266:R286" si="33">B266+C266+D266+E266+F266+G266+H266+I266+J266+K266+L266+M266</f>
        <v>0</v>
      </c>
      <c r="S266" s="186">
        <f>TARGET!B266</f>
        <v>0</v>
      </c>
      <c r="T266" s="208" t="e">
        <f t="shared" si="23"/>
        <v>#DIV/0!</v>
      </c>
    </row>
    <row r="267" spans="1:21" ht="15.75" customHeight="1" x14ac:dyDescent="0.2">
      <c r="A267" s="55" t="s">
        <v>433</v>
      </c>
      <c r="B267" s="195">
        <f>JANUARY!B267</f>
        <v>0</v>
      </c>
      <c r="C267" s="82">
        <f>FEBRUARY!B267</f>
        <v>0</v>
      </c>
      <c r="D267" s="82">
        <f>MARCH!B267</f>
        <v>0</v>
      </c>
      <c r="E267" s="82">
        <f>APRIL!B267</f>
        <v>0</v>
      </c>
      <c r="F267" s="82">
        <f>MAY!B267</f>
        <v>0</v>
      </c>
      <c r="G267" s="82">
        <f>JUNE!B267</f>
        <v>0</v>
      </c>
      <c r="H267" s="82">
        <f>JULY!B267</f>
        <v>0</v>
      </c>
      <c r="I267" s="82">
        <f>AUGUST!B267</f>
        <v>0</v>
      </c>
      <c r="J267" s="82">
        <f>SEPTEMBER!B267</f>
        <v>0</v>
      </c>
      <c r="K267" s="82">
        <f>OCTOBER!B267</f>
        <v>0</v>
      </c>
      <c r="L267" s="82">
        <f>NOVEMBER!B267</f>
        <v>0</v>
      </c>
      <c r="M267" s="82">
        <f>DECEMBER!B267</f>
        <v>0</v>
      </c>
      <c r="N267" s="192">
        <f t="shared" si="29"/>
        <v>0</v>
      </c>
      <c r="O267" s="192">
        <f t="shared" si="30"/>
        <v>0</v>
      </c>
      <c r="P267" s="192">
        <f t="shared" si="31"/>
        <v>0</v>
      </c>
      <c r="Q267" s="192">
        <f t="shared" si="32"/>
        <v>0</v>
      </c>
      <c r="R267" s="206">
        <f t="shared" si="33"/>
        <v>0</v>
      </c>
      <c r="S267" s="186">
        <f>TARGET!B267</f>
        <v>0</v>
      </c>
      <c r="T267" s="208" t="e">
        <f t="shared" si="23"/>
        <v>#DIV/0!</v>
      </c>
      <c r="U267" s="279">
        <f>COUNTIF(N267:Q267, "&gt;0")</f>
        <v>0</v>
      </c>
    </row>
    <row r="268" spans="1:21" ht="24" customHeight="1" x14ac:dyDescent="0.2">
      <c r="A268" s="58" t="s">
        <v>154</v>
      </c>
      <c r="B268" s="195">
        <f>JANUARY!B268</f>
        <v>0</v>
      </c>
      <c r="C268" s="82">
        <f>FEBRUARY!B268</f>
        <v>0</v>
      </c>
      <c r="D268" s="82">
        <f>MARCH!B268</f>
        <v>0</v>
      </c>
      <c r="E268" s="82">
        <f>APRIL!B268</f>
        <v>0</v>
      </c>
      <c r="F268" s="82">
        <f>MAY!B268</f>
        <v>0</v>
      </c>
      <c r="G268" s="82">
        <f>JUNE!B268</f>
        <v>0</v>
      </c>
      <c r="H268" s="82">
        <f>JULY!B268</f>
        <v>0</v>
      </c>
      <c r="I268" s="82">
        <f>AUGUST!B268</f>
        <v>0</v>
      </c>
      <c r="J268" s="82">
        <f>SEPTEMBER!B268</f>
        <v>0</v>
      </c>
      <c r="K268" s="82">
        <f>OCTOBER!B268</f>
        <v>0</v>
      </c>
      <c r="L268" s="82">
        <f>NOVEMBER!B268</f>
        <v>0</v>
      </c>
      <c r="M268" s="82">
        <f>DECEMBER!B268</f>
        <v>0</v>
      </c>
      <c r="N268" s="192">
        <f t="shared" si="29"/>
        <v>0</v>
      </c>
      <c r="O268" s="192">
        <f t="shared" si="30"/>
        <v>0</v>
      </c>
      <c r="P268" s="192">
        <f t="shared" si="31"/>
        <v>0</v>
      </c>
      <c r="Q268" s="192">
        <f t="shared" si="32"/>
        <v>0</v>
      </c>
      <c r="R268" s="206">
        <f t="shared" si="33"/>
        <v>0</v>
      </c>
      <c r="S268" s="186">
        <f>TARGET!B268</f>
        <v>0</v>
      </c>
      <c r="T268" s="208" t="e">
        <f t="shared" si="23"/>
        <v>#DIV/0!</v>
      </c>
    </row>
    <row r="269" spans="1:21" ht="15.75" customHeight="1" x14ac:dyDescent="0.2">
      <c r="A269" s="57" t="s">
        <v>338</v>
      </c>
      <c r="B269" s="195">
        <f>JANUARY!B269</f>
        <v>0</v>
      </c>
      <c r="C269" s="82">
        <f>FEBRUARY!B269</f>
        <v>0</v>
      </c>
      <c r="D269" s="82">
        <f>MARCH!B269</f>
        <v>0</v>
      </c>
      <c r="E269" s="82">
        <f>APRIL!B269</f>
        <v>0</v>
      </c>
      <c r="F269" s="82">
        <f>MAY!B269</f>
        <v>0</v>
      </c>
      <c r="G269" s="82">
        <f>JUNE!B269</f>
        <v>0</v>
      </c>
      <c r="H269" s="82">
        <f>JULY!B269</f>
        <v>0</v>
      </c>
      <c r="I269" s="82">
        <f>AUGUST!B269</f>
        <v>0</v>
      </c>
      <c r="J269" s="82">
        <f>SEPTEMBER!B269</f>
        <v>0</v>
      </c>
      <c r="K269" s="82">
        <f>OCTOBER!B269</f>
        <v>0</v>
      </c>
      <c r="L269" s="82">
        <f>NOVEMBER!B269</f>
        <v>0</v>
      </c>
      <c r="M269" s="82">
        <f>DECEMBER!B269</f>
        <v>0</v>
      </c>
      <c r="N269" s="192">
        <f t="shared" si="29"/>
        <v>0</v>
      </c>
      <c r="O269" s="192">
        <f t="shared" si="30"/>
        <v>0</v>
      </c>
      <c r="P269" s="192">
        <f t="shared" si="31"/>
        <v>0</v>
      </c>
      <c r="Q269" s="192">
        <f t="shared" si="32"/>
        <v>0</v>
      </c>
      <c r="R269" s="206">
        <f t="shared" si="33"/>
        <v>0</v>
      </c>
      <c r="S269" s="186">
        <f>TARGET!B269</f>
        <v>0</v>
      </c>
      <c r="T269" s="208" t="e">
        <f t="shared" si="23"/>
        <v>#DIV/0!</v>
      </c>
    </row>
    <row r="270" spans="1:21" ht="15.75" customHeight="1" x14ac:dyDescent="0.2">
      <c r="A270" s="76" t="s">
        <v>17</v>
      </c>
      <c r="B270" s="166"/>
      <c r="C270" s="167"/>
      <c r="D270" s="167"/>
      <c r="E270" s="167"/>
      <c r="F270" s="167"/>
      <c r="G270" s="167"/>
      <c r="H270" s="167"/>
      <c r="I270" s="167"/>
      <c r="J270" s="167"/>
      <c r="K270" s="167"/>
      <c r="L270" s="167"/>
      <c r="M270" s="167"/>
      <c r="N270" s="167"/>
      <c r="O270" s="167"/>
      <c r="P270" s="167"/>
      <c r="Q270" s="167"/>
      <c r="R270" s="201"/>
      <c r="S270" s="167"/>
      <c r="T270" s="209"/>
    </row>
    <row r="271" spans="1:21" ht="15.75" customHeight="1" x14ac:dyDescent="0.2">
      <c r="A271" s="59" t="s">
        <v>135</v>
      </c>
      <c r="B271" s="195">
        <f>JANUARY!B271</f>
        <v>0</v>
      </c>
      <c r="C271" s="91">
        <f>FEBRUARY!B271</f>
        <v>0</v>
      </c>
      <c r="D271" s="91">
        <f>MARCH!B271</f>
        <v>0</v>
      </c>
      <c r="E271" s="91">
        <f>APRIL!B271</f>
        <v>0</v>
      </c>
      <c r="F271" s="91">
        <f>MAY!B271</f>
        <v>0</v>
      </c>
      <c r="G271" s="91">
        <f>JUNE!B271</f>
        <v>0</v>
      </c>
      <c r="H271" s="91">
        <f>JULY!B271</f>
        <v>0</v>
      </c>
      <c r="I271" s="91">
        <f>AUGUST!B271</f>
        <v>0</v>
      </c>
      <c r="J271" s="91">
        <f>SEPTEMBER!B271</f>
        <v>0</v>
      </c>
      <c r="K271" s="91">
        <f>OCTOBER!B271</f>
        <v>0</v>
      </c>
      <c r="L271" s="91">
        <f>NOVEMBER!B271</f>
        <v>0</v>
      </c>
      <c r="M271" s="91">
        <f>DECEMBER!B271</f>
        <v>0</v>
      </c>
      <c r="N271" s="219">
        <f t="shared" si="29"/>
        <v>0</v>
      </c>
      <c r="O271" s="219">
        <f t="shared" si="30"/>
        <v>0</v>
      </c>
      <c r="P271" s="219">
        <f t="shared" si="31"/>
        <v>0</v>
      </c>
      <c r="Q271" s="219">
        <f t="shared" si="32"/>
        <v>0</v>
      </c>
      <c r="R271" s="222">
        <f t="shared" si="33"/>
        <v>0</v>
      </c>
      <c r="S271" s="186">
        <f>TARGET!B271</f>
        <v>0</v>
      </c>
      <c r="T271" s="208" t="e">
        <f t="shared" si="23"/>
        <v>#DIV/0!</v>
      </c>
    </row>
    <row r="272" spans="1:21" ht="15.75" customHeight="1" x14ac:dyDescent="0.2">
      <c r="A272" s="59" t="s">
        <v>225</v>
      </c>
      <c r="B272" s="195">
        <f>JANUARY!B272</f>
        <v>0</v>
      </c>
      <c r="C272" s="82">
        <f>FEBRUARY!B272</f>
        <v>0</v>
      </c>
      <c r="D272" s="82">
        <f>MARCH!B272</f>
        <v>0</v>
      </c>
      <c r="E272" s="82">
        <f>APRIL!B272</f>
        <v>0</v>
      </c>
      <c r="F272" s="82">
        <f>MAY!B272</f>
        <v>0</v>
      </c>
      <c r="G272" s="82">
        <f>JUNE!B272</f>
        <v>0</v>
      </c>
      <c r="H272" s="82">
        <f>JULY!B272</f>
        <v>0</v>
      </c>
      <c r="I272" s="82">
        <f>AUGUST!B272</f>
        <v>0</v>
      </c>
      <c r="J272" s="82">
        <f>SEPTEMBER!B272</f>
        <v>0</v>
      </c>
      <c r="K272" s="82">
        <f>OCTOBER!B272</f>
        <v>0</v>
      </c>
      <c r="L272" s="82">
        <f>NOVEMBER!B272</f>
        <v>0</v>
      </c>
      <c r="M272" s="82">
        <f>DECEMBER!B272</f>
        <v>0</v>
      </c>
      <c r="N272" s="192">
        <f t="shared" si="29"/>
        <v>0</v>
      </c>
      <c r="O272" s="192">
        <f t="shared" si="30"/>
        <v>0</v>
      </c>
      <c r="P272" s="192">
        <f t="shared" si="31"/>
        <v>0</v>
      </c>
      <c r="Q272" s="192">
        <f t="shared" si="32"/>
        <v>0</v>
      </c>
      <c r="R272" s="206">
        <f t="shared" si="33"/>
        <v>0</v>
      </c>
      <c r="S272" s="186">
        <f>TARGET!B272</f>
        <v>0</v>
      </c>
      <c r="T272" s="208" t="e">
        <f t="shared" si="23"/>
        <v>#DIV/0!</v>
      </c>
    </row>
    <row r="273" spans="1:21" ht="15.75" customHeight="1" x14ac:dyDescent="0.2">
      <c r="A273" s="59" t="s">
        <v>226</v>
      </c>
      <c r="B273" s="195">
        <f>JANUARY!B273</f>
        <v>0</v>
      </c>
      <c r="C273" s="82">
        <f>FEBRUARY!B273</f>
        <v>0</v>
      </c>
      <c r="D273" s="82">
        <f>MARCH!B273</f>
        <v>0</v>
      </c>
      <c r="E273" s="82">
        <f>APRIL!B273</f>
        <v>0</v>
      </c>
      <c r="F273" s="82">
        <f>MAY!B273</f>
        <v>0</v>
      </c>
      <c r="G273" s="82">
        <f>JUNE!B273</f>
        <v>0</v>
      </c>
      <c r="H273" s="82">
        <f>JULY!B273</f>
        <v>0</v>
      </c>
      <c r="I273" s="82">
        <f>AUGUST!B273</f>
        <v>0</v>
      </c>
      <c r="J273" s="82">
        <f>SEPTEMBER!B273</f>
        <v>0</v>
      </c>
      <c r="K273" s="82">
        <f>OCTOBER!B273</f>
        <v>0</v>
      </c>
      <c r="L273" s="82">
        <f>NOVEMBER!B273</f>
        <v>0</v>
      </c>
      <c r="M273" s="82">
        <f>DECEMBER!B273</f>
        <v>0</v>
      </c>
      <c r="N273" s="192">
        <f t="shared" si="29"/>
        <v>0</v>
      </c>
      <c r="O273" s="192">
        <f t="shared" si="30"/>
        <v>0</v>
      </c>
      <c r="P273" s="192">
        <f t="shared" si="31"/>
        <v>0</v>
      </c>
      <c r="Q273" s="192">
        <f t="shared" si="32"/>
        <v>0</v>
      </c>
      <c r="R273" s="206">
        <f t="shared" si="33"/>
        <v>0</v>
      </c>
      <c r="S273" s="186">
        <f>TARGET!B273</f>
        <v>0</v>
      </c>
      <c r="T273" s="208" t="e">
        <f t="shared" si="23"/>
        <v>#DIV/0!</v>
      </c>
    </row>
    <row r="274" spans="1:21" ht="15.75" customHeight="1" x14ac:dyDescent="0.2">
      <c r="A274" s="59" t="s">
        <v>339</v>
      </c>
      <c r="B274" s="195">
        <f>JANUARY!B274</f>
        <v>0</v>
      </c>
      <c r="C274" s="82">
        <f>FEBRUARY!B274</f>
        <v>0</v>
      </c>
      <c r="D274" s="82">
        <f>MARCH!B274</f>
        <v>250</v>
      </c>
      <c r="E274" s="82">
        <f>APRIL!B274</f>
        <v>0</v>
      </c>
      <c r="F274" s="82">
        <f>MAY!B274</f>
        <v>0</v>
      </c>
      <c r="G274" s="82">
        <f>JUNE!B274</f>
        <v>0</v>
      </c>
      <c r="H274" s="82">
        <f>JULY!B274</f>
        <v>0</v>
      </c>
      <c r="I274" s="82">
        <f>AUGUST!B274</f>
        <v>0</v>
      </c>
      <c r="J274" s="82">
        <f>SEPTEMBER!B274</f>
        <v>0</v>
      </c>
      <c r="K274" s="82">
        <f>OCTOBER!B274</f>
        <v>0</v>
      </c>
      <c r="L274" s="82">
        <f>NOVEMBER!B274</f>
        <v>0</v>
      </c>
      <c r="M274" s="82">
        <f>DECEMBER!B274</f>
        <v>0</v>
      </c>
      <c r="N274" s="192">
        <f t="shared" si="29"/>
        <v>250</v>
      </c>
      <c r="O274" s="192">
        <f t="shared" si="30"/>
        <v>0</v>
      </c>
      <c r="P274" s="192">
        <f t="shared" si="31"/>
        <v>0</v>
      </c>
      <c r="Q274" s="192">
        <f t="shared" si="32"/>
        <v>0</v>
      </c>
      <c r="R274" s="206">
        <f t="shared" si="33"/>
        <v>250</v>
      </c>
      <c r="S274" s="186">
        <f>TARGET!B274</f>
        <v>0</v>
      </c>
      <c r="T274" s="208" t="e">
        <f t="shared" ref="T274:T290" si="34">IF(R274/S274=0,"NONE",R274/S274)</f>
        <v>#DIV/0!</v>
      </c>
      <c r="U274" s="280">
        <f>R274</f>
        <v>250</v>
      </c>
    </row>
    <row r="275" spans="1:21" ht="15.75" customHeight="1" x14ac:dyDescent="0.2">
      <c r="A275" s="59" t="s">
        <v>340</v>
      </c>
      <c r="B275" s="195">
        <f>JANUARY!B275</f>
        <v>0</v>
      </c>
      <c r="C275" s="82">
        <f>FEBRUARY!B275</f>
        <v>0</v>
      </c>
      <c r="D275" s="82">
        <f>MARCH!B275</f>
        <v>138</v>
      </c>
      <c r="E275" s="82">
        <f>APRIL!B275</f>
        <v>0</v>
      </c>
      <c r="F275" s="82">
        <f>MAY!B275</f>
        <v>0</v>
      </c>
      <c r="G275" s="82">
        <f>JUNE!B275</f>
        <v>0</v>
      </c>
      <c r="H275" s="82">
        <f>JULY!B275</f>
        <v>0</v>
      </c>
      <c r="I275" s="82">
        <f>AUGUST!B275</f>
        <v>0</v>
      </c>
      <c r="J275" s="82">
        <f>SEPTEMBER!B275</f>
        <v>0</v>
      </c>
      <c r="K275" s="82">
        <f>OCTOBER!B275</f>
        <v>0</v>
      </c>
      <c r="L275" s="82">
        <f>NOVEMBER!B275</f>
        <v>0</v>
      </c>
      <c r="M275" s="82">
        <f>DECEMBER!B275</f>
        <v>0</v>
      </c>
      <c r="N275" s="192">
        <f t="shared" si="29"/>
        <v>138</v>
      </c>
      <c r="O275" s="192">
        <f t="shared" si="30"/>
        <v>0</v>
      </c>
      <c r="P275" s="192">
        <f t="shared" si="31"/>
        <v>0</v>
      </c>
      <c r="Q275" s="192">
        <f t="shared" si="32"/>
        <v>0</v>
      </c>
      <c r="R275" s="206">
        <f t="shared" si="33"/>
        <v>138</v>
      </c>
      <c r="S275" s="186">
        <f>TARGET!B275</f>
        <v>0</v>
      </c>
      <c r="T275" s="208" t="e">
        <f t="shared" si="34"/>
        <v>#DIV/0!</v>
      </c>
    </row>
    <row r="276" spans="1:21" ht="15.75" customHeight="1" x14ac:dyDescent="0.2">
      <c r="A276" s="76" t="s">
        <v>341</v>
      </c>
      <c r="B276" s="166"/>
      <c r="C276" s="167"/>
      <c r="D276" s="167"/>
      <c r="E276" s="167"/>
      <c r="F276" s="167"/>
      <c r="G276" s="167"/>
      <c r="H276" s="167"/>
      <c r="I276" s="167"/>
      <c r="J276" s="167"/>
      <c r="K276" s="167"/>
      <c r="L276" s="167"/>
      <c r="M276" s="167"/>
      <c r="N276" s="167"/>
      <c r="O276" s="167"/>
      <c r="P276" s="167"/>
      <c r="Q276" s="167"/>
      <c r="R276" s="201"/>
      <c r="S276" s="167"/>
      <c r="T276" s="209"/>
    </row>
    <row r="277" spans="1:21" ht="15.75" customHeight="1" x14ac:dyDescent="0.25">
      <c r="A277" s="57" t="s">
        <v>342</v>
      </c>
      <c r="B277" s="162">
        <f>JANUARY!B277</f>
        <v>0</v>
      </c>
      <c r="C277" s="182">
        <f>FEBRUARY!B277</f>
        <v>1</v>
      </c>
      <c r="D277" s="182">
        <f>MARCH!B277</f>
        <v>0</v>
      </c>
      <c r="E277" s="182">
        <f>APRIL!B277</f>
        <v>0</v>
      </c>
      <c r="F277" s="182">
        <f>MAY!B277</f>
        <v>0</v>
      </c>
      <c r="G277" s="182">
        <f>JUNE!B277</f>
        <v>0</v>
      </c>
      <c r="H277" s="182">
        <f>JULY!B277</f>
        <v>1</v>
      </c>
      <c r="I277" s="182">
        <f>AUGUST!B277</f>
        <v>0</v>
      </c>
      <c r="J277" s="182">
        <f>SEPTEMBER!B277</f>
        <v>0</v>
      </c>
      <c r="K277" s="182">
        <f>OCTOBER!B277</f>
        <v>2</v>
      </c>
      <c r="L277" s="182">
        <f>NOVEMBER!B277</f>
        <v>0</v>
      </c>
      <c r="M277" s="182">
        <f>DECEMBER!B277</f>
        <v>0</v>
      </c>
      <c r="N277" s="191">
        <f t="shared" si="29"/>
        <v>1</v>
      </c>
      <c r="O277" s="191">
        <f t="shared" si="30"/>
        <v>0</v>
      </c>
      <c r="P277" s="191">
        <f t="shared" si="31"/>
        <v>1</v>
      </c>
      <c r="Q277" s="191">
        <f t="shared" si="32"/>
        <v>2</v>
      </c>
      <c r="R277" s="202">
        <f t="shared" si="33"/>
        <v>4</v>
      </c>
      <c r="S277" s="162">
        <f>TARGET!B277</f>
        <v>0</v>
      </c>
      <c r="T277" s="208" t="e">
        <f t="shared" si="34"/>
        <v>#DIV/0!</v>
      </c>
      <c r="U277" s="280">
        <f>R277</f>
        <v>4</v>
      </c>
    </row>
    <row r="278" spans="1:21" ht="15.75" customHeight="1" x14ac:dyDescent="0.25">
      <c r="A278" s="55" t="s">
        <v>346</v>
      </c>
      <c r="B278" s="162">
        <f>JANUARY!B278</f>
        <v>0</v>
      </c>
      <c r="C278" s="164">
        <f>FEBRUARY!B278</f>
        <v>1</v>
      </c>
      <c r="D278" s="164">
        <f>MARCH!B278</f>
        <v>0</v>
      </c>
      <c r="E278" s="164">
        <f>APRIL!B278</f>
        <v>0</v>
      </c>
      <c r="F278" s="164">
        <f>MAY!B278</f>
        <v>0</v>
      </c>
      <c r="G278" s="164">
        <f>JUNE!B278</f>
        <v>0</v>
      </c>
      <c r="H278" s="164">
        <f>JULY!B278</f>
        <v>1</v>
      </c>
      <c r="I278" s="164">
        <f>AUGUST!B278</f>
        <v>0</v>
      </c>
      <c r="J278" s="164">
        <f>SEPTEMBER!B278</f>
        <v>0</v>
      </c>
      <c r="K278" s="164">
        <f>OCTOBER!B278</f>
        <v>2</v>
      </c>
      <c r="L278" s="164">
        <f>NOVEMBER!B278</f>
        <v>0</v>
      </c>
      <c r="M278" s="164">
        <f>DECEMBER!B278</f>
        <v>0</v>
      </c>
      <c r="N278" s="190">
        <f t="shared" si="29"/>
        <v>1</v>
      </c>
      <c r="O278" s="190">
        <f t="shared" si="30"/>
        <v>0</v>
      </c>
      <c r="P278" s="190">
        <f t="shared" si="31"/>
        <v>1</v>
      </c>
      <c r="Q278" s="190">
        <f t="shared" si="32"/>
        <v>2</v>
      </c>
      <c r="R278" s="200">
        <f t="shared" si="33"/>
        <v>4</v>
      </c>
      <c r="S278" s="162">
        <f>TARGET!B278</f>
        <v>0</v>
      </c>
      <c r="T278" s="208" t="e">
        <f t="shared" si="34"/>
        <v>#DIV/0!</v>
      </c>
    </row>
    <row r="279" spans="1:21" ht="15.75" customHeight="1" x14ac:dyDescent="0.2">
      <c r="A279" s="55" t="s">
        <v>347</v>
      </c>
      <c r="B279" s="195">
        <f>JANUARY!B279</f>
        <v>0</v>
      </c>
      <c r="C279" s="82">
        <f>FEBRUARY!B279</f>
        <v>1</v>
      </c>
      <c r="D279" s="82">
        <f>MARCH!B279</f>
        <v>0</v>
      </c>
      <c r="E279" s="82">
        <f>APRIL!B279</f>
        <v>0</v>
      </c>
      <c r="F279" s="82">
        <f>MAY!B279</f>
        <v>0</v>
      </c>
      <c r="G279" s="82">
        <f>JUNE!B279</f>
        <v>0</v>
      </c>
      <c r="H279" s="82">
        <f>JULY!B279</f>
        <v>1</v>
      </c>
      <c r="I279" s="82">
        <f>AUGUST!B279</f>
        <v>0</v>
      </c>
      <c r="J279" s="82">
        <f>SEPTEMBER!B279</f>
        <v>0</v>
      </c>
      <c r="K279" s="82">
        <f>OCTOBER!B279</f>
        <v>0</v>
      </c>
      <c r="L279" s="82">
        <f>NOVEMBER!B279</f>
        <v>0</v>
      </c>
      <c r="M279" s="82">
        <f>DECEMBER!B279</f>
        <v>0</v>
      </c>
      <c r="N279" s="192">
        <f t="shared" si="29"/>
        <v>1</v>
      </c>
      <c r="O279" s="192">
        <f t="shared" si="30"/>
        <v>0</v>
      </c>
      <c r="P279" s="192">
        <f t="shared" si="31"/>
        <v>1</v>
      </c>
      <c r="Q279" s="192">
        <f t="shared" si="32"/>
        <v>0</v>
      </c>
      <c r="R279" s="206">
        <f t="shared" si="33"/>
        <v>2</v>
      </c>
      <c r="S279" s="186">
        <f>TARGET!B279</f>
        <v>0</v>
      </c>
      <c r="T279" s="208" t="e">
        <f t="shared" si="34"/>
        <v>#DIV/0!</v>
      </c>
    </row>
    <row r="280" spans="1:21" ht="15.75" customHeight="1" x14ac:dyDescent="0.2">
      <c r="A280" s="55" t="s">
        <v>350</v>
      </c>
      <c r="B280" s="195">
        <f>JANUARY!B280</f>
        <v>0</v>
      </c>
      <c r="C280" s="82">
        <f>FEBRUARY!B280</f>
        <v>0</v>
      </c>
      <c r="D280" s="82">
        <f>MARCH!B280</f>
        <v>0</v>
      </c>
      <c r="E280" s="82">
        <f>APRIL!B280</f>
        <v>0</v>
      </c>
      <c r="F280" s="82">
        <f>MAY!B280</f>
        <v>0</v>
      </c>
      <c r="G280" s="82">
        <f>JUNE!B280</f>
        <v>0</v>
      </c>
      <c r="H280" s="82">
        <f>JULY!B280</f>
        <v>0</v>
      </c>
      <c r="I280" s="82">
        <f>AUGUST!B280</f>
        <v>0</v>
      </c>
      <c r="J280" s="82">
        <f>SEPTEMBER!B280</f>
        <v>0</v>
      </c>
      <c r="K280" s="82">
        <f>OCTOBER!B280</f>
        <v>2</v>
      </c>
      <c r="L280" s="82">
        <f>NOVEMBER!B280</f>
        <v>0</v>
      </c>
      <c r="M280" s="82">
        <f>DECEMBER!B280</f>
        <v>0</v>
      </c>
      <c r="N280" s="192">
        <f t="shared" si="29"/>
        <v>0</v>
      </c>
      <c r="O280" s="192">
        <f t="shared" si="30"/>
        <v>0</v>
      </c>
      <c r="P280" s="192">
        <f t="shared" si="31"/>
        <v>0</v>
      </c>
      <c r="Q280" s="192">
        <f t="shared" si="32"/>
        <v>2</v>
      </c>
      <c r="R280" s="206">
        <f t="shared" si="33"/>
        <v>2</v>
      </c>
      <c r="S280" s="186">
        <f>TARGET!B280</f>
        <v>0</v>
      </c>
      <c r="T280" s="208" t="e">
        <f t="shared" si="34"/>
        <v>#DIV/0!</v>
      </c>
    </row>
    <row r="281" spans="1:21" ht="15.75" customHeight="1" x14ac:dyDescent="0.25">
      <c r="A281" s="55" t="s">
        <v>348</v>
      </c>
      <c r="B281" s="162">
        <f>JANUARY!B281</f>
        <v>0</v>
      </c>
      <c r="C281" s="164">
        <f>FEBRUARY!B281</f>
        <v>0</v>
      </c>
      <c r="D281" s="164">
        <f>MARCH!B281</f>
        <v>0</v>
      </c>
      <c r="E281" s="164">
        <f>APRIL!B281</f>
        <v>0</v>
      </c>
      <c r="F281" s="164">
        <f>MAY!B281</f>
        <v>0</v>
      </c>
      <c r="G281" s="164">
        <f>JUNE!B281</f>
        <v>0</v>
      </c>
      <c r="H281" s="164">
        <f>JULY!B281</f>
        <v>0</v>
      </c>
      <c r="I281" s="164">
        <f>AUGUST!B281</f>
        <v>0</v>
      </c>
      <c r="J281" s="164">
        <f>SEPTEMBER!B281</f>
        <v>0</v>
      </c>
      <c r="K281" s="164">
        <f>OCTOBER!B281</f>
        <v>0</v>
      </c>
      <c r="L281" s="164">
        <f>NOVEMBER!B281</f>
        <v>0</v>
      </c>
      <c r="M281" s="164">
        <f>DECEMBER!B281</f>
        <v>0</v>
      </c>
      <c r="N281" s="190">
        <f t="shared" si="29"/>
        <v>0</v>
      </c>
      <c r="O281" s="190">
        <f t="shared" si="30"/>
        <v>0</v>
      </c>
      <c r="P281" s="190">
        <f t="shared" si="31"/>
        <v>0</v>
      </c>
      <c r="Q281" s="190">
        <f t="shared" si="32"/>
        <v>0</v>
      </c>
      <c r="R281" s="200">
        <f t="shared" si="33"/>
        <v>0</v>
      </c>
      <c r="S281" s="162">
        <f>TARGET!B281</f>
        <v>0</v>
      </c>
      <c r="T281" s="208" t="e">
        <f t="shared" si="34"/>
        <v>#DIV/0!</v>
      </c>
    </row>
    <row r="282" spans="1:21" ht="15.75" customHeight="1" x14ac:dyDescent="0.2">
      <c r="A282" s="55" t="s">
        <v>349</v>
      </c>
      <c r="B282" s="195">
        <f>JANUARY!B282</f>
        <v>0</v>
      </c>
      <c r="C282" s="82">
        <f>FEBRUARY!B282</f>
        <v>0</v>
      </c>
      <c r="D282" s="82">
        <f>MARCH!B282</f>
        <v>0</v>
      </c>
      <c r="E282" s="82">
        <f>APRIL!B282</f>
        <v>0</v>
      </c>
      <c r="F282" s="82">
        <f>MAY!B282</f>
        <v>0</v>
      </c>
      <c r="G282" s="82">
        <f>JUNE!B282</f>
        <v>0</v>
      </c>
      <c r="H282" s="82">
        <f>JULY!B282</f>
        <v>0</v>
      </c>
      <c r="I282" s="82">
        <f>AUGUST!B282</f>
        <v>0</v>
      </c>
      <c r="J282" s="82">
        <f>SEPTEMBER!B282</f>
        <v>0</v>
      </c>
      <c r="K282" s="82">
        <f>OCTOBER!B282</f>
        <v>0</v>
      </c>
      <c r="L282" s="82">
        <f>NOVEMBER!B282</f>
        <v>0</v>
      </c>
      <c r="M282" s="82">
        <f>DECEMBER!B282</f>
        <v>0</v>
      </c>
      <c r="N282" s="192">
        <f t="shared" si="29"/>
        <v>0</v>
      </c>
      <c r="O282" s="192">
        <f t="shared" si="30"/>
        <v>0</v>
      </c>
      <c r="P282" s="192">
        <f t="shared" si="31"/>
        <v>0</v>
      </c>
      <c r="Q282" s="192">
        <f t="shared" si="32"/>
        <v>0</v>
      </c>
      <c r="R282" s="206">
        <f t="shared" si="33"/>
        <v>0</v>
      </c>
      <c r="S282" s="186">
        <f>TARGET!B282</f>
        <v>0</v>
      </c>
      <c r="T282" s="208" t="e">
        <f t="shared" si="34"/>
        <v>#DIV/0!</v>
      </c>
    </row>
    <row r="283" spans="1:21" ht="15.75" customHeight="1" x14ac:dyDescent="0.2">
      <c r="A283" s="55" t="s">
        <v>351</v>
      </c>
      <c r="B283" s="195">
        <f>JANUARY!B283</f>
        <v>0</v>
      </c>
      <c r="C283" s="82">
        <f>FEBRUARY!B283</f>
        <v>0</v>
      </c>
      <c r="D283" s="82">
        <f>MARCH!B283</f>
        <v>0</v>
      </c>
      <c r="E283" s="82">
        <f>APRIL!B283</f>
        <v>0</v>
      </c>
      <c r="F283" s="82">
        <f>MAY!B283</f>
        <v>0</v>
      </c>
      <c r="G283" s="82">
        <f>JUNE!B283</f>
        <v>0</v>
      </c>
      <c r="H283" s="82">
        <f>JULY!B283</f>
        <v>0</v>
      </c>
      <c r="I283" s="82">
        <f>AUGUST!B283</f>
        <v>0</v>
      </c>
      <c r="J283" s="82">
        <f>SEPTEMBER!B283</f>
        <v>0</v>
      </c>
      <c r="K283" s="82">
        <f>OCTOBER!B283</f>
        <v>0</v>
      </c>
      <c r="L283" s="82">
        <f>NOVEMBER!B283</f>
        <v>0</v>
      </c>
      <c r="M283" s="82">
        <f>DECEMBER!B283</f>
        <v>0</v>
      </c>
      <c r="N283" s="192">
        <f t="shared" si="29"/>
        <v>0</v>
      </c>
      <c r="O283" s="192">
        <f t="shared" si="30"/>
        <v>0</v>
      </c>
      <c r="P283" s="192">
        <f t="shared" si="31"/>
        <v>0</v>
      </c>
      <c r="Q283" s="192">
        <f t="shared" si="32"/>
        <v>0</v>
      </c>
      <c r="R283" s="206">
        <f t="shared" si="33"/>
        <v>0</v>
      </c>
      <c r="S283" s="186">
        <f>TARGET!B283</f>
        <v>0</v>
      </c>
      <c r="T283" s="208" t="e">
        <f t="shared" si="34"/>
        <v>#DIV/0!</v>
      </c>
    </row>
    <row r="284" spans="1:21" ht="15.75" customHeight="1" x14ac:dyDescent="0.25">
      <c r="A284" s="57" t="s">
        <v>345</v>
      </c>
      <c r="B284" s="162">
        <f>JANUARY!B284</f>
        <v>0</v>
      </c>
      <c r="C284" s="164">
        <f>FEBRUARY!B284</f>
        <v>0</v>
      </c>
      <c r="D284" s="164">
        <f>MARCH!B284</f>
        <v>0</v>
      </c>
      <c r="E284" s="164">
        <f>APRIL!B284</f>
        <v>1</v>
      </c>
      <c r="F284" s="164">
        <f>MAY!B284</f>
        <v>0</v>
      </c>
      <c r="G284" s="164">
        <f>JUNE!B284</f>
        <v>1</v>
      </c>
      <c r="H284" s="164">
        <f>JULY!B284</f>
        <v>0</v>
      </c>
      <c r="I284" s="164">
        <f>AUGUST!B284</f>
        <v>0</v>
      </c>
      <c r="J284" s="164">
        <f>SEPTEMBER!B284</f>
        <v>0</v>
      </c>
      <c r="K284" s="164">
        <f>OCTOBER!B284</f>
        <v>0</v>
      </c>
      <c r="L284" s="164">
        <f>NOVEMBER!B284</f>
        <v>0</v>
      </c>
      <c r="M284" s="164">
        <f>DECEMBER!B284</f>
        <v>0</v>
      </c>
      <c r="N284" s="190">
        <f t="shared" si="29"/>
        <v>0</v>
      </c>
      <c r="O284" s="190">
        <f t="shared" si="30"/>
        <v>2</v>
      </c>
      <c r="P284" s="190">
        <f t="shared" si="31"/>
        <v>0</v>
      </c>
      <c r="Q284" s="190">
        <f t="shared" si="32"/>
        <v>0</v>
      </c>
      <c r="R284" s="200">
        <f t="shared" si="33"/>
        <v>2</v>
      </c>
      <c r="S284" s="162">
        <f>TARGET!B284</f>
        <v>0</v>
      </c>
      <c r="T284" s="208" t="e">
        <f t="shared" si="34"/>
        <v>#DIV/0!</v>
      </c>
    </row>
    <row r="285" spans="1:21" ht="15.75" customHeight="1" x14ac:dyDescent="0.25">
      <c r="A285" s="55" t="s">
        <v>352</v>
      </c>
      <c r="B285" s="162">
        <f>JANUARY!B285</f>
        <v>0</v>
      </c>
      <c r="C285" s="164">
        <f>FEBRUARY!B285</f>
        <v>0</v>
      </c>
      <c r="D285" s="164">
        <f>MARCH!B285</f>
        <v>0</v>
      </c>
      <c r="E285" s="164">
        <f>APRIL!B285</f>
        <v>1</v>
      </c>
      <c r="F285" s="164">
        <f>MAY!B285</f>
        <v>0</v>
      </c>
      <c r="G285" s="164">
        <f>JUNE!B285</f>
        <v>1</v>
      </c>
      <c r="H285" s="164">
        <f>JULY!B285</f>
        <v>0</v>
      </c>
      <c r="I285" s="164">
        <f>AUGUST!B285</f>
        <v>0</v>
      </c>
      <c r="J285" s="164">
        <f>SEPTEMBER!B285</f>
        <v>0</v>
      </c>
      <c r="K285" s="164">
        <f>OCTOBER!B285</f>
        <v>0</v>
      </c>
      <c r="L285" s="164">
        <f>NOVEMBER!B285</f>
        <v>0</v>
      </c>
      <c r="M285" s="164">
        <f>DECEMBER!B285</f>
        <v>0</v>
      </c>
      <c r="N285" s="190">
        <f t="shared" si="29"/>
        <v>0</v>
      </c>
      <c r="O285" s="190">
        <f t="shared" si="30"/>
        <v>2</v>
      </c>
      <c r="P285" s="190">
        <f t="shared" si="31"/>
        <v>0</v>
      </c>
      <c r="Q285" s="190">
        <f t="shared" si="32"/>
        <v>0</v>
      </c>
      <c r="R285" s="200">
        <f t="shared" si="33"/>
        <v>2</v>
      </c>
      <c r="S285" s="162">
        <f>TARGET!B285</f>
        <v>0</v>
      </c>
      <c r="T285" s="208" t="e">
        <f t="shared" si="34"/>
        <v>#DIV/0!</v>
      </c>
    </row>
    <row r="286" spans="1:21" ht="15.75" customHeight="1" x14ac:dyDescent="0.2">
      <c r="A286" s="55" t="s">
        <v>343</v>
      </c>
      <c r="B286" s="195">
        <f>JANUARY!B286</f>
        <v>0</v>
      </c>
      <c r="C286" s="82">
        <f>FEBRUARY!B286</f>
        <v>0</v>
      </c>
      <c r="D286" s="82">
        <f>MARCH!B286</f>
        <v>0</v>
      </c>
      <c r="E286" s="82">
        <f>APRIL!B286</f>
        <v>1</v>
      </c>
      <c r="F286" s="82">
        <f>MAY!B286</f>
        <v>0</v>
      </c>
      <c r="G286" s="82">
        <f>JUNE!B286</f>
        <v>1</v>
      </c>
      <c r="H286" s="82">
        <f>JULY!B286</f>
        <v>0</v>
      </c>
      <c r="I286" s="82">
        <f>AUGUST!B286</f>
        <v>0</v>
      </c>
      <c r="J286" s="82">
        <f>SEPTEMBER!B286</f>
        <v>0</v>
      </c>
      <c r="K286" s="82">
        <f>OCTOBER!B286</f>
        <v>0</v>
      </c>
      <c r="L286" s="82">
        <f>NOVEMBER!B286</f>
        <v>0</v>
      </c>
      <c r="M286" s="82">
        <f>DECEMBER!B286</f>
        <v>0</v>
      </c>
      <c r="N286" s="192">
        <f t="shared" si="29"/>
        <v>0</v>
      </c>
      <c r="O286" s="192">
        <f t="shared" si="30"/>
        <v>2</v>
      </c>
      <c r="P286" s="192">
        <f t="shared" si="31"/>
        <v>0</v>
      </c>
      <c r="Q286" s="192">
        <f t="shared" si="32"/>
        <v>0</v>
      </c>
      <c r="R286" s="206">
        <f t="shared" si="33"/>
        <v>2</v>
      </c>
      <c r="S286" s="186">
        <f>TARGET!B286</f>
        <v>0</v>
      </c>
      <c r="T286" s="208" t="e">
        <f t="shared" si="34"/>
        <v>#DIV/0!</v>
      </c>
    </row>
    <row r="287" spans="1:21" ht="15.75" customHeight="1" x14ac:dyDescent="0.2">
      <c r="A287" s="55" t="s">
        <v>353</v>
      </c>
      <c r="B287" s="195">
        <f>JANUARY!B287</f>
        <v>0</v>
      </c>
      <c r="C287" s="82">
        <f>FEBRUARY!B287</f>
        <v>0</v>
      </c>
      <c r="D287" s="82">
        <f>MARCH!B287</f>
        <v>0</v>
      </c>
      <c r="E287" s="82">
        <f>APRIL!B287</f>
        <v>0</v>
      </c>
      <c r="F287" s="82">
        <f>MAY!B287</f>
        <v>0</v>
      </c>
      <c r="G287" s="82">
        <f>JUNE!B287</f>
        <v>0</v>
      </c>
      <c r="H287" s="82">
        <f>JULY!B287</f>
        <v>0</v>
      </c>
      <c r="I287" s="82">
        <f>AUGUST!B287</f>
        <v>0</v>
      </c>
      <c r="J287" s="82">
        <f>SEPTEMBER!B287</f>
        <v>0</v>
      </c>
      <c r="K287" s="82">
        <f>OCTOBER!B287</f>
        <v>0</v>
      </c>
      <c r="L287" s="82">
        <f>NOVEMBER!B287</f>
        <v>0</v>
      </c>
      <c r="M287" s="82">
        <f>DECEMBER!B287</f>
        <v>0</v>
      </c>
      <c r="N287" s="192">
        <f>B287+C287+D287</f>
        <v>0</v>
      </c>
      <c r="O287" s="192">
        <f>E287+F287+G287</f>
        <v>0</v>
      </c>
      <c r="P287" s="192">
        <f>H287+I287+J287</f>
        <v>0</v>
      </c>
      <c r="Q287" s="192">
        <f>K287+L287+M287</f>
        <v>0</v>
      </c>
      <c r="R287" s="206">
        <f>B287+C287+D287+E287+F287+G287+H287+I287+J287+K287+L287+M287</f>
        <v>0</v>
      </c>
      <c r="S287" s="186">
        <f>TARGET!B287</f>
        <v>0</v>
      </c>
      <c r="T287" s="208" t="e">
        <f t="shared" si="34"/>
        <v>#DIV/0!</v>
      </c>
    </row>
    <row r="288" spans="1:21" ht="15.75" customHeight="1" x14ac:dyDescent="0.25">
      <c r="A288" s="55" t="s">
        <v>354</v>
      </c>
      <c r="B288" s="162">
        <f>JANUARY!B288</f>
        <v>0</v>
      </c>
      <c r="C288" s="164">
        <f>FEBRUARY!B288</f>
        <v>0</v>
      </c>
      <c r="D288" s="164">
        <f>MARCH!B288</f>
        <v>0</v>
      </c>
      <c r="E288" s="164">
        <f>APRIL!B288</f>
        <v>0</v>
      </c>
      <c r="F288" s="164">
        <f>MAY!B288</f>
        <v>0</v>
      </c>
      <c r="G288" s="164">
        <f>JUNE!B288</f>
        <v>0</v>
      </c>
      <c r="H288" s="164">
        <f>JULY!B288</f>
        <v>0</v>
      </c>
      <c r="I288" s="164">
        <f>AUGUST!B288</f>
        <v>0</v>
      </c>
      <c r="J288" s="164">
        <f>SEPTEMBER!B288</f>
        <v>0</v>
      </c>
      <c r="K288" s="164">
        <f>OCTOBER!B288</f>
        <v>0</v>
      </c>
      <c r="L288" s="164">
        <f>NOVEMBER!B288</f>
        <v>0</v>
      </c>
      <c r="M288" s="164">
        <f>DECEMBER!B288</f>
        <v>0</v>
      </c>
      <c r="N288" s="190">
        <f t="shared" ref="N288:N298" si="35">B288+C288+D288</f>
        <v>0</v>
      </c>
      <c r="O288" s="190">
        <f t="shared" ref="O288:O298" si="36">E288+F288+G288</f>
        <v>0</v>
      </c>
      <c r="P288" s="190">
        <f t="shared" ref="P288:P298" si="37">H288+I288+J288</f>
        <v>0</v>
      </c>
      <c r="Q288" s="190">
        <f t="shared" ref="Q288:Q298" si="38">K288+L288+M288</f>
        <v>0</v>
      </c>
      <c r="R288" s="200">
        <f t="shared" ref="R288:R298" si="39">B288+C288+D288+E288+F288+G288+H288+I288+J288+K288+L288+M288</f>
        <v>0</v>
      </c>
      <c r="S288" s="162">
        <f>TARGET!B288</f>
        <v>0</v>
      </c>
      <c r="T288" s="208" t="e">
        <f t="shared" si="34"/>
        <v>#DIV/0!</v>
      </c>
    </row>
    <row r="289" spans="1:21" ht="15.75" customHeight="1" x14ac:dyDescent="0.2">
      <c r="A289" s="55" t="s">
        <v>344</v>
      </c>
      <c r="B289" s="195">
        <f>JANUARY!B289</f>
        <v>0</v>
      </c>
      <c r="C289" s="82">
        <f>FEBRUARY!B289</f>
        <v>0</v>
      </c>
      <c r="D289" s="82">
        <f>MARCH!B289</f>
        <v>0</v>
      </c>
      <c r="E289" s="82">
        <f>APRIL!B289</f>
        <v>0</v>
      </c>
      <c r="F289" s="82">
        <f>MAY!B289</f>
        <v>0</v>
      </c>
      <c r="G289" s="82">
        <f>JUNE!B289</f>
        <v>0</v>
      </c>
      <c r="H289" s="82">
        <f>JULY!B289</f>
        <v>0</v>
      </c>
      <c r="I289" s="82">
        <f>AUGUST!B289</f>
        <v>0</v>
      </c>
      <c r="J289" s="82">
        <f>SEPTEMBER!B289</f>
        <v>0</v>
      </c>
      <c r="K289" s="82">
        <f>OCTOBER!B289</f>
        <v>0</v>
      </c>
      <c r="L289" s="82">
        <f>NOVEMBER!B289</f>
        <v>0</v>
      </c>
      <c r="M289" s="82">
        <f>DECEMBER!B289</f>
        <v>0</v>
      </c>
      <c r="N289" s="192">
        <f t="shared" si="35"/>
        <v>0</v>
      </c>
      <c r="O289" s="192">
        <f t="shared" si="36"/>
        <v>0</v>
      </c>
      <c r="P289" s="192">
        <f t="shared" si="37"/>
        <v>0</v>
      </c>
      <c r="Q289" s="192">
        <f t="shared" si="38"/>
        <v>0</v>
      </c>
      <c r="R289" s="206">
        <f t="shared" si="39"/>
        <v>0</v>
      </c>
      <c r="S289" s="186">
        <f>TARGET!B289</f>
        <v>0</v>
      </c>
      <c r="T289" s="208" t="e">
        <f t="shared" si="34"/>
        <v>#DIV/0!</v>
      </c>
    </row>
    <row r="290" spans="1:21" ht="15.75" customHeight="1" x14ac:dyDescent="0.2">
      <c r="A290" s="55" t="s">
        <v>355</v>
      </c>
      <c r="B290" s="195">
        <f>JANUARY!B290</f>
        <v>0</v>
      </c>
      <c r="C290" s="82">
        <f>FEBRUARY!B290</f>
        <v>0</v>
      </c>
      <c r="D290" s="82">
        <f>MARCH!B290</f>
        <v>0</v>
      </c>
      <c r="E290" s="82">
        <f>APRIL!B290</f>
        <v>0</v>
      </c>
      <c r="F290" s="82">
        <f>MAY!B290</f>
        <v>0</v>
      </c>
      <c r="G290" s="82">
        <f>JUNE!B290</f>
        <v>0</v>
      </c>
      <c r="H290" s="82">
        <f>JULY!B290</f>
        <v>0</v>
      </c>
      <c r="I290" s="82">
        <f>AUGUST!B290</f>
        <v>0</v>
      </c>
      <c r="J290" s="82">
        <f>SEPTEMBER!B290</f>
        <v>0</v>
      </c>
      <c r="K290" s="82">
        <f>OCTOBER!B290</f>
        <v>0</v>
      </c>
      <c r="L290" s="82">
        <f>NOVEMBER!B290</f>
        <v>0</v>
      </c>
      <c r="M290" s="82">
        <f>DECEMBER!B290</f>
        <v>0</v>
      </c>
      <c r="N290" s="192">
        <f t="shared" si="35"/>
        <v>0</v>
      </c>
      <c r="O290" s="192">
        <f t="shared" si="36"/>
        <v>0</v>
      </c>
      <c r="P290" s="192">
        <f t="shared" si="37"/>
        <v>0</v>
      </c>
      <c r="Q290" s="192">
        <f t="shared" si="38"/>
        <v>0</v>
      </c>
      <c r="R290" s="206">
        <f t="shared" si="39"/>
        <v>0</v>
      </c>
      <c r="S290" s="186">
        <f>TARGET!B290</f>
        <v>0</v>
      </c>
      <c r="T290" s="208" t="e">
        <f t="shared" si="34"/>
        <v>#DIV/0!</v>
      </c>
    </row>
    <row r="291" spans="1:21" ht="15.75" customHeight="1" x14ac:dyDescent="0.2">
      <c r="A291" s="78" t="s">
        <v>18</v>
      </c>
      <c r="B291" s="171"/>
      <c r="C291" s="172"/>
      <c r="D291" s="172"/>
      <c r="E291" s="172"/>
      <c r="F291" s="172"/>
      <c r="G291" s="172"/>
      <c r="H291" s="172"/>
      <c r="I291" s="172"/>
      <c r="J291" s="172"/>
      <c r="K291" s="172"/>
      <c r="L291" s="172"/>
      <c r="M291" s="172"/>
      <c r="N291" s="172"/>
      <c r="O291" s="172"/>
      <c r="P291" s="172"/>
      <c r="Q291" s="172"/>
      <c r="R291" s="203"/>
      <c r="S291" s="172"/>
      <c r="T291" s="210"/>
    </row>
    <row r="292" spans="1:21" ht="15.75" customHeight="1" x14ac:dyDescent="0.2">
      <c r="A292" s="79" t="s">
        <v>19</v>
      </c>
      <c r="B292" s="176"/>
      <c r="C292" s="170"/>
      <c r="D292" s="170"/>
      <c r="E292" s="170"/>
      <c r="F292" s="170"/>
      <c r="G292" s="170"/>
      <c r="H292" s="170"/>
      <c r="I292" s="170"/>
      <c r="J292" s="170"/>
      <c r="K292" s="170"/>
      <c r="L292" s="170"/>
      <c r="M292" s="170"/>
      <c r="N292" s="170"/>
      <c r="O292" s="170"/>
      <c r="P292" s="170"/>
      <c r="Q292" s="170"/>
      <c r="R292" s="204"/>
      <c r="S292" s="170"/>
      <c r="T292" s="211"/>
    </row>
    <row r="293" spans="1:21" ht="15.75" customHeight="1" x14ac:dyDescent="0.25">
      <c r="A293" s="173" t="s">
        <v>20</v>
      </c>
      <c r="B293" s="177"/>
      <c r="C293" s="178"/>
      <c r="D293" s="178"/>
      <c r="E293" s="178"/>
      <c r="F293" s="178"/>
      <c r="G293" s="178"/>
      <c r="H293" s="178"/>
      <c r="I293" s="178"/>
      <c r="J293" s="178"/>
      <c r="K293" s="178"/>
      <c r="L293" s="178"/>
      <c r="M293" s="178"/>
      <c r="N293" s="178"/>
      <c r="O293" s="178"/>
      <c r="P293" s="178"/>
      <c r="Q293" s="178"/>
      <c r="R293" s="203"/>
      <c r="S293" s="178"/>
      <c r="T293" s="212"/>
    </row>
    <row r="294" spans="1:21" ht="15.75" customHeight="1" x14ac:dyDescent="0.2">
      <c r="A294" s="174" t="s">
        <v>21</v>
      </c>
      <c r="B294" s="179"/>
      <c r="C294" s="165"/>
      <c r="D294" s="165"/>
      <c r="E294" s="165"/>
      <c r="F294" s="165"/>
      <c r="G294" s="165"/>
      <c r="H294" s="165"/>
      <c r="I294" s="165"/>
      <c r="J294" s="165"/>
      <c r="K294" s="165"/>
      <c r="L294" s="165"/>
      <c r="M294" s="165"/>
      <c r="N294" s="165"/>
      <c r="O294" s="165"/>
      <c r="P294" s="165"/>
      <c r="Q294" s="165"/>
      <c r="R294" s="204"/>
      <c r="S294" s="165"/>
      <c r="T294" s="213"/>
    </row>
    <row r="295" spans="1:21" ht="15.75" customHeight="1" x14ac:dyDescent="0.2">
      <c r="A295" s="175" t="s">
        <v>137</v>
      </c>
      <c r="B295" s="180"/>
      <c r="C295" s="181"/>
      <c r="D295" s="181"/>
      <c r="E295" s="181"/>
      <c r="F295" s="181"/>
      <c r="G295" s="181"/>
      <c r="H295" s="181"/>
      <c r="I295" s="181"/>
      <c r="J295" s="181"/>
      <c r="K295" s="181"/>
      <c r="L295" s="181"/>
      <c r="M295" s="181"/>
      <c r="N295" s="181"/>
      <c r="O295" s="181"/>
      <c r="P295" s="181"/>
      <c r="Q295" s="181"/>
      <c r="R295" s="205"/>
      <c r="S295" s="181"/>
      <c r="T295" s="214"/>
    </row>
    <row r="296" spans="1:21" ht="15.75" customHeight="1" x14ac:dyDescent="0.2">
      <c r="A296" s="57" t="s">
        <v>138</v>
      </c>
      <c r="B296" s="195">
        <f>JANUARY!B296</f>
        <v>0</v>
      </c>
      <c r="C296" s="91">
        <f>FEBRUARY!B296</f>
        <v>0</v>
      </c>
      <c r="D296" s="91">
        <f>MARCH!B296</f>
        <v>0</v>
      </c>
      <c r="E296" s="91">
        <f>APRIL!B296</f>
        <v>0</v>
      </c>
      <c r="F296" s="91">
        <f>MAY!B296</f>
        <v>0</v>
      </c>
      <c r="G296" s="91">
        <f>JUNE!B296</f>
        <v>0</v>
      </c>
      <c r="H296" s="91">
        <f>JULY!B296</f>
        <v>0</v>
      </c>
      <c r="I296" s="91">
        <f>AUGUST!B296</f>
        <v>0</v>
      </c>
      <c r="J296" s="91">
        <f>SEPTEMBER!B296</f>
        <v>0</v>
      </c>
      <c r="K296" s="91">
        <f>OCTOBER!B296</f>
        <v>0</v>
      </c>
      <c r="L296" s="91">
        <f>NOVEMBER!B296</f>
        <v>0</v>
      </c>
      <c r="M296" s="91">
        <f>DECEMBER!B296</f>
        <v>0</v>
      </c>
      <c r="N296" s="219">
        <f t="shared" si="35"/>
        <v>0</v>
      </c>
      <c r="O296" s="219">
        <f t="shared" si="36"/>
        <v>0</v>
      </c>
      <c r="P296" s="219">
        <f t="shared" si="37"/>
        <v>0</v>
      </c>
      <c r="Q296" s="219">
        <f t="shared" si="38"/>
        <v>0</v>
      </c>
      <c r="R296" s="222">
        <f t="shared" si="39"/>
        <v>0</v>
      </c>
      <c r="S296" s="186">
        <f>TARGET!B296</f>
        <v>0</v>
      </c>
      <c r="T296" s="208" t="e">
        <f t="shared" ref="T296:T319" si="40">IF(R296/S296=0,"NONE",R296/S296)</f>
        <v>#DIV/0!</v>
      </c>
      <c r="U296" s="280">
        <f>R296</f>
        <v>0</v>
      </c>
    </row>
    <row r="297" spans="1:21" ht="15.75" customHeight="1" x14ac:dyDescent="0.25">
      <c r="A297" s="57" t="s">
        <v>136</v>
      </c>
      <c r="B297" s="162">
        <f>JANUARY!B297</f>
        <v>0</v>
      </c>
      <c r="C297" s="164">
        <f>FEBRUARY!B297</f>
        <v>0</v>
      </c>
      <c r="D297" s="164">
        <f>MARCH!B297</f>
        <v>0</v>
      </c>
      <c r="E297" s="164">
        <f>APRIL!B297</f>
        <v>0</v>
      </c>
      <c r="F297" s="164">
        <f>MAY!B297</f>
        <v>0</v>
      </c>
      <c r="G297" s="164">
        <f>JUNE!B297</f>
        <v>0</v>
      </c>
      <c r="H297" s="164">
        <f>JULY!B297</f>
        <v>0</v>
      </c>
      <c r="I297" s="164">
        <f>AUGUST!B297</f>
        <v>0</v>
      </c>
      <c r="J297" s="164">
        <f>SEPTEMBER!B297</f>
        <v>0</v>
      </c>
      <c r="K297" s="164">
        <f>OCTOBER!B297</f>
        <v>0</v>
      </c>
      <c r="L297" s="164">
        <f>NOVEMBER!B297</f>
        <v>0</v>
      </c>
      <c r="M297" s="164">
        <f>DECEMBER!B297</f>
        <v>0</v>
      </c>
      <c r="N297" s="190">
        <f t="shared" si="35"/>
        <v>0</v>
      </c>
      <c r="O297" s="190">
        <f t="shared" si="36"/>
        <v>0</v>
      </c>
      <c r="P297" s="190">
        <f t="shared" si="37"/>
        <v>0</v>
      </c>
      <c r="Q297" s="190">
        <f t="shared" si="38"/>
        <v>0</v>
      </c>
      <c r="R297" s="200">
        <f t="shared" si="39"/>
        <v>0</v>
      </c>
      <c r="S297" s="162">
        <f>TARGET!B297</f>
        <v>0</v>
      </c>
      <c r="T297" s="208" t="e">
        <f t="shared" si="40"/>
        <v>#DIV/0!</v>
      </c>
    </row>
    <row r="298" spans="1:21" ht="15.75" customHeight="1" x14ac:dyDescent="0.25">
      <c r="A298" s="60" t="s">
        <v>155</v>
      </c>
      <c r="B298" s="162">
        <f>JANUARY!B298</f>
        <v>0</v>
      </c>
      <c r="C298" s="164">
        <f>FEBRUARY!B298</f>
        <v>0</v>
      </c>
      <c r="D298" s="164">
        <f>MARCH!B298</f>
        <v>0</v>
      </c>
      <c r="E298" s="164">
        <f>APRIL!B298</f>
        <v>0</v>
      </c>
      <c r="F298" s="164">
        <f>MAY!B298</f>
        <v>0</v>
      </c>
      <c r="G298" s="164">
        <f>JUNE!B298</f>
        <v>0</v>
      </c>
      <c r="H298" s="164">
        <f>JULY!B298</f>
        <v>0</v>
      </c>
      <c r="I298" s="164">
        <f>AUGUST!B298</f>
        <v>0</v>
      </c>
      <c r="J298" s="164">
        <f>SEPTEMBER!B298</f>
        <v>0</v>
      </c>
      <c r="K298" s="164">
        <f>OCTOBER!B298</f>
        <v>0</v>
      </c>
      <c r="L298" s="164">
        <f>NOVEMBER!B298</f>
        <v>0</v>
      </c>
      <c r="M298" s="164">
        <f>DECEMBER!B298</f>
        <v>0</v>
      </c>
      <c r="N298" s="190">
        <f t="shared" si="35"/>
        <v>0</v>
      </c>
      <c r="O298" s="190">
        <f t="shared" si="36"/>
        <v>0</v>
      </c>
      <c r="P298" s="190">
        <f t="shared" si="37"/>
        <v>0</v>
      </c>
      <c r="Q298" s="190">
        <f t="shared" si="38"/>
        <v>0</v>
      </c>
      <c r="R298" s="200">
        <f t="shared" si="39"/>
        <v>0</v>
      </c>
      <c r="S298" s="162">
        <f>TARGET!B298</f>
        <v>0</v>
      </c>
      <c r="T298" s="208" t="e">
        <f t="shared" si="40"/>
        <v>#DIV/0!</v>
      </c>
    </row>
    <row r="299" spans="1:21" ht="15.75" customHeight="1" x14ac:dyDescent="0.2">
      <c r="A299" s="55" t="s">
        <v>139</v>
      </c>
      <c r="B299" s="195">
        <f>JANUARY!B299</f>
        <v>0</v>
      </c>
      <c r="C299" s="82">
        <f>FEBRUARY!B299</f>
        <v>0</v>
      </c>
      <c r="D299" s="82">
        <f>MARCH!B299</f>
        <v>0</v>
      </c>
      <c r="E299" s="82">
        <f>APRIL!B299</f>
        <v>0</v>
      </c>
      <c r="F299" s="82">
        <f>MAY!B299</f>
        <v>0</v>
      </c>
      <c r="G299" s="82">
        <f>JUNE!B299</f>
        <v>0</v>
      </c>
      <c r="H299" s="82">
        <f>JULY!B299</f>
        <v>0</v>
      </c>
      <c r="I299" s="82">
        <f>AUGUST!B299</f>
        <v>0</v>
      </c>
      <c r="J299" s="82">
        <f>SEPTEMBER!B299</f>
        <v>0</v>
      </c>
      <c r="K299" s="82">
        <f>OCTOBER!B299</f>
        <v>0</v>
      </c>
      <c r="L299" s="82">
        <f>NOVEMBER!B299</f>
        <v>0</v>
      </c>
      <c r="M299" s="82">
        <f>DECEMBER!B299</f>
        <v>0</v>
      </c>
      <c r="N299" s="192">
        <f>B299+C299+D299</f>
        <v>0</v>
      </c>
      <c r="O299" s="192">
        <f>E299+F299+G299</f>
        <v>0</v>
      </c>
      <c r="P299" s="192">
        <f>H299+I299+J299</f>
        <v>0</v>
      </c>
      <c r="Q299" s="192">
        <f>K299+L299+M299</f>
        <v>0</v>
      </c>
      <c r="R299" s="206">
        <f>B299+C299+D299+E299+F299+G299+H299+I299+J299+K299+L299+M299</f>
        <v>0</v>
      </c>
      <c r="S299" s="186">
        <f>TARGET!B299</f>
        <v>0</v>
      </c>
      <c r="T299" s="208" t="e">
        <f t="shared" si="40"/>
        <v>#DIV/0!</v>
      </c>
    </row>
    <row r="300" spans="1:21" ht="15.75" customHeight="1" x14ac:dyDescent="0.2">
      <c r="A300" s="55" t="s">
        <v>221</v>
      </c>
      <c r="B300" s="195">
        <f>JANUARY!B300</f>
        <v>0</v>
      </c>
      <c r="C300" s="82">
        <f>FEBRUARY!B300</f>
        <v>0</v>
      </c>
      <c r="D300" s="82">
        <f>MARCH!B300</f>
        <v>0</v>
      </c>
      <c r="E300" s="82">
        <f>APRIL!B300</f>
        <v>0</v>
      </c>
      <c r="F300" s="82">
        <f>MAY!B300</f>
        <v>0</v>
      </c>
      <c r="G300" s="82">
        <f>JUNE!B300</f>
        <v>0</v>
      </c>
      <c r="H300" s="82">
        <f>JULY!B300</f>
        <v>0</v>
      </c>
      <c r="I300" s="82">
        <f>AUGUST!B300</f>
        <v>0</v>
      </c>
      <c r="J300" s="82">
        <f>SEPTEMBER!B300</f>
        <v>0</v>
      </c>
      <c r="K300" s="82">
        <f>OCTOBER!B300</f>
        <v>0</v>
      </c>
      <c r="L300" s="82">
        <f>NOVEMBER!B300</f>
        <v>0</v>
      </c>
      <c r="M300" s="82">
        <f>DECEMBER!B300</f>
        <v>0</v>
      </c>
      <c r="N300" s="192">
        <f t="shared" ref="N300:N306" si="41">B300+C300+D300</f>
        <v>0</v>
      </c>
      <c r="O300" s="192">
        <f t="shared" ref="O300:O306" si="42">E300+F300+G300</f>
        <v>0</v>
      </c>
      <c r="P300" s="192">
        <f t="shared" ref="P300:P306" si="43">H300+I300+J300</f>
        <v>0</v>
      </c>
      <c r="Q300" s="192">
        <f t="shared" ref="Q300:Q306" si="44">K300+L300+M300</f>
        <v>0</v>
      </c>
      <c r="R300" s="206">
        <f t="shared" ref="R300:R306" si="45">B300+C300+D300+E300+F300+G300+H300+I300+J300+K300+L300+M300</f>
        <v>0</v>
      </c>
      <c r="S300" s="186">
        <f>TARGET!B300</f>
        <v>0</v>
      </c>
      <c r="T300" s="208" t="e">
        <f t="shared" si="40"/>
        <v>#DIV/0!</v>
      </c>
    </row>
    <row r="301" spans="1:21" ht="15.75" customHeight="1" x14ac:dyDescent="0.25">
      <c r="A301" s="55" t="s">
        <v>140</v>
      </c>
      <c r="B301" s="162">
        <f>JANUARY!B301</f>
        <v>0</v>
      </c>
      <c r="C301" s="164">
        <f>FEBRUARY!B301</f>
        <v>0</v>
      </c>
      <c r="D301" s="164">
        <f>MARCH!B301</f>
        <v>0</v>
      </c>
      <c r="E301" s="164">
        <f>APRIL!B301</f>
        <v>0</v>
      </c>
      <c r="F301" s="164">
        <f>MAY!B301</f>
        <v>0</v>
      </c>
      <c r="G301" s="164">
        <f>JUNE!B301</f>
        <v>0</v>
      </c>
      <c r="H301" s="164">
        <f>JULY!B301</f>
        <v>0</v>
      </c>
      <c r="I301" s="164">
        <f>AUGUST!B301</f>
        <v>0</v>
      </c>
      <c r="J301" s="164">
        <f>SEPTEMBER!B301</f>
        <v>0</v>
      </c>
      <c r="K301" s="164">
        <f>OCTOBER!B301</f>
        <v>0</v>
      </c>
      <c r="L301" s="164">
        <f>NOVEMBER!B301</f>
        <v>0</v>
      </c>
      <c r="M301" s="164">
        <f>DECEMBER!B301</f>
        <v>0</v>
      </c>
      <c r="N301" s="190">
        <f t="shared" si="41"/>
        <v>0</v>
      </c>
      <c r="O301" s="190">
        <f t="shared" si="42"/>
        <v>0</v>
      </c>
      <c r="P301" s="190">
        <f t="shared" si="43"/>
        <v>0</v>
      </c>
      <c r="Q301" s="190">
        <f t="shared" si="44"/>
        <v>0</v>
      </c>
      <c r="R301" s="200">
        <f t="shared" si="45"/>
        <v>0</v>
      </c>
      <c r="S301" s="162">
        <f>TARGET!B301</f>
        <v>0</v>
      </c>
      <c r="T301" s="208" t="e">
        <f t="shared" si="40"/>
        <v>#DIV/0!</v>
      </c>
    </row>
    <row r="302" spans="1:21" ht="15.75" customHeight="1" x14ac:dyDescent="0.2">
      <c r="A302" s="55" t="s">
        <v>141</v>
      </c>
      <c r="B302" s="195">
        <f>JANUARY!B302</f>
        <v>0</v>
      </c>
      <c r="C302" s="82">
        <f>FEBRUARY!B302</f>
        <v>0</v>
      </c>
      <c r="D302" s="82">
        <f>MARCH!B302</f>
        <v>0</v>
      </c>
      <c r="E302" s="82">
        <f>APRIL!B302</f>
        <v>0</v>
      </c>
      <c r="F302" s="82">
        <f>MAY!B302</f>
        <v>0</v>
      </c>
      <c r="G302" s="82">
        <f>JUNE!B302</f>
        <v>0</v>
      </c>
      <c r="H302" s="82">
        <f>JULY!B302</f>
        <v>0</v>
      </c>
      <c r="I302" s="82">
        <f>AUGUST!B302</f>
        <v>0</v>
      </c>
      <c r="J302" s="82">
        <f>SEPTEMBER!B302</f>
        <v>0</v>
      </c>
      <c r="K302" s="82">
        <f>OCTOBER!B302</f>
        <v>0</v>
      </c>
      <c r="L302" s="82">
        <f>NOVEMBER!B302</f>
        <v>0</v>
      </c>
      <c r="M302" s="82">
        <f>DECEMBER!B302</f>
        <v>0</v>
      </c>
      <c r="N302" s="192">
        <f t="shared" si="41"/>
        <v>0</v>
      </c>
      <c r="O302" s="192">
        <f t="shared" si="42"/>
        <v>0</v>
      </c>
      <c r="P302" s="192">
        <f t="shared" si="43"/>
        <v>0</v>
      </c>
      <c r="Q302" s="192">
        <f t="shared" si="44"/>
        <v>0</v>
      </c>
      <c r="R302" s="206">
        <f t="shared" si="45"/>
        <v>0</v>
      </c>
      <c r="S302" s="186">
        <f>TARGET!B302</f>
        <v>0</v>
      </c>
      <c r="T302" s="208" t="e">
        <f t="shared" si="40"/>
        <v>#DIV/0!</v>
      </c>
    </row>
    <row r="303" spans="1:21" ht="15.75" customHeight="1" x14ac:dyDescent="0.2">
      <c r="A303" s="55" t="s">
        <v>222</v>
      </c>
      <c r="B303" s="195">
        <f>JANUARY!B303</f>
        <v>0</v>
      </c>
      <c r="C303" s="82">
        <f>FEBRUARY!B303</f>
        <v>0</v>
      </c>
      <c r="D303" s="82">
        <f>MARCH!B303</f>
        <v>0</v>
      </c>
      <c r="E303" s="82">
        <f>APRIL!B303</f>
        <v>0</v>
      </c>
      <c r="F303" s="82">
        <f>MAY!B303</f>
        <v>0</v>
      </c>
      <c r="G303" s="82">
        <f>JUNE!B303</f>
        <v>0</v>
      </c>
      <c r="H303" s="82">
        <f>JULY!B303</f>
        <v>0</v>
      </c>
      <c r="I303" s="82">
        <f>AUGUST!B303</f>
        <v>0</v>
      </c>
      <c r="J303" s="82">
        <f>SEPTEMBER!B303</f>
        <v>0</v>
      </c>
      <c r="K303" s="82">
        <f>OCTOBER!B303</f>
        <v>0</v>
      </c>
      <c r="L303" s="82">
        <f>NOVEMBER!B303</f>
        <v>0</v>
      </c>
      <c r="M303" s="82">
        <f>DECEMBER!B303</f>
        <v>0</v>
      </c>
      <c r="N303" s="192">
        <f t="shared" si="41"/>
        <v>0</v>
      </c>
      <c r="O303" s="192">
        <f t="shared" si="42"/>
        <v>0</v>
      </c>
      <c r="P303" s="192">
        <f t="shared" si="43"/>
        <v>0</v>
      </c>
      <c r="Q303" s="192">
        <f t="shared" si="44"/>
        <v>0</v>
      </c>
      <c r="R303" s="206">
        <f t="shared" si="45"/>
        <v>0</v>
      </c>
      <c r="S303" s="186">
        <f>TARGET!B303</f>
        <v>0</v>
      </c>
      <c r="T303" s="208" t="e">
        <f t="shared" si="40"/>
        <v>#DIV/0!</v>
      </c>
    </row>
    <row r="304" spans="1:21" ht="15.75" customHeight="1" x14ac:dyDescent="0.25">
      <c r="A304" s="55" t="s">
        <v>142</v>
      </c>
      <c r="B304" s="162">
        <f>JANUARY!B304</f>
        <v>0</v>
      </c>
      <c r="C304" s="164">
        <f>FEBRUARY!B304</f>
        <v>0</v>
      </c>
      <c r="D304" s="164">
        <f>MARCH!B304</f>
        <v>0</v>
      </c>
      <c r="E304" s="164">
        <f>APRIL!B304</f>
        <v>0</v>
      </c>
      <c r="F304" s="164">
        <f>MAY!B304</f>
        <v>0</v>
      </c>
      <c r="G304" s="164">
        <f>JUNE!B304</f>
        <v>0</v>
      </c>
      <c r="H304" s="164">
        <f>JULY!B304</f>
        <v>0</v>
      </c>
      <c r="I304" s="164">
        <f>AUGUST!B304</f>
        <v>0</v>
      </c>
      <c r="J304" s="164">
        <f>SEPTEMBER!B304</f>
        <v>0</v>
      </c>
      <c r="K304" s="164">
        <f>OCTOBER!B304</f>
        <v>0</v>
      </c>
      <c r="L304" s="164">
        <f>NOVEMBER!B304</f>
        <v>0</v>
      </c>
      <c r="M304" s="164">
        <f>DECEMBER!B304</f>
        <v>0</v>
      </c>
      <c r="N304" s="190">
        <f t="shared" si="41"/>
        <v>0</v>
      </c>
      <c r="O304" s="190">
        <f t="shared" si="42"/>
        <v>0</v>
      </c>
      <c r="P304" s="190">
        <f t="shared" si="43"/>
        <v>0</v>
      </c>
      <c r="Q304" s="190">
        <f t="shared" si="44"/>
        <v>0</v>
      </c>
      <c r="R304" s="200">
        <f t="shared" si="45"/>
        <v>0</v>
      </c>
      <c r="S304" s="162">
        <f>TARGET!B304</f>
        <v>0</v>
      </c>
      <c r="T304" s="208" t="e">
        <f t="shared" si="40"/>
        <v>#DIV/0!</v>
      </c>
    </row>
    <row r="305" spans="1:21" ht="15.75" customHeight="1" x14ac:dyDescent="0.2">
      <c r="A305" s="55" t="s">
        <v>22</v>
      </c>
      <c r="B305" s="195">
        <f>JANUARY!B305</f>
        <v>0</v>
      </c>
      <c r="C305" s="82">
        <f>FEBRUARY!B305</f>
        <v>0</v>
      </c>
      <c r="D305" s="82">
        <f>MARCH!B305</f>
        <v>0</v>
      </c>
      <c r="E305" s="82">
        <f>APRIL!B305</f>
        <v>0</v>
      </c>
      <c r="F305" s="82">
        <f>MAY!B305</f>
        <v>0</v>
      </c>
      <c r="G305" s="82">
        <f>JUNE!B305</f>
        <v>0</v>
      </c>
      <c r="H305" s="82">
        <f>JULY!B305</f>
        <v>0</v>
      </c>
      <c r="I305" s="82">
        <f>AUGUST!B305</f>
        <v>0</v>
      </c>
      <c r="J305" s="82">
        <f>SEPTEMBER!B305</f>
        <v>0</v>
      </c>
      <c r="K305" s="82">
        <f>OCTOBER!B305</f>
        <v>0</v>
      </c>
      <c r="L305" s="82">
        <f>NOVEMBER!B305</f>
        <v>0</v>
      </c>
      <c r="M305" s="82">
        <f>DECEMBER!B305</f>
        <v>0</v>
      </c>
      <c r="N305" s="192">
        <f t="shared" si="41"/>
        <v>0</v>
      </c>
      <c r="O305" s="192">
        <f t="shared" si="42"/>
        <v>0</v>
      </c>
      <c r="P305" s="192">
        <f t="shared" si="43"/>
        <v>0</v>
      </c>
      <c r="Q305" s="192">
        <f t="shared" si="44"/>
        <v>0</v>
      </c>
      <c r="R305" s="206">
        <f t="shared" si="45"/>
        <v>0</v>
      </c>
      <c r="S305" s="186">
        <f>TARGET!B305</f>
        <v>0</v>
      </c>
      <c r="T305" s="208" t="e">
        <f t="shared" si="40"/>
        <v>#DIV/0!</v>
      </c>
    </row>
    <row r="306" spans="1:21" ht="15.75" customHeight="1" x14ac:dyDescent="0.2">
      <c r="A306" s="55" t="s">
        <v>223</v>
      </c>
      <c r="B306" s="195">
        <f>JANUARY!B306</f>
        <v>0</v>
      </c>
      <c r="C306" s="82">
        <f>FEBRUARY!B306</f>
        <v>0</v>
      </c>
      <c r="D306" s="82">
        <f>MARCH!B306</f>
        <v>0</v>
      </c>
      <c r="E306" s="82">
        <f>APRIL!B306</f>
        <v>0</v>
      </c>
      <c r="F306" s="82">
        <f>MAY!B306</f>
        <v>0</v>
      </c>
      <c r="G306" s="82">
        <f>JUNE!B306</f>
        <v>0</v>
      </c>
      <c r="H306" s="82">
        <f>JULY!B306</f>
        <v>0</v>
      </c>
      <c r="I306" s="82">
        <f>AUGUST!B306</f>
        <v>0</v>
      </c>
      <c r="J306" s="82">
        <f>SEPTEMBER!B306</f>
        <v>0</v>
      </c>
      <c r="K306" s="82">
        <f>OCTOBER!B306</f>
        <v>0</v>
      </c>
      <c r="L306" s="82">
        <f>NOVEMBER!B306</f>
        <v>0</v>
      </c>
      <c r="M306" s="82">
        <f>DECEMBER!B306</f>
        <v>0</v>
      </c>
      <c r="N306" s="192">
        <f t="shared" si="41"/>
        <v>0</v>
      </c>
      <c r="O306" s="192">
        <f t="shared" si="42"/>
        <v>0</v>
      </c>
      <c r="P306" s="192">
        <f t="shared" si="43"/>
        <v>0</v>
      </c>
      <c r="Q306" s="192">
        <f t="shared" si="44"/>
        <v>0</v>
      </c>
      <c r="R306" s="206">
        <f t="shared" si="45"/>
        <v>0</v>
      </c>
      <c r="S306" s="186">
        <f>TARGET!B306</f>
        <v>0</v>
      </c>
      <c r="T306" s="208" t="e">
        <f t="shared" si="40"/>
        <v>#DIV/0!</v>
      </c>
    </row>
    <row r="307" spans="1:21" ht="15.75" customHeight="1" x14ac:dyDescent="0.2">
      <c r="A307" s="55" t="s">
        <v>143</v>
      </c>
      <c r="B307" s="162">
        <f>JANUARY!B307</f>
        <v>0</v>
      </c>
      <c r="C307" s="164">
        <f>FEBRUARY!B307</f>
        <v>0</v>
      </c>
      <c r="D307" s="193">
        <f>MARCH!B307</f>
        <v>0</v>
      </c>
      <c r="E307" s="193">
        <f>APRIL!B307</f>
        <v>0</v>
      </c>
      <c r="F307" s="193">
        <f>MAY!B307</f>
        <v>0</v>
      </c>
      <c r="G307" s="193">
        <f>JUNE!B307</f>
        <v>0</v>
      </c>
      <c r="H307" s="193">
        <f>JULY!B307</f>
        <v>0</v>
      </c>
      <c r="I307" s="193">
        <f>AUGUST!B307</f>
        <v>0</v>
      </c>
      <c r="J307" s="193">
        <f>SEPTEMBER!B307</f>
        <v>0</v>
      </c>
      <c r="K307" s="193">
        <f>OCTOBER!B307</f>
        <v>0</v>
      </c>
      <c r="L307" s="193">
        <f>NOVEMBER!B307</f>
        <v>0</v>
      </c>
      <c r="M307" s="193">
        <f>DECEMBER!B307</f>
        <v>0</v>
      </c>
      <c r="N307" s="194">
        <f>B307+C307+D307</f>
        <v>0</v>
      </c>
      <c r="O307" s="194">
        <f>E307+F307+G307</f>
        <v>0</v>
      </c>
      <c r="P307" s="194">
        <f>H307+I307+J307</f>
        <v>0</v>
      </c>
      <c r="Q307" s="194">
        <f>K307+L307+M307</f>
        <v>0</v>
      </c>
      <c r="R307" s="206">
        <f>B307+C307+D307+E307+F307+G307+H307+I307+J307+K307+L307+M307</f>
        <v>0</v>
      </c>
      <c r="S307" s="162">
        <f>TARGET!B307</f>
        <v>0</v>
      </c>
      <c r="T307" s="208" t="e">
        <f t="shared" si="40"/>
        <v>#DIV/0!</v>
      </c>
    </row>
    <row r="308" spans="1:21" ht="15.75" customHeight="1" x14ac:dyDescent="0.2">
      <c r="A308" s="55" t="s">
        <v>144</v>
      </c>
      <c r="B308" s="195">
        <f>JANUARY!B308</f>
        <v>0</v>
      </c>
      <c r="C308" s="82">
        <f>MARCH!B308</f>
        <v>0</v>
      </c>
      <c r="D308" s="82">
        <f>MARCH!B308</f>
        <v>0</v>
      </c>
      <c r="E308" s="82">
        <f>APRIL!B308</f>
        <v>0</v>
      </c>
      <c r="F308" s="82">
        <f>MAY!B308</f>
        <v>0</v>
      </c>
      <c r="G308" s="82">
        <f>JUNE!B308</f>
        <v>0</v>
      </c>
      <c r="H308" s="82">
        <f>JULY!B308</f>
        <v>0</v>
      </c>
      <c r="I308" s="82">
        <f>AUGUST!B308</f>
        <v>0</v>
      </c>
      <c r="J308" s="82">
        <f>SEPTEMBER!B308</f>
        <v>0</v>
      </c>
      <c r="K308" s="82">
        <f>OCTOBER!B308</f>
        <v>0</v>
      </c>
      <c r="L308" s="82">
        <f>NOVEMBER!B308</f>
        <v>0</v>
      </c>
      <c r="M308" s="82">
        <f>DECEMBER!B308</f>
        <v>0</v>
      </c>
      <c r="N308" s="192">
        <f>B308+C308+D308</f>
        <v>0</v>
      </c>
      <c r="O308" s="192">
        <f>E308+F308+G308</f>
        <v>0</v>
      </c>
      <c r="P308" s="192">
        <f>H308+I308+J308</f>
        <v>0</v>
      </c>
      <c r="Q308" s="192">
        <f>K308+L308+M308</f>
        <v>0</v>
      </c>
      <c r="R308" s="206">
        <f>B308+C308+D308+E308+F308+G308+H308+I308+J308+K308+L308+M308</f>
        <v>0</v>
      </c>
      <c r="S308" s="186">
        <f>TARGET!B308</f>
        <v>0</v>
      </c>
      <c r="T308" s="208" t="e">
        <f t="shared" si="40"/>
        <v>#DIV/0!</v>
      </c>
    </row>
    <row r="309" spans="1:21" ht="15.75" customHeight="1" x14ac:dyDescent="0.2">
      <c r="A309" s="55" t="s">
        <v>224</v>
      </c>
      <c r="B309" s="195">
        <f>JANUARY!B309</f>
        <v>0</v>
      </c>
      <c r="C309" s="82">
        <f>MARCH!B309</f>
        <v>0</v>
      </c>
      <c r="D309" s="82">
        <f>MARCH!B309</f>
        <v>0</v>
      </c>
      <c r="E309" s="82">
        <f>APRIL!B309</f>
        <v>0</v>
      </c>
      <c r="F309" s="82">
        <f>MAY!B309</f>
        <v>0</v>
      </c>
      <c r="G309" s="82">
        <f>JUNE!B309</f>
        <v>0</v>
      </c>
      <c r="H309" s="82">
        <f>JULY!B309</f>
        <v>0</v>
      </c>
      <c r="I309" s="82">
        <f>AUGUST!B309</f>
        <v>0</v>
      </c>
      <c r="J309" s="82">
        <f>SEPTEMBER!B309</f>
        <v>0</v>
      </c>
      <c r="K309" s="82">
        <f>OCTOBER!B309</f>
        <v>0</v>
      </c>
      <c r="L309" s="82">
        <f>NOVEMBER!B309</f>
        <v>0</v>
      </c>
      <c r="M309" s="82">
        <f>DECEMBER!B309</f>
        <v>0</v>
      </c>
      <c r="N309" s="192">
        <f>B309+C309+D309</f>
        <v>0</v>
      </c>
      <c r="O309" s="192">
        <f>E309+F309+G309</f>
        <v>0</v>
      </c>
      <c r="P309" s="192">
        <f>H309+I309+J309</f>
        <v>0</v>
      </c>
      <c r="Q309" s="192">
        <f>K309+L309+M309</f>
        <v>0</v>
      </c>
      <c r="R309" s="206">
        <f>B309+C309+D309+E309+F309+G309+H309+I309+J309+K309+L309+M309</f>
        <v>0</v>
      </c>
      <c r="S309" s="186">
        <f>TARGET!B309</f>
        <v>0</v>
      </c>
      <c r="T309" s="208" t="e">
        <f t="shared" si="40"/>
        <v>#DIV/0!</v>
      </c>
    </row>
    <row r="310" spans="1:21" ht="15.75" customHeight="1" x14ac:dyDescent="0.2">
      <c r="A310" s="55" t="s">
        <v>145</v>
      </c>
      <c r="B310" s="196">
        <f>JANUARY!B310</f>
        <v>0</v>
      </c>
      <c r="C310" s="82">
        <f>MARCH!B310</f>
        <v>0</v>
      </c>
      <c r="D310" s="82">
        <f>MARCH!B310</f>
        <v>0</v>
      </c>
      <c r="E310" s="82">
        <f>APRIL!B310</f>
        <v>0</v>
      </c>
      <c r="F310" s="82">
        <f>MAY!B310</f>
        <v>0</v>
      </c>
      <c r="G310" s="82">
        <f>JUNE!B310</f>
        <v>0</v>
      </c>
      <c r="H310" s="82">
        <f>JULY!B310</f>
        <v>0</v>
      </c>
      <c r="I310" s="82">
        <f>AUGUST!B310</f>
        <v>0</v>
      </c>
      <c r="J310" s="82">
        <f>SEPTEMBER!B310</f>
        <v>0</v>
      </c>
      <c r="K310" s="82">
        <f>OCTOBER!B310</f>
        <v>0</v>
      </c>
      <c r="L310" s="82">
        <f>NOVEMBER!B310</f>
        <v>0</v>
      </c>
      <c r="M310" s="82">
        <f>DECEMBER!B310</f>
        <v>0</v>
      </c>
      <c r="N310" s="192">
        <f>B310+C310+D310</f>
        <v>0</v>
      </c>
      <c r="O310" s="192">
        <f>E310+F310+G310</f>
        <v>0</v>
      </c>
      <c r="P310" s="192">
        <f>H310+I310+J310</f>
        <v>0</v>
      </c>
      <c r="Q310" s="192">
        <f>K310+L310+M310</f>
        <v>0</v>
      </c>
      <c r="R310" s="206">
        <f>B310+C310+D310+E310+F310+G310+H310+I310+J310+K310+L310+M310</f>
        <v>0</v>
      </c>
      <c r="S310" s="223">
        <f>TARGET!B310</f>
        <v>0</v>
      </c>
      <c r="T310" s="215" t="e">
        <f t="shared" si="40"/>
        <v>#DIV/0!</v>
      </c>
    </row>
    <row r="311" spans="1:21" ht="15" customHeight="1" x14ac:dyDescent="0.25">
      <c r="A311" s="60" t="s">
        <v>360</v>
      </c>
      <c r="B311" s="168"/>
      <c r="C311" s="169"/>
      <c r="D311" s="169"/>
      <c r="E311" s="169"/>
      <c r="F311" s="169"/>
      <c r="G311" s="169"/>
      <c r="H311" s="169"/>
      <c r="I311" s="169"/>
      <c r="J311" s="169"/>
      <c r="K311" s="169"/>
      <c r="L311" s="169"/>
      <c r="M311" s="169"/>
      <c r="N311" s="169"/>
      <c r="O311" s="169"/>
      <c r="P311" s="169"/>
      <c r="Q311" s="169"/>
      <c r="R311" s="207"/>
      <c r="S311" s="207"/>
      <c r="T311" s="216"/>
    </row>
    <row r="312" spans="1:21" ht="15.75" customHeight="1" x14ac:dyDescent="0.2">
      <c r="A312" s="55" t="s">
        <v>147</v>
      </c>
      <c r="B312" s="195">
        <f>JANUARY!B312</f>
        <v>0</v>
      </c>
      <c r="C312" s="91">
        <f>FEBRUARY!B312</f>
        <v>0</v>
      </c>
      <c r="D312" s="91">
        <f>MARCH!B312</f>
        <v>0</v>
      </c>
      <c r="E312" s="91">
        <f>APRIL!B312</f>
        <v>0</v>
      </c>
      <c r="F312" s="91">
        <f>MAY!B312</f>
        <v>0</v>
      </c>
      <c r="G312" s="91">
        <f>JUNE!B312</f>
        <v>0</v>
      </c>
      <c r="H312" s="91">
        <f>JULY!B312</f>
        <v>0</v>
      </c>
      <c r="I312" s="91">
        <f>AUGUST!B312</f>
        <v>0</v>
      </c>
      <c r="J312" s="91">
        <f>SEPTEMBER!B312</f>
        <v>0</v>
      </c>
      <c r="K312" s="91">
        <f>OCTOBER!B312</f>
        <v>0</v>
      </c>
      <c r="L312" s="91">
        <f>NOVEMBER!B312</f>
        <v>0</v>
      </c>
      <c r="M312" s="91">
        <f>DECEMBER!B312</f>
        <v>0</v>
      </c>
      <c r="N312" s="219">
        <f>B312+C312+D312</f>
        <v>0</v>
      </c>
      <c r="O312" s="219">
        <f>E312+F312+G312</f>
        <v>0</v>
      </c>
      <c r="P312" s="219">
        <f>H312+I312+J312</f>
        <v>0</v>
      </c>
      <c r="Q312" s="219">
        <f>K312+L312+M312</f>
        <v>0</v>
      </c>
      <c r="R312" s="222">
        <f>B312+C312+D312+E312+F312+G312+H312+I312+J312+K312+L312+M312</f>
        <v>0</v>
      </c>
      <c r="S312" s="186">
        <f>TARGET!B312</f>
        <v>0</v>
      </c>
      <c r="T312" s="217" t="e">
        <f t="shared" si="40"/>
        <v>#DIV/0!</v>
      </c>
    </row>
    <row r="313" spans="1:21" ht="15.75" customHeight="1" x14ac:dyDescent="0.25">
      <c r="A313" s="61" t="s">
        <v>230</v>
      </c>
      <c r="B313" s="195">
        <f>JANUARY!B313</f>
        <v>0</v>
      </c>
      <c r="C313" s="82">
        <f>FEBRUARY!B313</f>
        <v>0</v>
      </c>
      <c r="D313" s="82">
        <f>MARCH!B313</f>
        <v>0</v>
      </c>
      <c r="E313" s="82">
        <f>APRIL!B313</f>
        <v>0</v>
      </c>
      <c r="F313" s="82">
        <f>MAY!B313</f>
        <v>0</v>
      </c>
      <c r="G313" s="82">
        <f>JUNE!B313</f>
        <v>0</v>
      </c>
      <c r="H313" s="82">
        <f>JULY!B313</f>
        <v>0</v>
      </c>
      <c r="I313" s="82">
        <f>AUGUST!B313</f>
        <v>0</v>
      </c>
      <c r="J313" s="82">
        <f>SEPTEMBER!B313</f>
        <v>0</v>
      </c>
      <c r="K313" s="82">
        <f>OCTOBER!B313</f>
        <v>0</v>
      </c>
      <c r="L313" s="82">
        <f>NOVEMBER!B313</f>
        <v>0</v>
      </c>
      <c r="M313" s="82">
        <f>DECEMBER!B313</f>
        <v>0</v>
      </c>
      <c r="N313" s="192">
        <f>B313+C313+D313</f>
        <v>0</v>
      </c>
      <c r="O313" s="192">
        <f>E313+F313+G313</f>
        <v>0</v>
      </c>
      <c r="P313" s="192">
        <f>H313+I313+J313</f>
        <v>0</v>
      </c>
      <c r="Q313" s="192">
        <f>K313+L313+M313</f>
        <v>0</v>
      </c>
      <c r="R313" s="206">
        <f>B313+C313+D313+E313+F313+G313+H313+I313+J313+K313+L313+M313</f>
        <v>0</v>
      </c>
      <c r="S313" s="186">
        <f>TARGET!B313</f>
        <v>0</v>
      </c>
      <c r="T313" s="217" t="e">
        <f t="shared" si="40"/>
        <v>#DIV/0!</v>
      </c>
    </row>
    <row r="314" spans="1:21" ht="15.75" customHeight="1" x14ac:dyDescent="0.2">
      <c r="A314" s="57" t="s">
        <v>148</v>
      </c>
      <c r="B314" s="195">
        <f>JANUARY!B314</f>
        <v>0</v>
      </c>
      <c r="C314" s="82">
        <f>FEBRUARY!B314</f>
        <v>0</v>
      </c>
      <c r="D314" s="82">
        <f>MARCH!B314</f>
        <v>0</v>
      </c>
      <c r="E314" s="82">
        <f>APRIL!B314</f>
        <v>0</v>
      </c>
      <c r="F314" s="82">
        <f>MAY!B314</f>
        <v>0</v>
      </c>
      <c r="G314" s="82">
        <f>JUNE!B314</f>
        <v>0</v>
      </c>
      <c r="H314" s="82">
        <f>JULY!B314</f>
        <v>0</v>
      </c>
      <c r="I314" s="82">
        <f>AUGUST!B314</f>
        <v>0</v>
      </c>
      <c r="J314" s="82">
        <f>SEPTEMBER!B314</f>
        <v>0</v>
      </c>
      <c r="K314" s="82">
        <f>OCTOBER!B314</f>
        <v>0</v>
      </c>
      <c r="L314" s="82">
        <f>NOVEMBER!B314</f>
        <v>0</v>
      </c>
      <c r="M314" s="82">
        <f>DECEMBER!B314</f>
        <v>0</v>
      </c>
      <c r="N314" s="192">
        <f t="shared" ref="N314:N319" si="46">B314+C314+D314</f>
        <v>0</v>
      </c>
      <c r="O314" s="192">
        <f t="shared" ref="O314:O319" si="47">E314+F314+G314</f>
        <v>0</v>
      </c>
      <c r="P314" s="192">
        <f t="shared" ref="P314:P319" si="48">H314+I314+J314</f>
        <v>0</v>
      </c>
      <c r="Q314" s="192">
        <f t="shared" ref="Q314:Q319" si="49">K314+L314+M314</f>
        <v>0</v>
      </c>
      <c r="R314" s="206">
        <f t="shared" ref="R314:R319" si="50">B314+C314+D314+E314+F314+G314+H314+I314+J314+K314+L314+M314</f>
        <v>0</v>
      </c>
      <c r="S314" s="186">
        <f>TARGET!B314</f>
        <v>0</v>
      </c>
      <c r="T314" s="217" t="e">
        <f t="shared" si="40"/>
        <v>#DIV/0!</v>
      </c>
    </row>
    <row r="315" spans="1:21" ht="15.75" customHeight="1" x14ac:dyDescent="0.2">
      <c r="A315" s="76" t="s">
        <v>356</v>
      </c>
      <c r="B315" s="166"/>
      <c r="C315" s="167"/>
      <c r="D315" s="167"/>
      <c r="E315" s="167"/>
      <c r="F315" s="167"/>
      <c r="G315" s="167"/>
      <c r="H315" s="167"/>
      <c r="I315" s="167"/>
      <c r="J315" s="167"/>
      <c r="K315" s="167"/>
      <c r="L315" s="167"/>
      <c r="M315" s="167"/>
      <c r="N315" s="167"/>
      <c r="O315" s="167"/>
      <c r="P315" s="167"/>
      <c r="Q315" s="167"/>
      <c r="R315" s="167"/>
      <c r="S315" s="167"/>
      <c r="T315" s="209"/>
    </row>
    <row r="316" spans="1:21" ht="15.75" customHeight="1" x14ac:dyDescent="0.2">
      <c r="A316" s="57" t="s">
        <v>149</v>
      </c>
      <c r="B316" s="195">
        <f>JANUARY!B316</f>
        <v>0</v>
      </c>
      <c r="C316" s="91">
        <f>FEBRUARY!B316</f>
        <v>5</v>
      </c>
      <c r="D316" s="91">
        <f>MARCH!B316</f>
        <v>4</v>
      </c>
      <c r="E316" s="91">
        <f>APRIL!B316</f>
        <v>0</v>
      </c>
      <c r="F316" s="91">
        <f>MAY!B316</f>
        <v>0</v>
      </c>
      <c r="G316" s="91">
        <f>JUNE!B316</f>
        <v>0</v>
      </c>
      <c r="H316" s="91">
        <f>JULY!B316</f>
        <v>0</v>
      </c>
      <c r="I316" s="91">
        <f>AUGUST!B316</f>
        <v>0</v>
      </c>
      <c r="J316" s="91">
        <f>SEPTEMBER!B316</f>
        <v>0</v>
      </c>
      <c r="K316" s="91">
        <f>OCTOBER!B316</f>
        <v>0</v>
      </c>
      <c r="L316" s="91">
        <f>NOVEMBER!B316</f>
        <v>0</v>
      </c>
      <c r="M316" s="91">
        <f>DECEMBER!B316</f>
        <v>0</v>
      </c>
      <c r="N316" s="219">
        <f t="shared" si="46"/>
        <v>9</v>
      </c>
      <c r="O316" s="219">
        <f t="shared" si="47"/>
        <v>0</v>
      </c>
      <c r="P316" s="219">
        <f t="shared" si="48"/>
        <v>0</v>
      </c>
      <c r="Q316" s="219">
        <f t="shared" si="49"/>
        <v>0</v>
      </c>
      <c r="R316" s="222">
        <f t="shared" si="50"/>
        <v>9</v>
      </c>
      <c r="S316" s="186">
        <f>TARGET!B316</f>
        <v>0</v>
      </c>
      <c r="T316" s="217" t="e">
        <f t="shared" si="40"/>
        <v>#DIV/0!</v>
      </c>
      <c r="U316" s="280">
        <f>R316</f>
        <v>9</v>
      </c>
    </row>
    <row r="317" spans="1:21" ht="15.75" customHeight="1" x14ac:dyDescent="0.25">
      <c r="A317" s="55" t="s">
        <v>357</v>
      </c>
      <c r="B317" s="162">
        <f>JANUARY!B317</f>
        <v>31</v>
      </c>
      <c r="C317" s="164">
        <f>FEBRUARY!B317</f>
        <v>177</v>
      </c>
      <c r="D317" s="164">
        <f>MARCH!B317</f>
        <v>77</v>
      </c>
      <c r="E317" s="164">
        <f>APRIL!B317</f>
        <v>0</v>
      </c>
      <c r="F317" s="164">
        <f>MAY!B317</f>
        <v>0</v>
      </c>
      <c r="G317" s="164">
        <f>JUNE!B317</f>
        <v>0</v>
      </c>
      <c r="H317" s="164">
        <f>JULY!B317</f>
        <v>0</v>
      </c>
      <c r="I317" s="164">
        <f>AUGUST!B317</f>
        <v>0</v>
      </c>
      <c r="J317" s="164">
        <f>SEPTEMBER!B317</f>
        <v>0</v>
      </c>
      <c r="K317" s="164">
        <f>OCTOBER!B317</f>
        <v>0</v>
      </c>
      <c r="L317" s="164">
        <f>NOVEMBER!B317</f>
        <v>0</v>
      </c>
      <c r="M317" s="164">
        <f>DECEMBER!B317</f>
        <v>0</v>
      </c>
      <c r="N317" s="190">
        <f t="shared" si="46"/>
        <v>285</v>
      </c>
      <c r="O317" s="190">
        <f t="shared" si="47"/>
        <v>0</v>
      </c>
      <c r="P317" s="190">
        <f t="shared" si="48"/>
        <v>0</v>
      </c>
      <c r="Q317" s="190">
        <f t="shared" si="49"/>
        <v>0</v>
      </c>
      <c r="R317" s="200">
        <f t="shared" si="50"/>
        <v>285</v>
      </c>
      <c r="S317" s="162">
        <f>TARGET!B317</f>
        <v>0</v>
      </c>
      <c r="T317" s="217" t="e">
        <f t="shared" si="40"/>
        <v>#DIV/0!</v>
      </c>
    </row>
    <row r="318" spans="1:21" ht="15.75" customHeight="1" x14ac:dyDescent="0.2">
      <c r="A318" s="55" t="s">
        <v>22</v>
      </c>
      <c r="B318" s="195">
        <f>JANUARY!B318</f>
        <v>10</v>
      </c>
      <c r="C318" s="82">
        <f>FEBRUARY!B318</f>
        <v>88</v>
      </c>
      <c r="D318" s="82">
        <f>MARCH!B318</f>
        <v>52</v>
      </c>
      <c r="E318" s="82">
        <f>APRIL!B318</f>
        <v>0</v>
      </c>
      <c r="F318" s="82">
        <f>MAY!B318</f>
        <v>0</v>
      </c>
      <c r="G318" s="82">
        <f>JUNE!B318</f>
        <v>0</v>
      </c>
      <c r="H318" s="82">
        <f>JULY!B318</f>
        <v>0</v>
      </c>
      <c r="I318" s="82">
        <f>AUGUST!B318</f>
        <v>0</v>
      </c>
      <c r="J318" s="82">
        <f>SEPTEMBER!B318</f>
        <v>0</v>
      </c>
      <c r="K318" s="82">
        <f>OCTOBER!B318</f>
        <v>0</v>
      </c>
      <c r="L318" s="82">
        <f>NOVEMBER!B318</f>
        <v>0</v>
      </c>
      <c r="M318" s="82">
        <f>DECEMBER!B318</f>
        <v>0</v>
      </c>
      <c r="N318" s="192">
        <f t="shared" si="46"/>
        <v>150</v>
      </c>
      <c r="O318" s="192">
        <f t="shared" si="47"/>
        <v>0</v>
      </c>
      <c r="P318" s="192">
        <f t="shared" si="48"/>
        <v>0</v>
      </c>
      <c r="Q318" s="192">
        <f t="shared" si="49"/>
        <v>0</v>
      </c>
      <c r="R318" s="206">
        <f t="shared" si="50"/>
        <v>150</v>
      </c>
      <c r="S318" s="186">
        <f>TARGET!B318</f>
        <v>0</v>
      </c>
      <c r="T318" s="217" t="e">
        <f t="shared" si="40"/>
        <v>#DIV/0!</v>
      </c>
    </row>
    <row r="319" spans="1:21" ht="15.75" customHeight="1" x14ac:dyDescent="0.2">
      <c r="A319" s="55" t="s">
        <v>223</v>
      </c>
      <c r="B319" s="196">
        <f>JANUARY!B319</f>
        <v>21</v>
      </c>
      <c r="C319" s="82">
        <f>FEBRUARY!B319</f>
        <v>89</v>
      </c>
      <c r="D319" s="82">
        <f>MARCH!B319</f>
        <v>25</v>
      </c>
      <c r="E319" s="82">
        <f>APRIL!B319</f>
        <v>0</v>
      </c>
      <c r="F319" s="82">
        <f>MAY!B319</f>
        <v>0</v>
      </c>
      <c r="G319" s="82">
        <f>JUNE!B319</f>
        <v>0</v>
      </c>
      <c r="H319" s="82">
        <f>JULY!B319</f>
        <v>0</v>
      </c>
      <c r="I319" s="82">
        <f>AUGUST!B319</f>
        <v>0</v>
      </c>
      <c r="J319" s="82">
        <f>SEPTEMBER!B319</f>
        <v>0</v>
      </c>
      <c r="K319" s="82">
        <f>OCTOBER!B319</f>
        <v>0</v>
      </c>
      <c r="L319" s="82">
        <f>NOVEMBER!B319</f>
        <v>0</v>
      </c>
      <c r="M319" s="82">
        <f>DECEMBER!B319</f>
        <v>0</v>
      </c>
      <c r="N319" s="192">
        <f t="shared" si="46"/>
        <v>135</v>
      </c>
      <c r="O319" s="192">
        <f t="shared" si="47"/>
        <v>0</v>
      </c>
      <c r="P319" s="192">
        <f t="shared" si="48"/>
        <v>0</v>
      </c>
      <c r="Q319" s="192">
        <f t="shared" si="49"/>
        <v>0</v>
      </c>
      <c r="R319" s="206">
        <f t="shared" si="50"/>
        <v>135</v>
      </c>
      <c r="S319" s="223">
        <f>TARGET!B319</f>
        <v>0</v>
      </c>
      <c r="T319" s="271" t="e">
        <f t="shared" si="40"/>
        <v>#DIV/0!</v>
      </c>
    </row>
    <row r="320" spans="1:21" ht="30.75" customHeight="1" x14ac:dyDescent="0.2">
      <c r="A320" s="268" t="s">
        <v>444</v>
      </c>
      <c r="B320" s="272"/>
      <c r="C320" s="273"/>
      <c r="D320" s="273"/>
      <c r="E320" s="273"/>
      <c r="F320" s="273"/>
      <c r="G320" s="273"/>
      <c r="H320" s="273"/>
      <c r="I320" s="273"/>
      <c r="J320" s="273"/>
      <c r="K320" s="273"/>
      <c r="L320" s="273"/>
      <c r="M320" s="273"/>
      <c r="N320" s="274"/>
      <c r="O320" s="274"/>
      <c r="P320" s="274"/>
      <c r="Q320" s="274"/>
      <c r="R320" s="275"/>
      <c r="S320" s="276"/>
      <c r="T320" s="277"/>
    </row>
    <row r="321" spans="1:21" ht="15.75" customHeight="1" x14ac:dyDescent="0.2">
      <c r="A321" s="269" t="s">
        <v>446</v>
      </c>
      <c r="B321" s="278">
        <f>JANUARY!B321</f>
        <v>0</v>
      </c>
      <c r="C321" s="33">
        <f>FEBRUARY!B321</f>
        <v>0</v>
      </c>
      <c r="D321" s="33">
        <f>MARCH!B321</f>
        <v>0</v>
      </c>
      <c r="E321" s="33">
        <f>APRIL!B321</f>
        <v>0</v>
      </c>
      <c r="F321" s="33">
        <f>MAY!B321</f>
        <v>0</v>
      </c>
      <c r="G321" s="33">
        <f>JUNE!B321</f>
        <v>0</v>
      </c>
      <c r="H321" s="33">
        <f>JULY!B321</f>
        <v>0</v>
      </c>
      <c r="I321" s="33">
        <f>AUGUST!B321</f>
        <v>0</v>
      </c>
      <c r="J321" s="33">
        <f>SEPTEMBER!B321</f>
        <v>0</v>
      </c>
      <c r="K321" s="33">
        <f>OCTOBER!B321</f>
        <v>0</v>
      </c>
      <c r="L321" s="33">
        <f>NOVEMBER!B321</f>
        <v>0</v>
      </c>
      <c r="M321" s="33">
        <f>DECEMBER!B321</f>
        <v>0</v>
      </c>
      <c r="N321" s="221">
        <f>B321+C321+D321</f>
        <v>0</v>
      </c>
      <c r="O321" s="221">
        <f>E321+F321+G321</f>
        <v>0</v>
      </c>
      <c r="P321" s="221">
        <f>H321+I321+J321</f>
        <v>0</v>
      </c>
      <c r="Q321" s="221">
        <f>K321+L321+M321</f>
        <v>0</v>
      </c>
      <c r="R321" s="199">
        <f>B321+C321+D321+E321+F321+G321+H321+I321+J321+K321+L321+M321</f>
        <v>0</v>
      </c>
      <c r="S321" s="223">
        <f>TARGET!B321</f>
        <v>0</v>
      </c>
      <c r="T321" s="271" t="e">
        <f>IF(R321/S321=0,"NONE",R321/S321)</f>
        <v>#DIV/0!</v>
      </c>
    </row>
    <row r="322" spans="1:21" ht="15.75" customHeight="1" x14ac:dyDescent="0.2">
      <c r="A322" s="269" t="s">
        <v>447</v>
      </c>
      <c r="B322" s="278">
        <f>JANUARY!B322</f>
        <v>0</v>
      </c>
      <c r="C322" s="33">
        <f>FEBRUARY!B322</f>
        <v>0</v>
      </c>
      <c r="D322" s="33">
        <f>MARCH!B322</f>
        <v>0</v>
      </c>
      <c r="E322" s="33">
        <f>APRIL!B322</f>
        <v>0</v>
      </c>
      <c r="F322" s="33">
        <f>MAY!B322</f>
        <v>0</v>
      </c>
      <c r="G322" s="33">
        <f>JUNE!B322</f>
        <v>0</v>
      </c>
      <c r="H322" s="33">
        <f>JULY!B322</f>
        <v>0</v>
      </c>
      <c r="I322" s="33">
        <f>AUGUST!B322</f>
        <v>0</v>
      </c>
      <c r="J322" s="33">
        <f>SEPTEMBER!B322</f>
        <v>0</v>
      </c>
      <c r="K322" s="33">
        <f>OCTOBER!B322</f>
        <v>2</v>
      </c>
      <c r="L322" s="33">
        <f>NOVEMBER!B322</f>
        <v>0</v>
      </c>
      <c r="M322" s="33">
        <f>DECEMBER!B322</f>
        <v>0</v>
      </c>
      <c r="N322" s="221">
        <f>B322+C322+D322</f>
        <v>0</v>
      </c>
      <c r="O322" s="221">
        <f>E322+F322+G322</f>
        <v>0</v>
      </c>
      <c r="P322" s="221">
        <f>H322+I322+J322</f>
        <v>0</v>
      </c>
      <c r="Q322" s="221">
        <f>K322+L322+M322</f>
        <v>2</v>
      </c>
      <c r="R322" s="199">
        <f>B322+C322+D322+E322+F322+G322+H322+I322+J322+K322+L322+M322</f>
        <v>2</v>
      </c>
      <c r="S322" s="223">
        <f>TARGET!B322</f>
        <v>0</v>
      </c>
      <c r="T322" s="271" t="e">
        <f>IF(R322/S322=0,"NONE",R322/S322)</f>
        <v>#DIV/0!</v>
      </c>
    </row>
    <row r="323" spans="1:21" ht="37.5" customHeight="1" x14ac:dyDescent="0.2">
      <c r="A323" s="268" t="s">
        <v>445</v>
      </c>
      <c r="B323" s="278">
        <f>JANUARY!B323</f>
        <v>0</v>
      </c>
      <c r="C323" s="33">
        <f>FEBRUARY!B323</f>
        <v>0</v>
      </c>
      <c r="D323" s="33">
        <f>MARCH!B323</f>
        <v>0</v>
      </c>
      <c r="E323" s="33">
        <f>APRIL!B323</f>
        <v>0</v>
      </c>
      <c r="F323" s="33">
        <f>MAY!B323</f>
        <v>0</v>
      </c>
      <c r="G323" s="33">
        <f>JUNE!B323</f>
        <v>0</v>
      </c>
      <c r="H323" s="33">
        <f>JULY!B323</f>
        <v>0</v>
      </c>
      <c r="I323" s="33">
        <f>AUGUST!B323</f>
        <v>0</v>
      </c>
      <c r="J323" s="33">
        <f>SEPTEMBER!B323</f>
        <v>0</v>
      </c>
      <c r="K323" s="33">
        <f>OCTOBER!B323</f>
        <v>0</v>
      </c>
      <c r="L323" s="33">
        <f>NOVEMBER!B323</f>
        <v>0</v>
      </c>
      <c r="M323" s="33">
        <f>DECEMBER!B323</f>
        <v>0</v>
      </c>
      <c r="N323" s="221">
        <f>B323+C323+D323</f>
        <v>0</v>
      </c>
      <c r="O323" s="221">
        <f>E323+F323+G323</f>
        <v>0</v>
      </c>
      <c r="P323" s="221">
        <f>H323+I323+J323</f>
        <v>0</v>
      </c>
      <c r="Q323" s="221">
        <f>K323+L323+M323</f>
        <v>0</v>
      </c>
      <c r="R323" s="199">
        <f>B323+C323+D323+E323+F323+G323+H323+I323+J323+K323+L323+M323</f>
        <v>0</v>
      </c>
      <c r="S323" s="223">
        <f>TARGET!B323</f>
        <v>0</v>
      </c>
      <c r="T323" s="271" t="e">
        <f>IF(R323/S323=0,"NONE",R323/S323)</f>
        <v>#DIV/0!</v>
      </c>
    </row>
    <row r="324" spans="1:21" ht="15.75" customHeight="1" x14ac:dyDescent="0.2">
      <c r="A324" s="53"/>
      <c r="B324" s="50"/>
      <c r="C324" s="50"/>
      <c r="D324" s="50"/>
      <c r="E324" s="50"/>
      <c r="F324" s="50"/>
      <c r="G324" s="50"/>
      <c r="H324" s="50"/>
      <c r="I324" s="50"/>
      <c r="J324" s="50"/>
      <c r="K324" s="50"/>
      <c r="L324" s="50"/>
      <c r="M324" s="50"/>
      <c r="N324" s="50"/>
      <c r="O324" s="50"/>
      <c r="P324" s="50"/>
      <c r="Q324" s="50"/>
      <c r="R324" s="50"/>
      <c r="S324" s="50"/>
      <c r="T324" s="50"/>
    </row>
    <row r="325" spans="1:21" ht="15.75" customHeight="1" x14ac:dyDescent="0.2">
      <c r="A325" s="41"/>
      <c r="B325" s="42"/>
      <c r="C325" s="42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279">
        <f>COUNTIF(U3:U319, "&gt;0")</f>
        <v>8</v>
      </c>
    </row>
  </sheetData>
  <sheetProtection sheet="1" selectLockedCells="1" selectUnlockedCells="1"/>
  <mergeCells count="1">
    <mergeCell ref="B11:R11"/>
  </mergeCells>
  <conditionalFormatting sqref="T15:T320">
    <cfRule type="containsErrors" dxfId="1" priority="4" stopIfTrue="1">
      <formula>ISERROR(T15)</formula>
    </cfRule>
  </conditionalFormatting>
  <conditionalFormatting sqref="T321:T323">
    <cfRule type="containsErrors" dxfId="0" priority="1" stopIfTrue="1">
      <formula>ISERROR(T321)</formula>
    </cfRule>
  </conditionalFormatting>
  <dataValidations disablePrompts="1" count="3">
    <dataValidation type="whole" allowBlank="1" showInputMessage="1" showErrorMessage="1" sqref="B311:T311 B315:T315 B291:T295">
      <formula1>0</formula1>
      <formula2>1E+24</formula2>
    </dataValidation>
    <dataValidation type="whole" allowBlank="1" showInputMessage="1" showErrorMessage="1" sqref="B276:T276">
      <formula1>0</formula1>
      <formula2>100000000000000000</formula2>
    </dataValidation>
    <dataValidation type="whole" allowBlank="1" showInputMessage="1" showErrorMessage="1" sqref="B263:T263 B270:T270">
      <formula1>0</formula1>
      <formula2>1000000000000000000</formula2>
    </dataValidation>
  </dataValidations>
  <pageMargins left="0.3" right="0.3" top="0.5" bottom="0.5" header="0.3" footer="0.3"/>
  <pageSetup paperSize="768" scale="60" orientation="landscape" horizontalDpi="4294967293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MAIN PAGE</vt:lpstr>
      <vt:lpstr>DATA</vt:lpstr>
      <vt:lpstr>GRAPH</vt:lpstr>
      <vt:lpstr>TARGET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WHOLE YEAR</vt:lpstr>
      <vt:lpstr>class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OPEY A.</dc:creator>
  <cp:lastModifiedBy>SECRETARY'S</cp:lastModifiedBy>
  <cp:lastPrinted>2019-07-24T22:01:39Z</cp:lastPrinted>
  <dcterms:created xsi:type="dcterms:W3CDTF">2001-04-26T01:56:03Z</dcterms:created>
  <dcterms:modified xsi:type="dcterms:W3CDTF">2020-07-25T19:41:52Z</dcterms:modified>
</cp:coreProperties>
</file>